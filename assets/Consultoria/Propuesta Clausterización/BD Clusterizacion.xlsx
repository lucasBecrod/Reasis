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ie" sheetId="1" r:id="rId4"/>
    <sheet state="visible" name="data_docentes" sheetId="2" r:id="rId5"/>
    <sheet state="visible" name="data_localizacion" sheetId="3" r:id="rId6"/>
    <sheet state="visible" name="data_estudiantes" sheetId="4" r:id="rId7"/>
    <sheet state="visible" name="nombres" sheetId="5" r:id="rId8"/>
    <sheet state="visible" name="Respuestas de formulario 1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T1">
      <text>
        <t xml:space="preserve">% estudiantes que repiten
	-Lucas Becrod - Finangher</t>
      </text>
    </comment>
    <comment authorId="0" ref="AQ2">
      <text>
        <t xml:space="preserve">% estudiantes que pasaron de grado
	-Lucas Becrod - Finangher</t>
      </text>
    </comment>
  </commentList>
</comments>
</file>

<file path=xl/sharedStrings.xml><?xml version="1.0" encoding="utf-8"?>
<sst xmlns="http://schemas.openxmlformats.org/spreadsheetml/2006/main" count="153" uniqueCount="124">
  <si>
    <t>Nombre de la IE</t>
  </si>
  <si>
    <t>CODIGO MODULAR IE</t>
  </si>
  <si>
    <t xml:space="preserve">Nivel </t>
  </si>
  <si>
    <t>Cuenta con aula de innovación</t>
  </si>
  <si>
    <t>Tipo Organizacional</t>
  </si>
  <si>
    <t>Jornada</t>
  </si>
  <si>
    <t>Modalidad educativa</t>
  </si>
  <si>
    <t>Especialidad</t>
  </si>
  <si>
    <t>Tipo apoyo psicologico</t>
  </si>
  <si>
    <t xml:space="preserve">Mobiliario </t>
  </si>
  <si>
    <t>Asignacion presupuestal 2024</t>
  </si>
  <si>
    <t>Años del director en el cargo</t>
  </si>
  <si>
    <t>Puntaje promedio ECE en matematica por año</t>
  </si>
  <si>
    <t>Puntaje promedio ECE en lectura por año</t>
  </si>
  <si>
    <t>Numero de estudiantes matriculados por año</t>
  </si>
  <si>
    <t>Numero de estudiantes egresados (del último grado del nivel) por año</t>
  </si>
  <si>
    <t>Numero de estudiantes ingresantes a educación superior tras culminar su secundaria por año</t>
  </si>
  <si>
    <t>Numero incidentes disciplinarios por año</t>
  </si>
  <si>
    <t>Numero de docentes por año</t>
  </si>
  <si>
    <t>Número de docentes que permanecen en la institucion tras culminar el año</t>
  </si>
  <si>
    <t>Numero de docentes mujeres por año</t>
  </si>
  <si>
    <t>Numero total de aulas operativas</t>
  </si>
  <si>
    <t>Numero de estudiantes desertados por año</t>
  </si>
  <si>
    <t>Numero de estudiantes que repiten por año</t>
  </si>
  <si>
    <t>Andamayo</t>
  </si>
  <si>
    <t>Primaria</t>
  </si>
  <si>
    <t>Si</t>
  </si>
  <si>
    <t>Unidocente</t>
  </si>
  <si>
    <t>Regular</t>
  </si>
  <si>
    <t>1 = EBR_Inicial</t>
  </si>
  <si>
    <t>Secundaria</t>
  </si>
  <si>
    <t>No</t>
  </si>
  <si>
    <t>Polidocente completo</t>
  </si>
  <si>
    <t>Completa</t>
  </si>
  <si>
    <t>Nivel</t>
  </si>
  <si>
    <t>ID_DOCENTE</t>
  </si>
  <si>
    <t>Nombre y apellidos</t>
  </si>
  <si>
    <t>Edad</t>
  </si>
  <si>
    <t>Sexo</t>
  </si>
  <si>
    <t>Especialidad docente</t>
  </si>
  <si>
    <t>Especialidad o asigatura impartida por año</t>
  </si>
  <si>
    <t>Grado</t>
  </si>
  <si>
    <t>Sección</t>
  </si>
  <si>
    <t>Tiempo de viaje desde su casa hasta la IE</t>
  </si>
  <si>
    <t>Nivel de especialización</t>
  </si>
  <si>
    <t>Años de experiencia</t>
  </si>
  <si>
    <t>Notas de Matématica (PADD)</t>
  </si>
  <si>
    <t>Notas de Comunicación (PADD)</t>
  </si>
  <si>
    <t>Matemática</t>
  </si>
  <si>
    <t>Comunicación</t>
  </si>
  <si>
    <t>Segundo</t>
  </si>
  <si>
    <t>A, B, D, E</t>
  </si>
  <si>
    <t>ID_IE</t>
  </si>
  <si>
    <t>REGION</t>
  </si>
  <si>
    <t>PROVINCIA</t>
  </si>
  <si>
    <t>DISTRITO</t>
  </si>
  <si>
    <t>POBREZA</t>
  </si>
  <si>
    <t xml:space="preserve">Zona </t>
  </si>
  <si>
    <t>Nota de comunicación</t>
  </si>
  <si>
    <t>Nota de matemática</t>
  </si>
  <si>
    <t>id</t>
  </si>
  <si>
    <t>niveles</t>
  </si>
  <si>
    <t>Zona</t>
  </si>
  <si>
    <t>Boleano</t>
  </si>
  <si>
    <t>Modalidad de enseñanza</t>
  </si>
  <si>
    <t>Concepo</t>
  </si>
  <si>
    <t>Modalidad_Educativa:</t>
  </si>
  <si>
    <t>ID</t>
  </si>
  <si>
    <t>Grados</t>
  </si>
  <si>
    <t>Secciones</t>
  </si>
  <si>
    <t>tipo_apoyo_psicologico</t>
  </si>
  <si>
    <t>especialidad_curricular</t>
  </si>
  <si>
    <t>Inicial</t>
  </si>
  <si>
    <t>Urbano</t>
  </si>
  <si>
    <t>Un docente que enseña todas las asginaturas en todos los grados</t>
  </si>
  <si>
    <t>Científico_Humanístico</t>
  </si>
  <si>
    <t>Primero</t>
  </si>
  <si>
    <t>A</t>
  </si>
  <si>
    <t>Permanente</t>
  </si>
  <si>
    <t>Rural</t>
  </si>
  <si>
    <t>Cada docente enseña solo a una seccion</t>
  </si>
  <si>
    <t>2 = EBR_Primaria</t>
  </si>
  <si>
    <t>Técnico_Productivo</t>
  </si>
  <si>
    <t>B</t>
  </si>
  <si>
    <t>Itinerante</t>
  </si>
  <si>
    <t>Polidocente multigrado</t>
  </si>
  <si>
    <t>3 = EBR_Secundaria_Regular</t>
  </si>
  <si>
    <t>Extendida</t>
  </si>
  <si>
    <t>Tercero</t>
  </si>
  <si>
    <t>C</t>
  </si>
  <si>
    <t>No tiene</t>
  </si>
  <si>
    <t>Inicial-Primaria Multigrado</t>
  </si>
  <si>
    <t>4 = EBR_Secundaria_JEC</t>
  </si>
  <si>
    <t>Cuato</t>
  </si>
  <si>
    <t>D</t>
  </si>
  <si>
    <t>5 = EBA_Inicial</t>
  </si>
  <si>
    <t>Quinto</t>
  </si>
  <si>
    <t>E</t>
  </si>
  <si>
    <t>6 = EBA_Intermedio</t>
  </si>
  <si>
    <t>Sexto</t>
  </si>
  <si>
    <t>F</t>
  </si>
  <si>
    <t>Ciencias Sociales</t>
  </si>
  <si>
    <t>7 = EBA_Avanzado</t>
  </si>
  <si>
    <t>G</t>
  </si>
  <si>
    <t>DPCC</t>
  </si>
  <si>
    <t>8 = EBE_Inicial</t>
  </si>
  <si>
    <t>H</t>
  </si>
  <si>
    <t>Ciencia y Tecnología</t>
  </si>
  <si>
    <t>9 = EBE_Primaria</t>
  </si>
  <si>
    <t>I</t>
  </si>
  <si>
    <t>Educación Física</t>
  </si>
  <si>
    <t>10 = EBE_Secundaria</t>
  </si>
  <si>
    <t>Otro</t>
  </si>
  <si>
    <t>Arte y Cultura</t>
  </si>
  <si>
    <t>11 = PRONOI</t>
  </si>
  <si>
    <t>Educación Religiosa</t>
  </si>
  <si>
    <t>12 = PRONOEI</t>
  </si>
  <si>
    <t>Inglés</t>
  </si>
  <si>
    <t>EPT</t>
  </si>
  <si>
    <t>Auxiliar</t>
  </si>
  <si>
    <t>Psicología</t>
  </si>
  <si>
    <t>Otros</t>
  </si>
  <si>
    <t>Marca temporal</t>
  </si>
  <si>
    <t>Selecciones el o los gados a los que enseña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</si>
</sst>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b/>
      <color theme="1"/>
      <name val="Arial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</fills>
  <borders count="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0" fillId="9" fontId="1" numFmtId="0" xfId="0" applyAlignment="1" applyFill="1" applyFont="1">
      <alignment horizontal="center" readingOrder="0" shrinkToFit="0" vertical="center" wrapText="1"/>
    </xf>
    <xf borderId="0" fillId="10" fontId="1" numFmtId="0" xfId="0" applyAlignment="1" applyFill="1" applyFont="1">
      <alignment horizontal="center" readingOrder="0" shrinkToFit="0" vertical="center" wrapText="1"/>
    </xf>
    <xf borderId="0" fillId="11" fontId="1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10" fontId="3" numFmtId="0" xfId="0" applyAlignment="1" applyFont="1">
      <alignment horizontal="center" shrinkToFit="0" vertical="center" wrapText="1"/>
    </xf>
    <xf borderId="0" fillId="10" fontId="3" numFmtId="0" xfId="0" applyAlignment="1" applyFont="1">
      <alignment horizontal="center" shrinkToFit="0" vertical="center" wrapText="1"/>
    </xf>
    <xf borderId="0" fillId="11" fontId="1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1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8" fontId="4" numFmtId="0" xfId="0" applyAlignment="1" applyFont="1">
      <alignment horizontal="center" readingOrder="0" shrinkToFit="0" vertical="center" wrapText="1"/>
    </xf>
    <xf borderId="0" fillId="12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readingOrder="0"/>
    </xf>
    <xf borderId="0" fillId="0" fontId="4" numFmtId="49" xfId="0" applyAlignment="1" applyFont="1" applyNumberFormat="1">
      <alignment readingOrder="0"/>
    </xf>
    <xf borderId="0" fillId="0" fontId="4" numFmtId="49" xfId="0" applyFont="1" applyNumberFormat="1"/>
    <xf borderId="1" fillId="0" fontId="4" numFmtId="0" xfId="0" applyAlignment="1" applyBorder="1" applyFont="1">
      <alignment horizontal="left" readingOrder="0" shrinkToFit="0" vertical="center" wrapText="0"/>
    </xf>
    <xf borderId="2" fillId="0" fontId="4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B1" displayName="Form_Responses1" name="Form_Responses1" id="1">
  <tableColumns count="2">
    <tableColumn name="Column1" id="1"/>
    <tableColumn name="Column2" id="2"/>
  </tableColumns>
  <tableStyleInfo name="Respuestas de formula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20.5"/>
    <col customWidth="1" min="7" max="7" width="24.63"/>
    <col customWidth="1" min="11" max="11" width="16.13"/>
    <col customWidth="1" min="40" max="42" width="17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3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6" t="s">
        <v>12</v>
      </c>
      <c r="P1" s="7" t="s">
        <v>13</v>
      </c>
      <c r="S1" s="8" t="s">
        <v>14</v>
      </c>
      <c r="V1" s="7" t="s">
        <v>15</v>
      </c>
      <c r="Y1" s="9" t="s">
        <v>16</v>
      </c>
      <c r="AB1" s="10" t="s">
        <v>17</v>
      </c>
      <c r="AE1" s="11" t="s">
        <v>18</v>
      </c>
      <c r="AH1" s="2" t="s">
        <v>19</v>
      </c>
      <c r="AK1" s="9" t="s">
        <v>20</v>
      </c>
      <c r="AN1" s="12" t="s">
        <v>21</v>
      </c>
      <c r="AQ1" s="13" t="s">
        <v>22</v>
      </c>
      <c r="AT1" s="13" t="s">
        <v>23</v>
      </c>
    </row>
    <row r="2">
      <c r="M2" s="6">
        <v>2023.0</v>
      </c>
      <c r="N2" s="6">
        <v>2024.0</v>
      </c>
      <c r="O2" s="6">
        <v>2025.0</v>
      </c>
      <c r="P2" s="7">
        <v>2023.0</v>
      </c>
      <c r="Q2" s="7">
        <v>2024.0</v>
      </c>
      <c r="R2" s="7">
        <v>2025.0</v>
      </c>
      <c r="S2" s="8">
        <v>2023.0</v>
      </c>
      <c r="T2" s="8">
        <v>2024.0</v>
      </c>
      <c r="U2" s="8">
        <v>2025.0</v>
      </c>
      <c r="V2" s="7">
        <v>2023.0</v>
      </c>
      <c r="W2" s="7">
        <v>2024.0</v>
      </c>
      <c r="X2" s="7">
        <v>2025.0</v>
      </c>
      <c r="Y2" s="9">
        <v>2022.0</v>
      </c>
      <c r="Z2" s="9">
        <v>2023.0</v>
      </c>
      <c r="AA2" s="9">
        <v>2024.0</v>
      </c>
      <c r="AB2" s="10">
        <v>2023.0</v>
      </c>
      <c r="AC2" s="10">
        <v>2024.0</v>
      </c>
      <c r="AD2" s="10">
        <v>2025.0</v>
      </c>
      <c r="AE2" s="11">
        <v>2023.0</v>
      </c>
      <c r="AF2" s="11">
        <v>2024.0</v>
      </c>
      <c r="AG2" s="11">
        <v>2025.0</v>
      </c>
      <c r="AH2" s="14">
        <v>2023.0</v>
      </c>
      <c r="AI2" s="14">
        <v>2024.0</v>
      </c>
      <c r="AJ2" s="14">
        <v>2025.0</v>
      </c>
      <c r="AK2" s="15">
        <v>2023.0</v>
      </c>
      <c r="AL2" s="16">
        <v>2024.0</v>
      </c>
      <c r="AM2" s="16">
        <v>2025.0</v>
      </c>
      <c r="AN2" s="17">
        <v>2023.0</v>
      </c>
      <c r="AO2" s="18">
        <v>2024.0</v>
      </c>
      <c r="AP2" s="18">
        <v>2025.0</v>
      </c>
      <c r="AQ2" s="19">
        <v>2022.0</v>
      </c>
      <c r="AR2" s="19">
        <v>2023.0</v>
      </c>
      <c r="AS2" s="19">
        <v>2024.0</v>
      </c>
      <c r="AT2" s="19">
        <v>2022.0</v>
      </c>
      <c r="AU2" s="19">
        <v>2023.0</v>
      </c>
      <c r="AV2" s="19">
        <v>2024.0</v>
      </c>
    </row>
    <row r="3">
      <c r="A3" s="20" t="s">
        <v>24</v>
      </c>
      <c r="B3" s="21">
        <v>665.0</v>
      </c>
      <c r="C3" s="20" t="s">
        <v>25</v>
      </c>
      <c r="D3" s="20" t="s">
        <v>26</v>
      </c>
      <c r="E3" s="20" t="s">
        <v>27</v>
      </c>
      <c r="F3" s="20" t="s">
        <v>28</v>
      </c>
      <c r="G3" s="22" t="s">
        <v>29</v>
      </c>
      <c r="H3" s="23"/>
      <c r="I3" s="24"/>
      <c r="S3" s="24"/>
      <c r="T3" s="24"/>
      <c r="U3" s="20"/>
      <c r="V3" s="20"/>
      <c r="W3" s="20"/>
      <c r="X3" s="20"/>
      <c r="Y3" s="20"/>
      <c r="Z3" s="20"/>
      <c r="AA3" s="20"/>
      <c r="AE3" s="24"/>
      <c r="AF3" s="24"/>
      <c r="AG3" s="24"/>
      <c r="AH3" s="24"/>
      <c r="AI3" s="24"/>
      <c r="AJ3" s="24"/>
      <c r="AK3" s="24"/>
      <c r="AL3" s="20"/>
      <c r="AM3" s="20"/>
      <c r="AN3" s="22">
        <v>5.0</v>
      </c>
      <c r="AO3" s="22"/>
      <c r="AP3" s="22"/>
    </row>
    <row r="4">
      <c r="A4" s="24"/>
      <c r="B4" s="21">
        <v>665.0</v>
      </c>
      <c r="C4" s="20" t="s">
        <v>30</v>
      </c>
      <c r="D4" s="20" t="s">
        <v>31</v>
      </c>
      <c r="E4" s="20" t="s">
        <v>32</v>
      </c>
      <c r="F4" s="20" t="s">
        <v>33</v>
      </c>
      <c r="G4" s="23"/>
      <c r="H4" s="23"/>
      <c r="I4" s="24"/>
      <c r="S4" s="24"/>
      <c r="T4" s="24"/>
      <c r="U4" s="20"/>
      <c r="V4" s="20"/>
      <c r="W4" s="20"/>
      <c r="X4" s="20"/>
      <c r="Y4" s="20"/>
      <c r="Z4" s="20"/>
      <c r="AA4" s="20"/>
      <c r="AE4" s="24"/>
      <c r="AF4" s="20"/>
      <c r="AG4" s="20"/>
      <c r="AH4" s="24"/>
      <c r="AI4" s="24"/>
      <c r="AJ4" s="24"/>
      <c r="AK4" s="24"/>
      <c r="AL4" s="20"/>
      <c r="AM4" s="20"/>
      <c r="AN4" s="22">
        <v>6.0</v>
      </c>
      <c r="AO4" s="22"/>
      <c r="AP4" s="22"/>
    </row>
    <row r="5">
      <c r="A5" s="24"/>
      <c r="B5" s="25"/>
      <c r="C5" s="24"/>
      <c r="D5" s="24"/>
      <c r="E5" s="24"/>
      <c r="F5" s="24"/>
      <c r="G5" s="23"/>
      <c r="H5" s="23"/>
      <c r="I5" s="24"/>
      <c r="S5" s="24"/>
      <c r="T5" s="24"/>
      <c r="U5" s="24"/>
      <c r="V5" s="24"/>
      <c r="W5" s="24"/>
      <c r="X5" s="24"/>
      <c r="Y5" s="24"/>
      <c r="Z5" s="24"/>
      <c r="AA5" s="24"/>
      <c r="AE5" s="24"/>
      <c r="AF5" s="24"/>
      <c r="AG5" s="24"/>
      <c r="AH5" s="24"/>
      <c r="AI5" s="24"/>
      <c r="AJ5" s="24"/>
      <c r="AK5" s="24"/>
      <c r="AL5" s="24"/>
      <c r="AM5" s="24"/>
      <c r="AN5" s="23"/>
      <c r="AO5" s="23"/>
      <c r="AP5" s="23"/>
    </row>
    <row r="6">
      <c r="A6" s="24"/>
      <c r="B6" s="25"/>
      <c r="C6" s="24"/>
      <c r="D6" s="24"/>
      <c r="E6" s="24"/>
      <c r="F6" s="24"/>
      <c r="G6" s="23"/>
      <c r="H6" s="23"/>
      <c r="I6" s="24"/>
      <c r="S6" s="24"/>
      <c r="T6" s="24"/>
      <c r="U6" s="24"/>
      <c r="V6" s="24"/>
      <c r="W6" s="24"/>
      <c r="X6" s="24"/>
      <c r="Y6" s="24"/>
      <c r="Z6" s="24"/>
      <c r="AA6" s="24"/>
      <c r="AE6" s="24"/>
      <c r="AF6" s="24"/>
      <c r="AG6" s="24"/>
      <c r="AH6" s="24"/>
      <c r="AI6" s="24"/>
      <c r="AJ6" s="24"/>
      <c r="AK6" s="24"/>
      <c r="AL6" s="24"/>
      <c r="AM6" s="24"/>
      <c r="AN6" s="23"/>
      <c r="AO6" s="23"/>
      <c r="AP6" s="23"/>
    </row>
    <row r="7">
      <c r="A7" s="24"/>
      <c r="B7" s="25"/>
      <c r="C7" s="24"/>
      <c r="D7" s="24"/>
      <c r="E7" s="24"/>
      <c r="F7" s="24"/>
      <c r="G7" s="23"/>
      <c r="H7" s="23"/>
      <c r="I7" s="24"/>
      <c r="S7" s="24"/>
      <c r="T7" s="24"/>
      <c r="U7" s="24"/>
      <c r="V7" s="24"/>
      <c r="W7" s="24"/>
      <c r="X7" s="24"/>
      <c r="Y7" s="24"/>
      <c r="Z7" s="24"/>
      <c r="AA7" s="24"/>
      <c r="AE7" s="24"/>
      <c r="AF7" s="24"/>
      <c r="AG7" s="24"/>
      <c r="AH7" s="24"/>
      <c r="AI7" s="24"/>
      <c r="AJ7" s="24"/>
      <c r="AK7" s="24"/>
      <c r="AL7" s="24"/>
      <c r="AM7" s="24"/>
      <c r="AN7" s="23"/>
      <c r="AO7" s="23"/>
      <c r="AP7" s="23"/>
    </row>
    <row r="8">
      <c r="A8" s="24"/>
      <c r="B8" s="25"/>
      <c r="C8" s="24"/>
      <c r="D8" s="24"/>
      <c r="E8" s="24"/>
      <c r="F8" s="24"/>
      <c r="G8" s="23"/>
      <c r="H8" s="23"/>
      <c r="I8" s="24"/>
      <c r="S8" s="24"/>
      <c r="T8" s="24"/>
      <c r="U8" s="24"/>
      <c r="V8" s="24"/>
      <c r="W8" s="24"/>
      <c r="X8" s="24"/>
      <c r="Y8" s="24"/>
      <c r="Z8" s="24"/>
      <c r="AA8" s="24"/>
      <c r="AE8" s="24"/>
      <c r="AF8" s="24"/>
      <c r="AG8" s="24"/>
      <c r="AH8" s="24"/>
      <c r="AI8" s="24"/>
      <c r="AJ8" s="24"/>
      <c r="AK8" s="24"/>
      <c r="AL8" s="24"/>
      <c r="AM8" s="24"/>
      <c r="AN8" s="23"/>
      <c r="AO8" s="23"/>
      <c r="AP8" s="23"/>
    </row>
    <row r="9">
      <c r="A9" s="24"/>
      <c r="B9" s="25"/>
      <c r="C9" s="24"/>
      <c r="D9" s="24"/>
      <c r="E9" s="24"/>
      <c r="F9" s="24"/>
      <c r="G9" s="23"/>
      <c r="H9" s="23"/>
      <c r="I9" s="24"/>
      <c r="S9" s="24"/>
      <c r="T9" s="24"/>
      <c r="U9" s="24"/>
      <c r="V9" s="24"/>
      <c r="W9" s="24"/>
      <c r="X9" s="24"/>
      <c r="Y9" s="24"/>
      <c r="Z9" s="24"/>
      <c r="AA9" s="24"/>
      <c r="AE9" s="24"/>
      <c r="AF9" s="24"/>
      <c r="AG9" s="24"/>
      <c r="AH9" s="24"/>
      <c r="AI9" s="24"/>
      <c r="AJ9" s="24"/>
      <c r="AK9" s="24"/>
      <c r="AL9" s="24"/>
      <c r="AM9" s="24"/>
      <c r="AN9" s="23"/>
      <c r="AO9" s="23"/>
      <c r="AP9" s="23"/>
    </row>
    <row r="10">
      <c r="A10" s="24"/>
      <c r="B10" s="25"/>
      <c r="C10" s="24"/>
      <c r="D10" s="24"/>
      <c r="E10" s="24"/>
      <c r="F10" s="24"/>
      <c r="G10" s="23"/>
      <c r="H10" s="23"/>
      <c r="I10" s="24"/>
      <c r="S10" s="24"/>
      <c r="T10" s="24"/>
      <c r="U10" s="24"/>
      <c r="V10" s="24"/>
      <c r="W10" s="24"/>
      <c r="X10" s="24"/>
      <c r="Y10" s="24"/>
      <c r="Z10" s="24"/>
      <c r="AA10" s="24"/>
      <c r="AE10" s="1"/>
      <c r="AF10" s="1"/>
      <c r="AG10" s="1"/>
      <c r="AH10" s="24"/>
      <c r="AI10" s="24"/>
      <c r="AJ10" s="24"/>
      <c r="AK10" s="24"/>
      <c r="AL10" s="24"/>
      <c r="AM10" s="24"/>
      <c r="AN10" s="23"/>
      <c r="AO10" s="23"/>
      <c r="AP10" s="23"/>
    </row>
    <row r="11">
      <c r="A11" s="24"/>
      <c r="B11" s="25"/>
      <c r="C11" s="24"/>
      <c r="D11" s="24"/>
      <c r="E11" s="24"/>
      <c r="F11" s="24"/>
      <c r="G11" s="23"/>
      <c r="H11" s="23"/>
      <c r="I11" s="24"/>
      <c r="S11" s="24"/>
      <c r="T11" s="24"/>
      <c r="U11" s="24"/>
      <c r="V11" s="24"/>
      <c r="W11" s="24"/>
      <c r="X11" s="24"/>
      <c r="Y11" s="24"/>
      <c r="Z11" s="24"/>
      <c r="AA11" s="24"/>
      <c r="AE11" s="1"/>
      <c r="AF11" s="1"/>
      <c r="AG11" s="1"/>
      <c r="AH11" s="24"/>
      <c r="AI11" s="24"/>
      <c r="AJ11" s="24"/>
      <c r="AK11" s="24"/>
      <c r="AL11" s="24"/>
      <c r="AM11" s="24"/>
      <c r="AN11" s="23"/>
      <c r="AO11" s="23"/>
      <c r="AP11" s="23"/>
    </row>
    <row r="12">
      <c r="A12" s="24"/>
      <c r="B12" s="25"/>
      <c r="C12" s="24"/>
      <c r="D12" s="24"/>
      <c r="E12" s="24"/>
      <c r="F12" s="24"/>
      <c r="G12" s="23"/>
      <c r="H12" s="23"/>
      <c r="I12" s="24"/>
      <c r="S12" s="24"/>
      <c r="T12" s="24"/>
      <c r="U12" s="24"/>
      <c r="V12" s="24"/>
      <c r="W12" s="24"/>
      <c r="X12" s="24"/>
      <c r="Y12" s="24"/>
      <c r="Z12" s="24"/>
      <c r="AA12" s="24"/>
      <c r="AE12" s="1"/>
      <c r="AF12" s="1"/>
      <c r="AG12" s="1"/>
      <c r="AH12" s="24"/>
      <c r="AI12" s="24"/>
      <c r="AJ12" s="24"/>
      <c r="AK12" s="24"/>
      <c r="AL12" s="24"/>
      <c r="AM12" s="24"/>
      <c r="AN12" s="23"/>
      <c r="AO12" s="23"/>
      <c r="AP12" s="23"/>
    </row>
    <row r="13">
      <c r="A13" s="24"/>
      <c r="B13" s="25"/>
      <c r="C13" s="24"/>
      <c r="D13" s="24"/>
      <c r="E13" s="24"/>
      <c r="F13" s="24"/>
      <c r="G13" s="23"/>
      <c r="H13" s="23"/>
      <c r="I13" s="24"/>
      <c r="S13" s="24"/>
      <c r="T13" s="24"/>
      <c r="U13" s="24"/>
      <c r="V13" s="24"/>
      <c r="W13" s="24"/>
      <c r="X13" s="24"/>
      <c r="Y13" s="24"/>
      <c r="Z13" s="24"/>
      <c r="AA13" s="24"/>
      <c r="AE13" s="1"/>
      <c r="AF13" s="1"/>
      <c r="AG13" s="1"/>
      <c r="AH13" s="24"/>
      <c r="AI13" s="24"/>
      <c r="AJ13" s="24"/>
      <c r="AK13" s="24"/>
      <c r="AL13" s="24"/>
      <c r="AM13" s="24"/>
      <c r="AN13" s="23"/>
      <c r="AO13" s="23"/>
      <c r="AP13" s="23"/>
    </row>
    <row r="14">
      <c r="A14" s="24"/>
      <c r="B14" s="25"/>
      <c r="C14" s="24"/>
      <c r="D14" s="24"/>
      <c r="E14" s="24"/>
      <c r="F14" s="24"/>
      <c r="G14" s="23"/>
      <c r="H14" s="23"/>
      <c r="I14" s="24"/>
      <c r="S14" s="24"/>
      <c r="T14" s="24"/>
      <c r="U14" s="24"/>
      <c r="V14" s="24"/>
      <c r="W14" s="24"/>
      <c r="X14" s="24"/>
      <c r="Y14" s="24"/>
      <c r="Z14" s="24"/>
      <c r="AA14" s="24"/>
      <c r="AE14" s="1"/>
      <c r="AF14" s="1"/>
      <c r="AG14" s="1"/>
      <c r="AH14" s="24"/>
      <c r="AI14" s="24"/>
      <c r="AJ14" s="24"/>
      <c r="AK14" s="24"/>
      <c r="AL14" s="24"/>
      <c r="AM14" s="24"/>
      <c r="AN14" s="23"/>
      <c r="AO14" s="23"/>
      <c r="AP14" s="23"/>
    </row>
    <row r="15">
      <c r="A15" s="24"/>
      <c r="B15" s="25"/>
      <c r="C15" s="24"/>
      <c r="D15" s="24"/>
      <c r="E15" s="24"/>
      <c r="F15" s="24"/>
      <c r="G15" s="23"/>
      <c r="H15" s="23"/>
      <c r="I15" s="24"/>
      <c r="S15" s="24"/>
      <c r="T15" s="24"/>
      <c r="U15" s="24"/>
      <c r="V15" s="24"/>
      <c r="W15" s="24"/>
      <c r="X15" s="24"/>
      <c r="Y15" s="24"/>
      <c r="Z15" s="24"/>
      <c r="AA15" s="24"/>
      <c r="AE15" s="1"/>
      <c r="AF15" s="1"/>
      <c r="AG15" s="1"/>
      <c r="AH15" s="24"/>
      <c r="AI15" s="24"/>
      <c r="AJ15" s="24"/>
      <c r="AK15" s="24"/>
      <c r="AL15" s="24"/>
      <c r="AM15" s="24"/>
      <c r="AN15" s="23"/>
      <c r="AO15" s="23"/>
      <c r="AP15" s="23"/>
    </row>
    <row r="16">
      <c r="A16" s="24"/>
      <c r="B16" s="25"/>
      <c r="C16" s="24"/>
      <c r="D16" s="24"/>
      <c r="E16" s="24"/>
      <c r="F16" s="24"/>
      <c r="G16" s="23"/>
      <c r="H16" s="23"/>
      <c r="I16" s="24"/>
      <c r="S16" s="24"/>
      <c r="T16" s="24"/>
      <c r="U16" s="24"/>
      <c r="V16" s="24"/>
      <c r="W16" s="24"/>
      <c r="X16" s="24"/>
      <c r="Y16" s="24"/>
      <c r="Z16" s="24"/>
      <c r="AA16" s="24"/>
      <c r="AE16" s="1"/>
      <c r="AF16" s="1"/>
      <c r="AG16" s="1"/>
      <c r="AH16" s="24"/>
      <c r="AI16" s="24"/>
      <c r="AJ16" s="24"/>
      <c r="AK16" s="24"/>
      <c r="AL16" s="24"/>
      <c r="AM16" s="24"/>
      <c r="AN16" s="23"/>
      <c r="AO16" s="23"/>
      <c r="AP16" s="23"/>
    </row>
    <row r="17">
      <c r="A17" s="24"/>
      <c r="B17" s="25"/>
      <c r="C17" s="24"/>
      <c r="D17" s="24"/>
      <c r="E17" s="24"/>
      <c r="F17" s="24"/>
      <c r="G17" s="23"/>
      <c r="H17" s="23"/>
      <c r="I17" s="24"/>
      <c r="S17" s="24"/>
      <c r="T17" s="24"/>
      <c r="U17" s="24"/>
      <c r="V17" s="24"/>
      <c r="W17" s="24"/>
      <c r="X17" s="24"/>
      <c r="Y17" s="24"/>
      <c r="Z17" s="24"/>
      <c r="AA17" s="24"/>
      <c r="AE17" s="26"/>
      <c r="AF17" s="26"/>
      <c r="AG17" s="26"/>
      <c r="AH17" s="24"/>
      <c r="AI17" s="24"/>
      <c r="AJ17" s="24"/>
      <c r="AK17" s="24"/>
      <c r="AL17" s="24"/>
      <c r="AM17" s="24"/>
      <c r="AN17" s="23"/>
      <c r="AO17" s="23"/>
      <c r="AP17" s="23"/>
    </row>
    <row r="18">
      <c r="A18" s="24"/>
      <c r="B18" s="25"/>
      <c r="C18" s="24"/>
      <c r="D18" s="24"/>
      <c r="E18" s="24"/>
      <c r="F18" s="24"/>
      <c r="G18" s="23"/>
      <c r="H18" s="23"/>
      <c r="I18" s="24"/>
      <c r="S18" s="24"/>
      <c r="T18" s="24"/>
      <c r="U18" s="24"/>
      <c r="V18" s="24"/>
      <c r="W18" s="24"/>
      <c r="X18" s="24"/>
      <c r="Y18" s="24"/>
      <c r="Z18" s="24"/>
      <c r="AA18" s="24"/>
      <c r="AE18" s="26"/>
      <c r="AF18" s="26"/>
      <c r="AG18" s="26"/>
      <c r="AH18" s="24"/>
      <c r="AI18" s="24"/>
      <c r="AJ18" s="24"/>
      <c r="AK18" s="24"/>
      <c r="AL18" s="24"/>
      <c r="AM18" s="24"/>
      <c r="AN18" s="23"/>
      <c r="AO18" s="23"/>
      <c r="AP18" s="23"/>
    </row>
    <row r="19">
      <c r="A19" s="24"/>
      <c r="B19" s="25"/>
      <c r="C19" s="24"/>
      <c r="D19" s="24"/>
      <c r="E19" s="24"/>
      <c r="F19" s="24"/>
      <c r="G19" s="23"/>
      <c r="H19" s="23"/>
      <c r="I19" s="24"/>
      <c r="S19" s="24"/>
      <c r="T19" s="24"/>
      <c r="U19" s="24"/>
      <c r="V19" s="24"/>
      <c r="W19" s="24"/>
      <c r="X19" s="24"/>
      <c r="Y19" s="24"/>
      <c r="Z19" s="24"/>
      <c r="AA19" s="24"/>
      <c r="AE19" s="27"/>
      <c r="AF19" s="27"/>
      <c r="AG19" s="27"/>
      <c r="AH19" s="24"/>
      <c r="AI19" s="24"/>
      <c r="AJ19" s="24"/>
      <c r="AK19" s="24"/>
      <c r="AL19" s="24"/>
      <c r="AM19" s="24"/>
      <c r="AN19" s="23"/>
      <c r="AO19" s="23"/>
      <c r="AP19" s="23"/>
    </row>
    <row r="20">
      <c r="A20" s="24"/>
      <c r="B20" s="25"/>
      <c r="C20" s="24"/>
      <c r="D20" s="24"/>
      <c r="E20" s="24"/>
      <c r="F20" s="24"/>
      <c r="G20" s="23"/>
      <c r="H20" s="23"/>
      <c r="I20" s="24"/>
      <c r="S20" s="24"/>
      <c r="T20" s="24"/>
      <c r="U20" s="24"/>
      <c r="V20" s="24"/>
      <c r="W20" s="24"/>
      <c r="X20" s="24"/>
      <c r="Y20" s="24"/>
      <c r="Z20" s="24"/>
      <c r="AA20" s="24"/>
      <c r="AE20" s="27"/>
      <c r="AF20" s="27"/>
      <c r="AG20" s="27"/>
      <c r="AH20" s="24"/>
      <c r="AI20" s="24"/>
      <c r="AJ20" s="24"/>
      <c r="AK20" s="24"/>
      <c r="AL20" s="24"/>
      <c r="AM20" s="24"/>
      <c r="AN20" s="23"/>
      <c r="AO20" s="23"/>
      <c r="AP20" s="23"/>
    </row>
    <row r="21">
      <c r="A21" s="24"/>
      <c r="B21" s="25"/>
      <c r="C21" s="24"/>
      <c r="D21" s="24"/>
      <c r="E21" s="24"/>
      <c r="F21" s="24"/>
      <c r="G21" s="23"/>
      <c r="H21" s="23"/>
      <c r="I21" s="24"/>
      <c r="S21" s="24"/>
      <c r="T21" s="24"/>
      <c r="U21" s="24"/>
      <c r="V21" s="24"/>
      <c r="W21" s="24"/>
      <c r="X21" s="24"/>
      <c r="Y21" s="24"/>
      <c r="Z21" s="24"/>
      <c r="AA21" s="24"/>
      <c r="AE21" s="28"/>
      <c r="AF21" s="28"/>
      <c r="AG21" s="28"/>
      <c r="AH21" s="24"/>
      <c r="AI21" s="24"/>
      <c r="AJ21" s="24"/>
      <c r="AK21" s="24"/>
      <c r="AL21" s="24"/>
      <c r="AM21" s="24"/>
      <c r="AN21" s="23"/>
      <c r="AO21" s="23"/>
      <c r="AP21" s="23"/>
    </row>
    <row r="22">
      <c r="A22" s="24"/>
      <c r="B22" s="25"/>
      <c r="C22" s="24"/>
      <c r="D22" s="24"/>
      <c r="E22" s="24"/>
      <c r="F22" s="24"/>
      <c r="G22" s="23"/>
      <c r="H22" s="23"/>
      <c r="I22" s="24"/>
      <c r="S22" s="24"/>
      <c r="T22" s="24"/>
      <c r="U22" s="24"/>
      <c r="V22" s="24"/>
      <c r="W22" s="24"/>
      <c r="X22" s="24"/>
      <c r="Y22" s="24"/>
      <c r="Z22" s="24"/>
      <c r="AA22" s="24"/>
      <c r="AE22" s="28"/>
      <c r="AF22" s="28"/>
      <c r="AG22" s="28"/>
      <c r="AH22" s="24"/>
      <c r="AI22" s="24"/>
      <c r="AJ22" s="24"/>
      <c r="AK22" s="24"/>
      <c r="AL22" s="24"/>
      <c r="AM22" s="24"/>
      <c r="AN22" s="23"/>
      <c r="AO22" s="23"/>
      <c r="AP22" s="23"/>
    </row>
    <row r="23">
      <c r="A23" s="24"/>
      <c r="B23" s="25"/>
      <c r="C23" s="24"/>
      <c r="D23" s="24"/>
      <c r="E23" s="24"/>
      <c r="F23" s="24"/>
      <c r="G23" s="23"/>
      <c r="H23" s="23"/>
      <c r="I23" s="24"/>
      <c r="S23" s="24"/>
      <c r="T23" s="24"/>
      <c r="U23" s="24"/>
      <c r="V23" s="24"/>
      <c r="W23" s="24"/>
      <c r="X23" s="24"/>
      <c r="Y23" s="24"/>
      <c r="Z23" s="24"/>
      <c r="AA23" s="24"/>
      <c r="AE23" s="24"/>
      <c r="AF23" s="24"/>
      <c r="AG23" s="24"/>
      <c r="AH23" s="24"/>
      <c r="AI23" s="24"/>
      <c r="AJ23" s="24"/>
      <c r="AK23" s="24"/>
      <c r="AL23" s="24"/>
      <c r="AM23" s="24"/>
      <c r="AN23" s="23"/>
      <c r="AO23" s="23"/>
      <c r="AP23" s="23"/>
    </row>
    <row r="24">
      <c r="A24" s="24"/>
      <c r="B24" s="25"/>
      <c r="C24" s="24"/>
      <c r="D24" s="24"/>
      <c r="E24" s="24"/>
      <c r="F24" s="24"/>
      <c r="G24" s="23"/>
      <c r="H24" s="23"/>
      <c r="I24" s="24"/>
      <c r="S24" s="24"/>
      <c r="T24" s="24"/>
      <c r="U24" s="24"/>
      <c r="V24" s="24"/>
      <c r="W24" s="24"/>
      <c r="X24" s="24"/>
      <c r="Y24" s="24"/>
      <c r="Z24" s="24"/>
      <c r="AA24" s="24"/>
      <c r="AE24" s="24"/>
      <c r="AF24" s="24"/>
      <c r="AG24" s="24"/>
      <c r="AH24" s="24"/>
      <c r="AI24" s="24"/>
      <c r="AJ24" s="24"/>
      <c r="AK24" s="24"/>
      <c r="AL24" s="24"/>
      <c r="AM24" s="24"/>
      <c r="AN24" s="23"/>
      <c r="AO24" s="23"/>
      <c r="AP24" s="23"/>
    </row>
    <row r="25">
      <c r="A25" s="24"/>
      <c r="B25" s="25"/>
      <c r="C25" s="24"/>
      <c r="D25" s="24"/>
      <c r="E25" s="24"/>
      <c r="F25" s="24"/>
      <c r="G25" s="23"/>
      <c r="H25" s="23"/>
      <c r="I25" s="24"/>
      <c r="S25" s="24"/>
      <c r="T25" s="24"/>
      <c r="U25" s="24"/>
      <c r="V25" s="24"/>
      <c r="W25" s="24"/>
      <c r="X25" s="24"/>
      <c r="Y25" s="24"/>
      <c r="Z25" s="24"/>
      <c r="AA25" s="24"/>
      <c r="AE25" s="24"/>
      <c r="AF25" s="24"/>
      <c r="AG25" s="24"/>
      <c r="AH25" s="24"/>
      <c r="AI25" s="24"/>
      <c r="AJ25" s="24"/>
      <c r="AK25" s="24"/>
      <c r="AL25" s="24"/>
      <c r="AM25" s="24"/>
      <c r="AN25" s="23"/>
      <c r="AO25" s="23"/>
      <c r="AP25" s="23"/>
    </row>
    <row r="26">
      <c r="A26" s="24"/>
      <c r="B26" s="25"/>
      <c r="C26" s="24"/>
      <c r="D26" s="24"/>
      <c r="E26" s="24"/>
      <c r="F26" s="24"/>
      <c r="G26" s="23"/>
      <c r="H26" s="23"/>
      <c r="I26" s="24"/>
      <c r="S26" s="24"/>
      <c r="T26" s="24"/>
      <c r="U26" s="24"/>
      <c r="V26" s="24"/>
      <c r="W26" s="24"/>
      <c r="X26" s="24"/>
      <c r="Y26" s="24"/>
      <c r="Z26" s="24"/>
      <c r="AA26" s="24"/>
      <c r="AE26" s="24"/>
      <c r="AF26" s="24"/>
      <c r="AG26" s="24"/>
      <c r="AH26" s="24"/>
      <c r="AI26" s="24"/>
      <c r="AJ26" s="24"/>
      <c r="AK26" s="24"/>
      <c r="AL26" s="24"/>
      <c r="AM26" s="24"/>
      <c r="AN26" s="23"/>
      <c r="AO26" s="23"/>
      <c r="AP26" s="23"/>
    </row>
    <row r="27">
      <c r="A27" s="24"/>
      <c r="B27" s="25"/>
      <c r="C27" s="24"/>
      <c r="D27" s="24"/>
      <c r="E27" s="24"/>
      <c r="F27" s="24"/>
      <c r="G27" s="23"/>
      <c r="H27" s="23"/>
      <c r="I27" s="24"/>
      <c r="S27" s="24"/>
      <c r="T27" s="24"/>
      <c r="U27" s="24"/>
      <c r="V27" s="24"/>
      <c r="W27" s="24"/>
      <c r="X27" s="24"/>
      <c r="Y27" s="24"/>
      <c r="Z27" s="24"/>
      <c r="AA27" s="24"/>
      <c r="AE27" s="24"/>
      <c r="AF27" s="24"/>
      <c r="AG27" s="24"/>
      <c r="AH27" s="24"/>
      <c r="AI27" s="24"/>
      <c r="AJ27" s="24"/>
      <c r="AK27" s="24"/>
      <c r="AL27" s="24"/>
      <c r="AM27" s="24"/>
      <c r="AN27" s="23"/>
      <c r="AO27" s="23"/>
      <c r="AP27" s="23"/>
    </row>
    <row r="28">
      <c r="A28" s="24"/>
      <c r="B28" s="25"/>
      <c r="C28" s="24"/>
      <c r="D28" s="24"/>
      <c r="E28" s="24"/>
      <c r="F28" s="24"/>
      <c r="G28" s="23"/>
      <c r="H28" s="23"/>
      <c r="I28" s="24"/>
      <c r="S28" s="24"/>
      <c r="T28" s="24"/>
      <c r="U28" s="24"/>
      <c r="V28" s="24"/>
      <c r="W28" s="24"/>
      <c r="X28" s="24"/>
      <c r="Y28" s="24"/>
      <c r="Z28" s="24"/>
      <c r="AA28" s="24"/>
      <c r="AE28" s="24"/>
      <c r="AF28" s="24"/>
      <c r="AG28" s="24"/>
      <c r="AH28" s="24"/>
      <c r="AI28" s="24"/>
      <c r="AJ28" s="24"/>
      <c r="AK28" s="24"/>
      <c r="AL28" s="24"/>
      <c r="AM28" s="24"/>
      <c r="AN28" s="23"/>
      <c r="AO28" s="23"/>
      <c r="AP28" s="23"/>
    </row>
    <row r="29">
      <c r="A29" s="24"/>
      <c r="B29" s="25"/>
      <c r="C29" s="24"/>
      <c r="D29" s="24"/>
      <c r="E29" s="24"/>
      <c r="F29" s="24"/>
      <c r="G29" s="23"/>
      <c r="H29" s="23"/>
      <c r="I29" s="24"/>
      <c r="S29" s="24"/>
      <c r="T29" s="24"/>
      <c r="U29" s="24"/>
      <c r="V29" s="24"/>
      <c r="W29" s="24"/>
      <c r="X29" s="24"/>
      <c r="Y29" s="24"/>
      <c r="Z29" s="24"/>
      <c r="AA29" s="24"/>
      <c r="AE29" s="24"/>
      <c r="AF29" s="24"/>
      <c r="AG29" s="24"/>
      <c r="AH29" s="24"/>
      <c r="AI29" s="24"/>
      <c r="AJ29" s="24"/>
      <c r="AK29" s="24"/>
      <c r="AL29" s="24"/>
      <c r="AM29" s="24"/>
      <c r="AN29" s="23"/>
      <c r="AO29" s="23"/>
      <c r="AP29" s="23"/>
    </row>
    <row r="30">
      <c r="A30" s="24"/>
      <c r="B30" s="25"/>
      <c r="C30" s="24"/>
      <c r="D30" s="24"/>
      <c r="E30" s="24"/>
      <c r="F30" s="24"/>
      <c r="G30" s="23"/>
      <c r="H30" s="23"/>
      <c r="I30" s="24"/>
      <c r="S30" s="24"/>
      <c r="T30" s="24"/>
      <c r="U30" s="24"/>
      <c r="V30" s="24"/>
      <c r="W30" s="24"/>
      <c r="X30" s="24"/>
      <c r="Y30" s="24"/>
      <c r="Z30" s="24"/>
      <c r="AA30" s="24"/>
      <c r="AE30" s="24"/>
      <c r="AF30" s="24"/>
      <c r="AG30" s="24"/>
      <c r="AH30" s="24"/>
      <c r="AI30" s="24"/>
      <c r="AJ30" s="24"/>
      <c r="AK30" s="24"/>
      <c r="AL30" s="24"/>
      <c r="AM30" s="24"/>
      <c r="AN30" s="23"/>
      <c r="AO30" s="23"/>
      <c r="AP30" s="23"/>
    </row>
    <row r="31">
      <c r="A31" s="24"/>
      <c r="B31" s="25"/>
      <c r="C31" s="24"/>
      <c r="D31" s="24"/>
      <c r="E31" s="24"/>
      <c r="F31" s="24"/>
      <c r="G31" s="23"/>
      <c r="H31" s="23"/>
      <c r="I31" s="24"/>
      <c r="S31" s="24"/>
      <c r="T31" s="24"/>
      <c r="U31" s="24"/>
      <c r="V31" s="24"/>
      <c r="W31" s="24"/>
      <c r="X31" s="24"/>
      <c r="Y31" s="24"/>
      <c r="Z31" s="24"/>
      <c r="AA31" s="24"/>
      <c r="AE31" s="24"/>
      <c r="AF31" s="24"/>
      <c r="AG31" s="24"/>
      <c r="AH31" s="24"/>
      <c r="AI31" s="24"/>
      <c r="AJ31" s="24"/>
      <c r="AK31" s="24"/>
      <c r="AL31" s="24"/>
      <c r="AM31" s="24"/>
      <c r="AN31" s="23"/>
      <c r="AO31" s="23"/>
      <c r="AP31" s="23"/>
    </row>
    <row r="32">
      <c r="A32" s="24"/>
      <c r="B32" s="25"/>
      <c r="C32" s="24"/>
      <c r="D32" s="24"/>
      <c r="E32" s="24"/>
      <c r="F32" s="24"/>
      <c r="G32" s="23"/>
      <c r="H32" s="23"/>
      <c r="I32" s="24"/>
      <c r="S32" s="24"/>
      <c r="T32" s="24"/>
      <c r="U32" s="24"/>
      <c r="V32" s="24"/>
      <c r="W32" s="24"/>
      <c r="X32" s="24"/>
      <c r="Y32" s="24"/>
      <c r="Z32" s="24"/>
      <c r="AA32" s="24"/>
      <c r="AE32" s="24"/>
      <c r="AF32" s="24"/>
      <c r="AG32" s="24"/>
      <c r="AH32" s="24"/>
      <c r="AI32" s="24"/>
      <c r="AJ32" s="24"/>
      <c r="AK32" s="24"/>
      <c r="AL32" s="24"/>
      <c r="AM32" s="24"/>
      <c r="AN32" s="23"/>
      <c r="AO32" s="23"/>
      <c r="AP32" s="23"/>
    </row>
    <row r="33">
      <c r="A33" s="24"/>
      <c r="B33" s="25"/>
      <c r="C33" s="24"/>
      <c r="D33" s="24"/>
      <c r="E33" s="24"/>
      <c r="F33" s="24"/>
      <c r="G33" s="23"/>
      <c r="H33" s="23"/>
      <c r="I33" s="24"/>
      <c r="S33" s="24"/>
      <c r="T33" s="24"/>
      <c r="U33" s="24"/>
      <c r="V33" s="24"/>
      <c r="W33" s="24"/>
      <c r="X33" s="24"/>
      <c r="Y33" s="24"/>
      <c r="Z33" s="24"/>
      <c r="AA33" s="24"/>
      <c r="AE33" s="24"/>
      <c r="AF33" s="24"/>
      <c r="AG33" s="24"/>
      <c r="AH33" s="24"/>
      <c r="AI33" s="24"/>
      <c r="AJ33" s="24"/>
      <c r="AK33" s="24"/>
      <c r="AL33" s="24"/>
      <c r="AM33" s="24"/>
      <c r="AN33" s="23"/>
      <c r="AO33" s="23"/>
      <c r="AP33" s="23"/>
    </row>
    <row r="34">
      <c r="A34" s="24"/>
      <c r="B34" s="25"/>
      <c r="C34" s="24"/>
      <c r="D34" s="24"/>
      <c r="E34" s="24"/>
      <c r="F34" s="24"/>
      <c r="G34" s="23"/>
      <c r="H34" s="23"/>
      <c r="I34" s="24"/>
      <c r="S34" s="24"/>
      <c r="T34" s="24"/>
      <c r="U34" s="24"/>
      <c r="V34" s="24"/>
      <c r="W34" s="24"/>
      <c r="X34" s="24"/>
      <c r="Y34" s="24"/>
      <c r="Z34" s="24"/>
      <c r="AA34" s="24"/>
      <c r="AE34" s="24"/>
      <c r="AF34" s="24"/>
      <c r="AG34" s="24"/>
      <c r="AH34" s="24"/>
      <c r="AI34" s="24"/>
      <c r="AJ34" s="24"/>
      <c r="AK34" s="24"/>
      <c r="AL34" s="24"/>
      <c r="AM34" s="24"/>
      <c r="AN34" s="23"/>
      <c r="AO34" s="23"/>
      <c r="AP34" s="23"/>
    </row>
    <row r="35">
      <c r="A35" s="24"/>
      <c r="B35" s="25"/>
      <c r="C35" s="24"/>
      <c r="D35" s="24"/>
      <c r="E35" s="24"/>
      <c r="F35" s="24"/>
      <c r="G35" s="23"/>
      <c r="H35" s="23"/>
      <c r="I35" s="24"/>
      <c r="S35" s="24"/>
      <c r="T35" s="24"/>
      <c r="U35" s="24"/>
      <c r="V35" s="24"/>
      <c r="W35" s="24"/>
      <c r="X35" s="24"/>
      <c r="Y35" s="24"/>
      <c r="Z35" s="24"/>
      <c r="AA35" s="24"/>
      <c r="AE35" s="24"/>
      <c r="AF35" s="24"/>
      <c r="AG35" s="24"/>
      <c r="AH35" s="24"/>
      <c r="AI35" s="24"/>
      <c r="AJ35" s="24"/>
      <c r="AK35" s="24"/>
      <c r="AL35" s="24"/>
      <c r="AM35" s="24"/>
      <c r="AN35" s="23"/>
      <c r="AO35" s="23"/>
      <c r="AP35" s="23"/>
    </row>
    <row r="36">
      <c r="A36" s="24"/>
      <c r="B36" s="25"/>
      <c r="C36" s="24"/>
      <c r="D36" s="24"/>
      <c r="E36" s="24"/>
      <c r="F36" s="24"/>
      <c r="G36" s="23"/>
      <c r="H36" s="23"/>
      <c r="I36" s="24"/>
      <c r="S36" s="24"/>
      <c r="T36" s="24"/>
      <c r="U36" s="24"/>
      <c r="V36" s="24"/>
      <c r="W36" s="24"/>
      <c r="X36" s="24"/>
      <c r="Y36" s="24"/>
      <c r="Z36" s="24"/>
      <c r="AA36" s="24"/>
      <c r="AE36" s="24"/>
      <c r="AF36" s="24"/>
      <c r="AG36" s="24"/>
      <c r="AH36" s="24"/>
      <c r="AI36" s="24"/>
      <c r="AJ36" s="24"/>
      <c r="AK36" s="24"/>
      <c r="AL36" s="24"/>
      <c r="AM36" s="24"/>
      <c r="AN36" s="23"/>
      <c r="AO36" s="23"/>
      <c r="AP36" s="23"/>
    </row>
    <row r="37">
      <c r="A37" s="24"/>
      <c r="B37" s="25"/>
      <c r="C37" s="24"/>
      <c r="D37" s="24"/>
      <c r="E37" s="24"/>
      <c r="F37" s="24"/>
      <c r="G37" s="23"/>
      <c r="H37" s="23"/>
      <c r="I37" s="24"/>
      <c r="S37" s="24"/>
      <c r="T37" s="24"/>
      <c r="U37" s="24"/>
      <c r="V37" s="24"/>
      <c r="W37" s="24"/>
      <c r="X37" s="24"/>
      <c r="Y37" s="24"/>
      <c r="Z37" s="24"/>
      <c r="AA37" s="24"/>
      <c r="AE37" s="24"/>
      <c r="AF37" s="24"/>
      <c r="AG37" s="24"/>
      <c r="AH37" s="24"/>
      <c r="AI37" s="24"/>
      <c r="AJ37" s="24"/>
      <c r="AK37" s="24"/>
      <c r="AL37" s="24"/>
      <c r="AM37" s="24"/>
      <c r="AN37" s="23"/>
      <c r="AO37" s="23"/>
      <c r="AP37" s="23"/>
    </row>
    <row r="38">
      <c r="A38" s="24"/>
      <c r="B38" s="25"/>
      <c r="C38" s="24"/>
      <c r="D38" s="24"/>
      <c r="E38" s="24"/>
      <c r="F38" s="24"/>
      <c r="G38" s="23"/>
      <c r="H38" s="23"/>
      <c r="I38" s="24"/>
      <c r="S38" s="24"/>
      <c r="T38" s="24"/>
      <c r="U38" s="24"/>
      <c r="V38" s="24"/>
      <c r="W38" s="24"/>
      <c r="X38" s="24"/>
      <c r="Y38" s="24"/>
      <c r="Z38" s="24"/>
      <c r="AA38" s="24"/>
      <c r="AE38" s="24"/>
      <c r="AF38" s="24"/>
      <c r="AG38" s="24"/>
      <c r="AH38" s="24"/>
      <c r="AI38" s="24"/>
      <c r="AJ38" s="24"/>
      <c r="AK38" s="24"/>
      <c r="AL38" s="24"/>
      <c r="AM38" s="24"/>
      <c r="AN38" s="23"/>
      <c r="AO38" s="23"/>
      <c r="AP38" s="23"/>
    </row>
    <row r="39">
      <c r="A39" s="24"/>
      <c r="B39" s="25"/>
      <c r="C39" s="24"/>
      <c r="D39" s="24"/>
      <c r="E39" s="24"/>
      <c r="F39" s="24"/>
      <c r="G39" s="23"/>
      <c r="H39" s="23"/>
      <c r="I39" s="24"/>
      <c r="S39" s="24"/>
      <c r="T39" s="24"/>
      <c r="U39" s="24"/>
      <c r="V39" s="24"/>
      <c r="W39" s="24"/>
      <c r="X39" s="24"/>
      <c r="Y39" s="24"/>
      <c r="Z39" s="24"/>
      <c r="AA39" s="24"/>
      <c r="AE39" s="24"/>
      <c r="AF39" s="24"/>
      <c r="AG39" s="24"/>
      <c r="AH39" s="24"/>
      <c r="AI39" s="24"/>
      <c r="AJ39" s="24"/>
      <c r="AK39" s="24"/>
      <c r="AL39" s="24"/>
      <c r="AM39" s="24"/>
      <c r="AN39" s="23"/>
      <c r="AO39" s="23"/>
      <c r="AP39" s="23"/>
    </row>
    <row r="40">
      <c r="A40" s="24"/>
      <c r="B40" s="25"/>
      <c r="C40" s="24"/>
      <c r="D40" s="24"/>
      <c r="E40" s="24"/>
      <c r="F40" s="24"/>
      <c r="G40" s="23"/>
      <c r="H40" s="23"/>
      <c r="I40" s="24"/>
      <c r="S40" s="24"/>
      <c r="T40" s="24"/>
      <c r="U40" s="24"/>
      <c r="V40" s="24"/>
      <c r="W40" s="24"/>
      <c r="X40" s="24"/>
      <c r="Y40" s="24"/>
      <c r="Z40" s="24"/>
      <c r="AA40" s="24"/>
      <c r="AE40" s="24"/>
      <c r="AF40" s="24"/>
      <c r="AG40" s="24"/>
      <c r="AH40" s="24"/>
      <c r="AI40" s="24"/>
      <c r="AJ40" s="24"/>
      <c r="AK40" s="24"/>
      <c r="AL40" s="24"/>
      <c r="AM40" s="24"/>
      <c r="AN40" s="23"/>
      <c r="AO40" s="23"/>
      <c r="AP40" s="23"/>
    </row>
    <row r="41">
      <c r="A41" s="24"/>
      <c r="B41" s="25"/>
      <c r="C41" s="24"/>
      <c r="D41" s="24"/>
      <c r="E41" s="24"/>
      <c r="F41" s="24"/>
      <c r="G41" s="23"/>
      <c r="H41" s="23"/>
      <c r="I41" s="24"/>
      <c r="S41" s="24"/>
      <c r="T41" s="24"/>
      <c r="U41" s="24"/>
      <c r="V41" s="24"/>
      <c r="W41" s="24"/>
      <c r="X41" s="24"/>
      <c r="Y41" s="24"/>
      <c r="Z41" s="24"/>
      <c r="AA41" s="24"/>
      <c r="AE41" s="24"/>
      <c r="AF41" s="24"/>
      <c r="AG41" s="24"/>
      <c r="AH41" s="24"/>
      <c r="AI41" s="24"/>
      <c r="AJ41" s="24"/>
      <c r="AK41" s="24"/>
      <c r="AL41" s="24"/>
      <c r="AM41" s="24"/>
      <c r="AN41" s="23"/>
      <c r="AO41" s="23"/>
      <c r="AP41" s="23"/>
    </row>
    <row r="42">
      <c r="A42" s="24"/>
      <c r="B42" s="25"/>
      <c r="C42" s="24"/>
      <c r="D42" s="24"/>
      <c r="E42" s="24"/>
      <c r="F42" s="24"/>
      <c r="G42" s="23"/>
      <c r="H42" s="23"/>
      <c r="I42" s="24"/>
      <c r="S42" s="24"/>
      <c r="T42" s="24"/>
      <c r="U42" s="24"/>
      <c r="V42" s="24"/>
      <c r="W42" s="24"/>
      <c r="X42" s="24"/>
      <c r="Y42" s="24"/>
      <c r="Z42" s="24"/>
      <c r="AA42" s="24"/>
      <c r="AE42" s="24"/>
      <c r="AF42" s="24"/>
      <c r="AG42" s="24"/>
      <c r="AH42" s="24"/>
      <c r="AI42" s="24"/>
      <c r="AJ42" s="24"/>
      <c r="AK42" s="24"/>
      <c r="AL42" s="24"/>
      <c r="AM42" s="24"/>
      <c r="AN42" s="23"/>
      <c r="AO42" s="23"/>
      <c r="AP42" s="23"/>
    </row>
    <row r="43">
      <c r="A43" s="24"/>
      <c r="B43" s="25"/>
      <c r="C43" s="24"/>
      <c r="D43" s="24"/>
      <c r="E43" s="24"/>
      <c r="F43" s="24"/>
      <c r="G43" s="23"/>
      <c r="H43" s="23"/>
      <c r="I43" s="24"/>
      <c r="S43" s="24"/>
      <c r="T43" s="24"/>
      <c r="U43" s="24"/>
      <c r="V43" s="24"/>
      <c r="W43" s="24"/>
      <c r="X43" s="24"/>
      <c r="Y43" s="24"/>
      <c r="Z43" s="24"/>
      <c r="AA43" s="24"/>
      <c r="AE43" s="24"/>
      <c r="AF43" s="24"/>
      <c r="AG43" s="24"/>
      <c r="AH43" s="24"/>
      <c r="AI43" s="24"/>
      <c r="AJ43" s="24"/>
      <c r="AK43" s="24"/>
      <c r="AL43" s="24"/>
      <c r="AM43" s="24"/>
      <c r="AN43" s="23"/>
      <c r="AO43" s="23"/>
      <c r="AP43" s="23"/>
    </row>
    <row r="44">
      <c r="A44" s="24"/>
      <c r="B44" s="25"/>
      <c r="C44" s="24"/>
      <c r="D44" s="24"/>
      <c r="E44" s="24"/>
      <c r="F44" s="24"/>
      <c r="G44" s="23"/>
      <c r="H44" s="23"/>
      <c r="I44" s="24"/>
      <c r="S44" s="24"/>
      <c r="T44" s="24"/>
      <c r="U44" s="24"/>
      <c r="V44" s="24"/>
      <c r="W44" s="24"/>
      <c r="X44" s="24"/>
      <c r="Y44" s="24"/>
      <c r="Z44" s="24"/>
      <c r="AA44" s="24"/>
      <c r="AE44" s="24"/>
      <c r="AF44" s="24"/>
      <c r="AG44" s="24"/>
      <c r="AH44" s="24"/>
      <c r="AI44" s="24"/>
      <c r="AJ44" s="24"/>
      <c r="AK44" s="24"/>
      <c r="AL44" s="24"/>
      <c r="AM44" s="24"/>
      <c r="AN44" s="23"/>
      <c r="AO44" s="23"/>
      <c r="AP44" s="23"/>
    </row>
    <row r="45">
      <c r="A45" s="24"/>
      <c r="B45" s="25"/>
      <c r="C45" s="24"/>
      <c r="D45" s="24"/>
      <c r="E45" s="24"/>
      <c r="F45" s="24"/>
      <c r="G45" s="23"/>
      <c r="H45" s="23"/>
      <c r="I45" s="24"/>
      <c r="S45" s="24"/>
      <c r="T45" s="24"/>
      <c r="U45" s="24"/>
      <c r="V45" s="24"/>
      <c r="W45" s="24"/>
      <c r="X45" s="24"/>
      <c r="Y45" s="24"/>
      <c r="Z45" s="24"/>
      <c r="AA45" s="24"/>
      <c r="AE45" s="24"/>
      <c r="AF45" s="24"/>
      <c r="AG45" s="24"/>
      <c r="AH45" s="24"/>
      <c r="AI45" s="24"/>
      <c r="AJ45" s="24"/>
      <c r="AK45" s="24"/>
      <c r="AL45" s="24"/>
      <c r="AM45" s="24"/>
      <c r="AN45" s="23"/>
      <c r="AO45" s="23"/>
      <c r="AP45" s="23"/>
    </row>
    <row r="46">
      <c r="A46" s="24"/>
      <c r="B46" s="25"/>
      <c r="C46" s="24"/>
      <c r="D46" s="24"/>
      <c r="E46" s="24"/>
      <c r="F46" s="24"/>
      <c r="G46" s="23"/>
      <c r="H46" s="23"/>
      <c r="I46" s="24"/>
      <c r="S46" s="24"/>
      <c r="T46" s="24"/>
      <c r="U46" s="24"/>
      <c r="V46" s="24"/>
      <c r="W46" s="24"/>
      <c r="X46" s="24"/>
      <c r="Y46" s="24"/>
      <c r="Z46" s="24"/>
      <c r="AA46" s="24"/>
      <c r="AE46" s="24"/>
      <c r="AF46" s="24"/>
      <c r="AG46" s="24"/>
      <c r="AH46" s="24"/>
      <c r="AI46" s="24"/>
      <c r="AJ46" s="24"/>
      <c r="AK46" s="24"/>
      <c r="AL46" s="24"/>
      <c r="AM46" s="24"/>
      <c r="AN46" s="23"/>
      <c r="AO46" s="23"/>
      <c r="AP46" s="23"/>
    </row>
    <row r="47">
      <c r="A47" s="24"/>
      <c r="B47" s="25"/>
      <c r="C47" s="24"/>
      <c r="D47" s="24"/>
      <c r="E47" s="24"/>
      <c r="F47" s="24"/>
      <c r="G47" s="23"/>
      <c r="H47" s="23"/>
      <c r="I47" s="24"/>
      <c r="S47" s="24"/>
      <c r="T47" s="24"/>
      <c r="U47" s="24"/>
      <c r="V47" s="24"/>
      <c r="W47" s="24"/>
      <c r="X47" s="24"/>
      <c r="Y47" s="24"/>
      <c r="Z47" s="24"/>
      <c r="AA47" s="24"/>
      <c r="AE47" s="24"/>
      <c r="AF47" s="24"/>
      <c r="AG47" s="24"/>
      <c r="AH47" s="24"/>
      <c r="AI47" s="24"/>
      <c r="AJ47" s="24"/>
      <c r="AK47" s="24"/>
      <c r="AL47" s="24"/>
      <c r="AM47" s="24"/>
      <c r="AN47" s="23"/>
      <c r="AO47" s="23"/>
      <c r="AP47" s="23"/>
    </row>
    <row r="48">
      <c r="A48" s="24"/>
      <c r="B48" s="25"/>
      <c r="C48" s="24"/>
      <c r="D48" s="24"/>
      <c r="E48" s="24"/>
      <c r="F48" s="24"/>
      <c r="G48" s="23"/>
      <c r="H48" s="23"/>
      <c r="I48" s="24"/>
      <c r="S48" s="24"/>
      <c r="T48" s="24"/>
      <c r="U48" s="24"/>
      <c r="V48" s="24"/>
      <c r="W48" s="24"/>
      <c r="X48" s="24"/>
      <c r="Y48" s="24"/>
      <c r="Z48" s="24"/>
      <c r="AA48" s="24"/>
      <c r="AE48" s="24"/>
      <c r="AF48" s="24"/>
      <c r="AG48" s="24"/>
      <c r="AH48" s="24"/>
      <c r="AI48" s="24"/>
      <c r="AJ48" s="24"/>
      <c r="AK48" s="24"/>
      <c r="AL48" s="24"/>
      <c r="AM48" s="24"/>
      <c r="AN48" s="23"/>
      <c r="AO48" s="23"/>
      <c r="AP48" s="23"/>
    </row>
    <row r="49">
      <c r="A49" s="24"/>
      <c r="B49" s="25"/>
      <c r="C49" s="24"/>
      <c r="D49" s="24"/>
      <c r="E49" s="24"/>
      <c r="F49" s="24"/>
      <c r="G49" s="23"/>
      <c r="H49" s="23"/>
      <c r="I49" s="24"/>
      <c r="S49" s="24"/>
      <c r="T49" s="24"/>
      <c r="U49" s="24"/>
      <c r="V49" s="24"/>
      <c r="W49" s="24"/>
      <c r="X49" s="24"/>
      <c r="Y49" s="24"/>
      <c r="Z49" s="24"/>
      <c r="AA49" s="24"/>
      <c r="AE49" s="24"/>
      <c r="AF49" s="24"/>
      <c r="AG49" s="24"/>
      <c r="AH49" s="24"/>
      <c r="AI49" s="24"/>
      <c r="AJ49" s="24"/>
      <c r="AK49" s="24"/>
      <c r="AL49" s="24"/>
      <c r="AM49" s="24"/>
      <c r="AN49" s="23"/>
      <c r="AO49" s="23"/>
      <c r="AP49" s="23"/>
    </row>
    <row r="50">
      <c r="A50" s="24"/>
      <c r="B50" s="25"/>
      <c r="C50" s="24"/>
      <c r="D50" s="24"/>
      <c r="E50" s="24"/>
      <c r="F50" s="24"/>
      <c r="G50" s="23"/>
      <c r="H50" s="23"/>
      <c r="I50" s="24"/>
      <c r="S50" s="24"/>
      <c r="T50" s="24"/>
      <c r="U50" s="24"/>
      <c r="V50" s="24"/>
      <c r="W50" s="24"/>
      <c r="X50" s="24"/>
      <c r="Y50" s="24"/>
      <c r="Z50" s="24"/>
      <c r="AA50" s="24"/>
      <c r="AE50" s="24"/>
      <c r="AF50" s="24"/>
      <c r="AG50" s="24"/>
      <c r="AH50" s="24"/>
      <c r="AI50" s="24"/>
      <c r="AJ50" s="24"/>
      <c r="AK50" s="24"/>
      <c r="AL50" s="24"/>
      <c r="AM50" s="24"/>
      <c r="AN50" s="23"/>
      <c r="AO50" s="23"/>
      <c r="AP50" s="23"/>
    </row>
    <row r="51">
      <c r="A51" s="24"/>
      <c r="B51" s="25"/>
      <c r="C51" s="24"/>
      <c r="D51" s="24"/>
      <c r="E51" s="24"/>
      <c r="F51" s="24"/>
      <c r="G51" s="23"/>
      <c r="H51" s="23"/>
      <c r="I51" s="24"/>
      <c r="S51" s="24"/>
      <c r="T51" s="24"/>
      <c r="U51" s="24"/>
      <c r="V51" s="24"/>
      <c r="W51" s="24"/>
      <c r="X51" s="24"/>
      <c r="Y51" s="24"/>
      <c r="Z51" s="24"/>
      <c r="AA51" s="24"/>
      <c r="AE51" s="24"/>
      <c r="AF51" s="24"/>
      <c r="AG51" s="24"/>
      <c r="AH51" s="24"/>
      <c r="AI51" s="24"/>
      <c r="AJ51" s="24"/>
      <c r="AK51" s="24"/>
      <c r="AL51" s="24"/>
      <c r="AM51" s="24"/>
      <c r="AN51" s="23"/>
      <c r="AO51" s="23"/>
      <c r="AP51" s="23"/>
    </row>
    <row r="52">
      <c r="A52" s="24"/>
      <c r="B52" s="25"/>
      <c r="C52" s="24"/>
      <c r="D52" s="24"/>
      <c r="E52" s="24"/>
      <c r="F52" s="24"/>
      <c r="G52" s="23"/>
      <c r="H52" s="23"/>
      <c r="I52" s="24"/>
      <c r="S52" s="24"/>
      <c r="T52" s="24"/>
      <c r="U52" s="24"/>
      <c r="V52" s="24"/>
      <c r="W52" s="24"/>
      <c r="X52" s="24"/>
      <c r="Y52" s="24"/>
      <c r="Z52" s="24"/>
      <c r="AA52" s="24"/>
      <c r="AE52" s="24"/>
      <c r="AF52" s="24"/>
      <c r="AG52" s="24"/>
      <c r="AH52" s="24"/>
      <c r="AI52" s="24"/>
      <c r="AJ52" s="24"/>
      <c r="AK52" s="24"/>
      <c r="AL52" s="24"/>
      <c r="AM52" s="24"/>
      <c r="AN52" s="23"/>
      <c r="AO52" s="23"/>
      <c r="AP52" s="23"/>
    </row>
    <row r="53">
      <c r="A53" s="24"/>
      <c r="B53" s="25"/>
      <c r="C53" s="24"/>
      <c r="D53" s="24"/>
      <c r="E53" s="24"/>
      <c r="F53" s="24"/>
      <c r="G53" s="23"/>
      <c r="H53" s="23"/>
      <c r="I53" s="24"/>
      <c r="S53" s="24"/>
      <c r="T53" s="24"/>
      <c r="U53" s="24"/>
      <c r="V53" s="24"/>
      <c r="W53" s="24"/>
      <c r="X53" s="24"/>
      <c r="Y53" s="24"/>
      <c r="Z53" s="24"/>
      <c r="AA53" s="24"/>
      <c r="AE53" s="24"/>
      <c r="AF53" s="24"/>
      <c r="AG53" s="24"/>
      <c r="AH53" s="24"/>
      <c r="AI53" s="24"/>
      <c r="AJ53" s="24"/>
      <c r="AK53" s="24"/>
      <c r="AL53" s="24"/>
      <c r="AM53" s="24"/>
      <c r="AN53" s="23"/>
      <c r="AO53" s="23"/>
      <c r="AP53" s="23"/>
    </row>
    <row r="54">
      <c r="A54" s="24"/>
      <c r="B54" s="25"/>
      <c r="C54" s="24"/>
      <c r="D54" s="24"/>
      <c r="E54" s="24"/>
      <c r="F54" s="24"/>
      <c r="G54" s="23"/>
      <c r="H54" s="23"/>
      <c r="I54" s="24"/>
      <c r="S54" s="24"/>
      <c r="T54" s="24"/>
      <c r="U54" s="24"/>
      <c r="V54" s="24"/>
      <c r="W54" s="24"/>
      <c r="X54" s="24"/>
      <c r="Y54" s="24"/>
      <c r="Z54" s="24"/>
      <c r="AA54" s="24"/>
      <c r="AE54" s="24"/>
      <c r="AF54" s="24"/>
      <c r="AG54" s="24"/>
      <c r="AH54" s="24"/>
      <c r="AI54" s="24"/>
      <c r="AJ54" s="24"/>
      <c r="AK54" s="24"/>
      <c r="AL54" s="24"/>
      <c r="AM54" s="24"/>
      <c r="AN54" s="23"/>
      <c r="AO54" s="23"/>
      <c r="AP54" s="23"/>
    </row>
    <row r="55">
      <c r="A55" s="24"/>
      <c r="B55" s="25"/>
      <c r="C55" s="24"/>
      <c r="D55" s="24"/>
      <c r="E55" s="24"/>
      <c r="F55" s="24"/>
      <c r="G55" s="23"/>
      <c r="H55" s="23"/>
      <c r="I55" s="24"/>
      <c r="S55" s="24"/>
      <c r="T55" s="24"/>
      <c r="U55" s="24"/>
      <c r="V55" s="24"/>
      <c r="W55" s="24"/>
      <c r="X55" s="24"/>
      <c r="Y55" s="24"/>
      <c r="Z55" s="24"/>
      <c r="AA55" s="24"/>
      <c r="AE55" s="24"/>
      <c r="AF55" s="24"/>
      <c r="AG55" s="24"/>
      <c r="AH55" s="24"/>
      <c r="AI55" s="24"/>
      <c r="AJ55" s="24"/>
      <c r="AK55" s="24"/>
      <c r="AL55" s="24"/>
      <c r="AM55" s="24"/>
      <c r="AN55" s="23"/>
      <c r="AO55" s="23"/>
      <c r="AP55" s="23"/>
    </row>
    <row r="56">
      <c r="A56" s="24"/>
      <c r="B56" s="25"/>
      <c r="C56" s="24"/>
      <c r="D56" s="24"/>
      <c r="E56" s="24"/>
      <c r="F56" s="24"/>
      <c r="G56" s="23"/>
      <c r="H56" s="23"/>
      <c r="I56" s="24"/>
      <c r="S56" s="24"/>
      <c r="T56" s="24"/>
      <c r="U56" s="24"/>
      <c r="V56" s="24"/>
      <c r="W56" s="24"/>
      <c r="X56" s="24"/>
      <c r="Y56" s="24"/>
      <c r="Z56" s="24"/>
      <c r="AA56" s="24"/>
      <c r="AE56" s="24"/>
      <c r="AF56" s="24"/>
      <c r="AG56" s="24"/>
      <c r="AH56" s="24"/>
      <c r="AI56" s="24"/>
      <c r="AJ56" s="24"/>
      <c r="AK56" s="24"/>
      <c r="AL56" s="24"/>
      <c r="AM56" s="24"/>
      <c r="AN56" s="23"/>
      <c r="AO56" s="23"/>
      <c r="AP56" s="23"/>
    </row>
    <row r="57">
      <c r="A57" s="24"/>
      <c r="B57" s="25"/>
      <c r="C57" s="24"/>
      <c r="D57" s="24"/>
      <c r="E57" s="24"/>
      <c r="F57" s="24"/>
      <c r="G57" s="23"/>
      <c r="H57" s="23"/>
      <c r="I57" s="24"/>
      <c r="S57" s="24"/>
      <c r="T57" s="24"/>
      <c r="U57" s="24"/>
      <c r="V57" s="24"/>
      <c r="W57" s="24"/>
      <c r="X57" s="24"/>
      <c r="Y57" s="24"/>
      <c r="Z57" s="24"/>
      <c r="AA57" s="24"/>
      <c r="AE57" s="24"/>
      <c r="AF57" s="24"/>
      <c r="AG57" s="24"/>
      <c r="AH57" s="24"/>
      <c r="AI57" s="24"/>
      <c r="AJ57" s="24"/>
      <c r="AK57" s="24"/>
      <c r="AL57" s="24"/>
      <c r="AM57" s="24"/>
      <c r="AN57" s="23"/>
      <c r="AO57" s="23"/>
      <c r="AP57" s="23"/>
    </row>
    <row r="58">
      <c r="A58" s="24"/>
      <c r="B58" s="25"/>
      <c r="C58" s="24"/>
      <c r="D58" s="24"/>
      <c r="E58" s="24"/>
      <c r="F58" s="24"/>
      <c r="G58" s="23"/>
      <c r="H58" s="23"/>
      <c r="I58" s="24"/>
      <c r="S58" s="24"/>
      <c r="T58" s="24"/>
      <c r="U58" s="24"/>
      <c r="V58" s="24"/>
      <c r="W58" s="24"/>
      <c r="X58" s="24"/>
      <c r="Y58" s="24"/>
      <c r="Z58" s="24"/>
      <c r="AA58" s="24"/>
      <c r="AE58" s="24"/>
      <c r="AF58" s="24"/>
      <c r="AG58" s="24"/>
      <c r="AH58" s="24"/>
      <c r="AI58" s="24"/>
      <c r="AJ58" s="24"/>
      <c r="AK58" s="24"/>
      <c r="AL58" s="24"/>
      <c r="AM58" s="24"/>
      <c r="AN58" s="23"/>
      <c r="AO58" s="23"/>
      <c r="AP58" s="23"/>
    </row>
    <row r="59">
      <c r="A59" s="24"/>
      <c r="B59" s="25"/>
      <c r="C59" s="24"/>
      <c r="D59" s="24"/>
      <c r="E59" s="24"/>
      <c r="F59" s="24"/>
      <c r="G59" s="23"/>
      <c r="H59" s="23"/>
      <c r="I59" s="24"/>
      <c r="S59" s="24"/>
      <c r="T59" s="24"/>
      <c r="U59" s="24"/>
      <c r="V59" s="24"/>
      <c r="W59" s="24"/>
      <c r="X59" s="24"/>
      <c r="Y59" s="24"/>
      <c r="Z59" s="24"/>
      <c r="AA59" s="24"/>
      <c r="AE59" s="24"/>
      <c r="AF59" s="24"/>
      <c r="AG59" s="24"/>
      <c r="AH59" s="24"/>
      <c r="AI59" s="24"/>
      <c r="AJ59" s="24"/>
      <c r="AK59" s="24"/>
      <c r="AL59" s="24"/>
      <c r="AM59" s="24"/>
      <c r="AN59" s="23"/>
      <c r="AO59" s="23"/>
      <c r="AP59" s="23"/>
    </row>
    <row r="60">
      <c r="A60" s="24"/>
      <c r="B60" s="25"/>
      <c r="C60" s="24"/>
      <c r="D60" s="24"/>
      <c r="E60" s="24"/>
      <c r="F60" s="24"/>
      <c r="G60" s="23"/>
      <c r="H60" s="23"/>
      <c r="I60" s="24"/>
      <c r="S60" s="24"/>
      <c r="T60" s="24"/>
      <c r="U60" s="24"/>
      <c r="V60" s="24"/>
      <c r="W60" s="24"/>
      <c r="X60" s="24"/>
      <c r="Y60" s="24"/>
      <c r="Z60" s="24"/>
      <c r="AA60" s="24"/>
      <c r="AE60" s="24"/>
      <c r="AF60" s="24"/>
      <c r="AG60" s="24"/>
      <c r="AH60" s="24"/>
      <c r="AI60" s="24"/>
      <c r="AJ60" s="24"/>
      <c r="AK60" s="24"/>
      <c r="AL60" s="24"/>
      <c r="AM60" s="24"/>
      <c r="AN60" s="23"/>
      <c r="AO60" s="23"/>
      <c r="AP60" s="23"/>
    </row>
    <row r="61">
      <c r="A61" s="24"/>
      <c r="B61" s="25"/>
      <c r="C61" s="24"/>
      <c r="D61" s="24"/>
      <c r="E61" s="24"/>
      <c r="F61" s="24"/>
      <c r="G61" s="23"/>
      <c r="H61" s="23"/>
      <c r="I61" s="24"/>
      <c r="S61" s="24"/>
      <c r="T61" s="24"/>
      <c r="U61" s="24"/>
      <c r="V61" s="24"/>
      <c r="W61" s="24"/>
      <c r="X61" s="24"/>
      <c r="Y61" s="24"/>
      <c r="Z61" s="24"/>
      <c r="AA61" s="24"/>
      <c r="AE61" s="24"/>
      <c r="AF61" s="24"/>
      <c r="AG61" s="24"/>
      <c r="AH61" s="24"/>
      <c r="AI61" s="24"/>
      <c r="AJ61" s="24"/>
      <c r="AK61" s="24"/>
      <c r="AL61" s="24"/>
      <c r="AM61" s="24"/>
      <c r="AN61" s="23"/>
      <c r="AO61" s="23"/>
      <c r="AP61" s="23"/>
    </row>
    <row r="62">
      <c r="A62" s="24"/>
      <c r="B62" s="25"/>
      <c r="C62" s="24"/>
      <c r="D62" s="24"/>
      <c r="E62" s="24"/>
      <c r="F62" s="24"/>
      <c r="G62" s="23"/>
      <c r="H62" s="23"/>
      <c r="I62" s="24"/>
      <c r="S62" s="24"/>
      <c r="T62" s="24"/>
      <c r="U62" s="24"/>
      <c r="V62" s="24"/>
      <c r="W62" s="24"/>
      <c r="X62" s="24"/>
      <c r="Y62" s="24"/>
      <c r="Z62" s="24"/>
      <c r="AA62" s="24"/>
      <c r="AE62" s="24"/>
      <c r="AF62" s="24"/>
      <c r="AG62" s="24"/>
      <c r="AH62" s="24"/>
      <c r="AI62" s="24"/>
      <c r="AJ62" s="24"/>
      <c r="AK62" s="24"/>
      <c r="AL62" s="24"/>
      <c r="AM62" s="24"/>
      <c r="AN62" s="23"/>
      <c r="AO62" s="23"/>
      <c r="AP62" s="23"/>
    </row>
    <row r="63">
      <c r="A63" s="24"/>
      <c r="B63" s="25"/>
      <c r="C63" s="24"/>
      <c r="D63" s="24"/>
      <c r="E63" s="24"/>
      <c r="F63" s="24"/>
      <c r="G63" s="23"/>
      <c r="H63" s="23"/>
      <c r="I63" s="24"/>
      <c r="S63" s="24"/>
      <c r="T63" s="24"/>
      <c r="U63" s="24"/>
      <c r="V63" s="24"/>
      <c r="W63" s="24"/>
      <c r="X63" s="24"/>
      <c r="Y63" s="24"/>
      <c r="Z63" s="24"/>
      <c r="AA63" s="24"/>
      <c r="AE63" s="24"/>
      <c r="AF63" s="24"/>
      <c r="AG63" s="24"/>
      <c r="AH63" s="24"/>
      <c r="AI63" s="24"/>
      <c r="AJ63" s="24"/>
      <c r="AK63" s="24"/>
      <c r="AL63" s="24"/>
      <c r="AM63" s="24"/>
      <c r="AN63" s="23"/>
      <c r="AO63" s="23"/>
      <c r="AP63" s="23"/>
    </row>
    <row r="64">
      <c r="A64" s="24"/>
      <c r="B64" s="25"/>
      <c r="C64" s="24"/>
      <c r="D64" s="24"/>
      <c r="E64" s="24"/>
      <c r="F64" s="24"/>
      <c r="G64" s="23"/>
      <c r="H64" s="23"/>
      <c r="I64" s="24"/>
      <c r="S64" s="24"/>
      <c r="T64" s="24"/>
      <c r="U64" s="24"/>
      <c r="V64" s="24"/>
      <c r="W64" s="24"/>
      <c r="X64" s="24"/>
      <c r="Y64" s="24"/>
      <c r="Z64" s="24"/>
      <c r="AA64" s="24"/>
      <c r="AE64" s="24"/>
      <c r="AF64" s="24"/>
      <c r="AG64" s="24"/>
      <c r="AH64" s="24"/>
      <c r="AI64" s="24"/>
      <c r="AJ64" s="24"/>
      <c r="AK64" s="24"/>
      <c r="AL64" s="24"/>
      <c r="AM64" s="24"/>
      <c r="AN64" s="23"/>
      <c r="AO64" s="23"/>
      <c r="AP64" s="23"/>
    </row>
    <row r="65">
      <c r="A65" s="24"/>
      <c r="B65" s="25"/>
      <c r="C65" s="24"/>
      <c r="D65" s="24"/>
      <c r="E65" s="24"/>
      <c r="F65" s="24"/>
      <c r="G65" s="23"/>
      <c r="H65" s="23"/>
      <c r="I65" s="24"/>
      <c r="S65" s="24"/>
      <c r="T65" s="24"/>
      <c r="U65" s="24"/>
      <c r="V65" s="24"/>
      <c r="W65" s="24"/>
      <c r="X65" s="24"/>
      <c r="Y65" s="24"/>
      <c r="Z65" s="24"/>
      <c r="AA65" s="24"/>
      <c r="AE65" s="24"/>
      <c r="AF65" s="24"/>
      <c r="AG65" s="24"/>
      <c r="AH65" s="24"/>
      <c r="AI65" s="24"/>
      <c r="AJ65" s="24"/>
      <c r="AK65" s="24"/>
      <c r="AL65" s="24"/>
      <c r="AM65" s="24"/>
      <c r="AN65" s="23"/>
      <c r="AO65" s="23"/>
      <c r="AP65" s="23"/>
    </row>
    <row r="66">
      <c r="A66" s="24"/>
      <c r="B66" s="25"/>
      <c r="C66" s="24"/>
      <c r="D66" s="24"/>
      <c r="E66" s="24"/>
      <c r="F66" s="24"/>
      <c r="G66" s="23"/>
      <c r="H66" s="23"/>
      <c r="I66" s="24"/>
      <c r="S66" s="24"/>
      <c r="T66" s="24"/>
      <c r="U66" s="24"/>
      <c r="V66" s="24"/>
      <c r="W66" s="24"/>
      <c r="X66" s="24"/>
      <c r="Y66" s="24"/>
      <c r="Z66" s="24"/>
      <c r="AA66" s="24"/>
      <c r="AE66" s="24"/>
      <c r="AF66" s="24"/>
      <c r="AG66" s="24"/>
      <c r="AH66" s="24"/>
      <c r="AI66" s="24"/>
      <c r="AJ66" s="24"/>
      <c r="AK66" s="24"/>
      <c r="AL66" s="24"/>
      <c r="AM66" s="24"/>
      <c r="AN66" s="23"/>
      <c r="AO66" s="23"/>
      <c r="AP66" s="23"/>
    </row>
    <row r="67">
      <c r="A67" s="24"/>
      <c r="B67" s="25"/>
      <c r="C67" s="24"/>
      <c r="D67" s="24"/>
      <c r="E67" s="24"/>
      <c r="F67" s="24"/>
      <c r="G67" s="23"/>
      <c r="H67" s="23"/>
      <c r="I67" s="24"/>
      <c r="S67" s="24"/>
      <c r="T67" s="24"/>
      <c r="U67" s="24"/>
      <c r="V67" s="24"/>
      <c r="W67" s="24"/>
      <c r="X67" s="24"/>
      <c r="Y67" s="24"/>
      <c r="Z67" s="24"/>
      <c r="AA67" s="24"/>
      <c r="AE67" s="24"/>
      <c r="AF67" s="24"/>
      <c r="AG67" s="24"/>
      <c r="AH67" s="24"/>
      <c r="AI67" s="24"/>
      <c r="AJ67" s="24"/>
      <c r="AK67" s="24"/>
      <c r="AL67" s="24"/>
      <c r="AM67" s="24"/>
      <c r="AN67" s="23"/>
      <c r="AO67" s="23"/>
      <c r="AP67" s="23"/>
    </row>
    <row r="68">
      <c r="A68" s="24"/>
      <c r="B68" s="25"/>
      <c r="C68" s="24"/>
      <c r="D68" s="24"/>
      <c r="E68" s="24"/>
      <c r="F68" s="24"/>
      <c r="G68" s="23"/>
      <c r="H68" s="23"/>
      <c r="I68" s="24"/>
      <c r="S68" s="24"/>
      <c r="T68" s="24"/>
      <c r="U68" s="24"/>
      <c r="V68" s="24"/>
      <c r="W68" s="24"/>
      <c r="X68" s="24"/>
      <c r="Y68" s="24"/>
      <c r="Z68" s="24"/>
      <c r="AA68" s="24"/>
      <c r="AE68" s="24"/>
      <c r="AF68" s="24"/>
      <c r="AG68" s="24"/>
      <c r="AH68" s="24"/>
      <c r="AI68" s="24"/>
      <c r="AJ68" s="24"/>
      <c r="AK68" s="24"/>
      <c r="AL68" s="24"/>
      <c r="AM68" s="24"/>
      <c r="AN68" s="23"/>
      <c r="AO68" s="23"/>
      <c r="AP68" s="23"/>
    </row>
    <row r="69">
      <c r="A69" s="24"/>
      <c r="B69" s="25"/>
      <c r="C69" s="24"/>
      <c r="D69" s="24"/>
      <c r="E69" s="24"/>
      <c r="F69" s="24"/>
      <c r="G69" s="23"/>
      <c r="H69" s="23"/>
      <c r="I69" s="24"/>
      <c r="S69" s="24"/>
      <c r="T69" s="24"/>
      <c r="U69" s="24"/>
      <c r="V69" s="24"/>
      <c r="W69" s="24"/>
      <c r="X69" s="24"/>
      <c r="Y69" s="24"/>
      <c r="Z69" s="24"/>
      <c r="AA69" s="24"/>
      <c r="AE69" s="24"/>
      <c r="AF69" s="24"/>
      <c r="AG69" s="24"/>
      <c r="AH69" s="24"/>
      <c r="AI69" s="24"/>
      <c r="AJ69" s="24"/>
      <c r="AK69" s="24"/>
      <c r="AL69" s="24"/>
      <c r="AM69" s="24"/>
      <c r="AN69" s="23"/>
      <c r="AO69" s="23"/>
      <c r="AP69" s="23"/>
    </row>
    <row r="70">
      <c r="A70" s="24"/>
      <c r="B70" s="25"/>
      <c r="C70" s="24"/>
      <c r="D70" s="24"/>
      <c r="E70" s="24"/>
      <c r="F70" s="24"/>
      <c r="G70" s="23"/>
      <c r="H70" s="23"/>
      <c r="I70" s="24"/>
      <c r="S70" s="24"/>
      <c r="T70" s="24"/>
      <c r="U70" s="24"/>
      <c r="V70" s="24"/>
      <c r="W70" s="24"/>
      <c r="X70" s="24"/>
      <c r="Y70" s="24"/>
      <c r="Z70" s="24"/>
      <c r="AA70" s="24"/>
      <c r="AE70" s="24"/>
      <c r="AF70" s="24"/>
      <c r="AG70" s="24"/>
      <c r="AH70" s="24"/>
      <c r="AI70" s="24"/>
      <c r="AJ70" s="24"/>
      <c r="AK70" s="24"/>
      <c r="AL70" s="24"/>
      <c r="AM70" s="24"/>
      <c r="AN70" s="23"/>
      <c r="AO70" s="23"/>
      <c r="AP70" s="23"/>
    </row>
    <row r="71">
      <c r="A71" s="24"/>
      <c r="B71" s="25"/>
      <c r="C71" s="24"/>
      <c r="D71" s="24"/>
      <c r="E71" s="24"/>
      <c r="F71" s="24"/>
      <c r="G71" s="23"/>
      <c r="H71" s="23"/>
      <c r="I71" s="24"/>
      <c r="S71" s="24"/>
      <c r="T71" s="24"/>
      <c r="U71" s="24"/>
      <c r="V71" s="24"/>
      <c r="W71" s="24"/>
      <c r="X71" s="24"/>
      <c r="Y71" s="24"/>
      <c r="Z71" s="24"/>
      <c r="AA71" s="24"/>
      <c r="AE71" s="24"/>
      <c r="AF71" s="24"/>
      <c r="AG71" s="24"/>
      <c r="AH71" s="24"/>
      <c r="AI71" s="24"/>
      <c r="AJ71" s="24"/>
      <c r="AK71" s="24"/>
      <c r="AL71" s="24"/>
      <c r="AM71" s="24"/>
      <c r="AN71" s="23"/>
      <c r="AO71" s="23"/>
      <c r="AP71" s="23"/>
    </row>
    <row r="72">
      <c r="A72" s="24"/>
      <c r="B72" s="25"/>
      <c r="C72" s="24"/>
      <c r="D72" s="24"/>
      <c r="E72" s="24"/>
      <c r="F72" s="24"/>
      <c r="G72" s="23"/>
      <c r="H72" s="23"/>
      <c r="I72" s="24"/>
      <c r="S72" s="24"/>
      <c r="T72" s="24"/>
      <c r="U72" s="24"/>
      <c r="V72" s="24"/>
      <c r="W72" s="24"/>
      <c r="X72" s="24"/>
      <c r="Y72" s="24"/>
      <c r="Z72" s="24"/>
      <c r="AA72" s="24"/>
      <c r="AE72" s="24"/>
      <c r="AF72" s="24"/>
      <c r="AG72" s="24"/>
      <c r="AH72" s="24"/>
      <c r="AI72" s="24"/>
      <c r="AJ72" s="24"/>
      <c r="AK72" s="24"/>
      <c r="AL72" s="24"/>
      <c r="AM72" s="24"/>
      <c r="AN72" s="23"/>
      <c r="AO72" s="23"/>
      <c r="AP72" s="23"/>
    </row>
    <row r="73">
      <c r="A73" s="24"/>
      <c r="B73" s="25"/>
      <c r="C73" s="24"/>
      <c r="D73" s="24"/>
      <c r="E73" s="24"/>
      <c r="F73" s="24"/>
      <c r="G73" s="23"/>
      <c r="H73" s="23"/>
      <c r="I73" s="24"/>
      <c r="S73" s="24"/>
      <c r="T73" s="24"/>
      <c r="U73" s="24"/>
      <c r="V73" s="24"/>
      <c r="W73" s="24"/>
      <c r="X73" s="24"/>
      <c r="Y73" s="24"/>
      <c r="Z73" s="24"/>
      <c r="AA73" s="24"/>
      <c r="AE73" s="24"/>
      <c r="AF73" s="24"/>
      <c r="AG73" s="24"/>
      <c r="AH73" s="24"/>
      <c r="AI73" s="24"/>
      <c r="AJ73" s="24"/>
      <c r="AK73" s="24"/>
      <c r="AL73" s="24"/>
      <c r="AM73" s="24"/>
      <c r="AN73" s="23"/>
      <c r="AO73" s="23"/>
      <c r="AP73" s="23"/>
    </row>
    <row r="74">
      <c r="A74" s="24"/>
      <c r="B74" s="25"/>
      <c r="C74" s="24"/>
      <c r="D74" s="24"/>
      <c r="E74" s="24"/>
      <c r="F74" s="24"/>
      <c r="G74" s="23"/>
      <c r="H74" s="23"/>
      <c r="I74" s="24"/>
      <c r="S74" s="24"/>
      <c r="T74" s="24"/>
      <c r="U74" s="24"/>
      <c r="V74" s="24"/>
      <c r="W74" s="24"/>
      <c r="X74" s="24"/>
      <c r="Y74" s="24"/>
      <c r="Z74" s="24"/>
      <c r="AA74" s="24"/>
      <c r="AE74" s="24"/>
      <c r="AF74" s="24"/>
      <c r="AG74" s="24"/>
      <c r="AH74" s="24"/>
      <c r="AI74" s="24"/>
      <c r="AJ74" s="24"/>
      <c r="AK74" s="24"/>
      <c r="AL74" s="24"/>
      <c r="AM74" s="24"/>
      <c r="AN74" s="23"/>
      <c r="AO74" s="23"/>
      <c r="AP74" s="23"/>
    </row>
    <row r="75">
      <c r="A75" s="24"/>
      <c r="B75" s="25"/>
      <c r="C75" s="24"/>
      <c r="D75" s="24"/>
      <c r="E75" s="24"/>
      <c r="F75" s="24"/>
      <c r="G75" s="23"/>
      <c r="H75" s="23"/>
      <c r="I75" s="24"/>
      <c r="S75" s="24"/>
      <c r="T75" s="24"/>
      <c r="U75" s="24"/>
      <c r="V75" s="24"/>
      <c r="W75" s="24"/>
      <c r="X75" s="24"/>
      <c r="Y75" s="24"/>
      <c r="Z75" s="24"/>
      <c r="AA75" s="24"/>
      <c r="AE75" s="24"/>
      <c r="AF75" s="24"/>
      <c r="AG75" s="24"/>
      <c r="AH75" s="24"/>
      <c r="AI75" s="24"/>
      <c r="AJ75" s="24"/>
      <c r="AK75" s="24"/>
      <c r="AL75" s="24"/>
      <c r="AM75" s="24"/>
      <c r="AN75" s="23"/>
      <c r="AO75" s="23"/>
      <c r="AP75" s="23"/>
    </row>
    <row r="76">
      <c r="A76" s="24"/>
      <c r="B76" s="25"/>
      <c r="C76" s="24"/>
      <c r="D76" s="24"/>
      <c r="E76" s="24"/>
      <c r="F76" s="24"/>
      <c r="G76" s="23"/>
      <c r="H76" s="23"/>
      <c r="I76" s="24"/>
      <c r="S76" s="24"/>
      <c r="T76" s="24"/>
      <c r="U76" s="24"/>
      <c r="V76" s="24"/>
      <c r="W76" s="24"/>
      <c r="X76" s="24"/>
      <c r="Y76" s="24"/>
      <c r="Z76" s="24"/>
      <c r="AA76" s="24"/>
      <c r="AE76" s="24"/>
      <c r="AF76" s="24"/>
      <c r="AG76" s="24"/>
      <c r="AH76" s="24"/>
      <c r="AI76" s="24"/>
      <c r="AJ76" s="24"/>
      <c r="AK76" s="24"/>
      <c r="AL76" s="24"/>
      <c r="AM76" s="24"/>
      <c r="AN76" s="23"/>
      <c r="AO76" s="23"/>
      <c r="AP76" s="23"/>
    </row>
    <row r="77">
      <c r="A77" s="24"/>
      <c r="B77" s="25"/>
      <c r="C77" s="24"/>
      <c r="D77" s="24"/>
      <c r="E77" s="24"/>
      <c r="F77" s="24"/>
      <c r="G77" s="23"/>
      <c r="H77" s="23"/>
      <c r="I77" s="24"/>
      <c r="S77" s="24"/>
      <c r="T77" s="24"/>
      <c r="U77" s="24"/>
      <c r="V77" s="24"/>
      <c r="W77" s="24"/>
      <c r="X77" s="24"/>
      <c r="Y77" s="24"/>
      <c r="Z77" s="24"/>
      <c r="AA77" s="24"/>
      <c r="AE77" s="24"/>
      <c r="AF77" s="24"/>
      <c r="AG77" s="24"/>
      <c r="AH77" s="24"/>
      <c r="AI77" s="24"/>
      <c r="AJ77" s="24"/>
      <c r="AK77" s="24"/>
      <c r="AL77" s="24"/>
      <c r="AM77" s="24"/>
      <c r="AN77" s="23"/>
      <c r="AO77" s="23"/>
      <c r="AP77" s="23"/>
    </row>
    <row r="78">
      <c r="A78" s="24"/>
      <c r="B78" s="25"/>
      <c r="C78" s="24"/>
      <c r="D78" s="24"/>
      <c r="E78" s="24"/>
      <c r="F78" s="24"/>
      <c r="G78" s="23"/>
      <c r="H78" s="23"/>
      <c r="I78" s="24"/>
      <c r="S78" s="24"/>
      <c r="T78" s="24"/>
      <c r="U78" s="24"/>
      <c r="V78" s="24"/>
      <c r="W78" s="24"/>
      <c r="X78" s="24"/>
      <c r="Y78" s="24"/>
      <c r="Z78" s="24"/>
      <c r="AA78" s="24"/>
      <c r="AE78" s="24"/>
      <c r="AF78" s="24"/>
      <c r="AG78" s="24"/>
      <c r="AH78" s="24"/>
      <c r="AI78" s="24"/>
      <c r="AJ78" s="24"/>
      <c r="AK78" s="24"/>
      <c r="AL78" s="24"/>
      <c r="AM78" s="24"/>
      <c r="AN78" s="23"/>
      <c r="AO78" s="23"/>
      <c r="AP78" s="23"/>
    </row>
    <row r="79">
      <c r="A79" s="24"/>
      <c r="B79" s="25"/>
      <c r="C79" s="24"/>
      <c r="D79" s="24"/>
      <c r="E79" s="24"/>
      <c r="F79" s="24"/>
      <c r="G79" s="23"/>
      <c r="H79" s="23"/>
      <c r="I79" s="24"/>
      <c r="S79" s="24"/>
      <c r="T79" s="24"/>
      <c r="U79" s="24"/>
      <c r="V79" s="24"/>
      <c r="W79" s="24"/>
      <c r="X79" s="24"/>
      <c r="Y79" s="24"/>
      <c r="Z79" s="24"/>
      <c r="AA79" s="24"/>
      <c r="AE79" s="24"/>
      <c r="AF79" s="24"/>
      <c r="AG79" s="24"/>
      <c r="AH79" s="24"/>
      <c r="AI79" s="24"/>
      <c r="AJ79" s="24"/>
      <c r="AK79" s="24"/>
      <c r="AL79" s="24"/>
      <c r="AM79" s="24"/>
      <c r="AN79" s="23"/>
      <c r="AO79" s="23"/>
      <c r="AP79" s="23"/>
    </row>
    <row r="80">
      <c r="A80" s="24"/>
      <c r="B80" s="25"/>
      <c r="C80" s="24"/>
      <c r="D80" s="24"/>
      <c r="E80" s="24"/>
      <c r="F80" s="24"/>
      <c r="G80" s="23"/>
      <c r="H80" s="23"/>
      <c r="I80" s="24"/>
      <c r="S80" s="24"/>
      <c r="T80" s="24"/>
      <c r="U80" s="24"/>
      <c r="V80" s="24"/>
      <c r="W80" s="24"/>
      <c r="X80" s="24"/>
      <c r="Y80" s="24"/>
      <c r="Z80" s="24"/>
      <c r="AA80" s="24"/>
      <c r="AE80" s="24"/>
      <c r="AF80" s="24"/>
      <c r="AG80" s="24"/>
      <c r="AH80" s="24"/>
      <c r="AI80" s="24"/>
      <c r="AJ80" s="24"/>
      <c r="AK80" s="24"/>
      <c r="AL80" s="24"/>
      <c r="AM80" s="24"/>
      <c r="AN80" s="23"/>
      <c r="AO80" s="23"/>
      <c r="AP80" s="23"/>
    </row>
    <row r="81">
      <c r="A81" s="24"/>
      <c r="B81" s="25"/>
      <c r="C81" s="24"/>
      <c r="D81" s="24"/>
      <c r="E81" s="24"/>
      <c r="F81" s="24"/>
      <c r="G81" s="23"/>
      <c r="H81" s="23"/>
      <c r="I81" s="24"/>
      <c r="S81" s="24"/>
      <c r="T81" s="24"/>
      <c r="U81" s="24"/>
      <c r="V81" s="24"/>
      <c r="W81" s="24"/>
      <c r="X81" s="24"/>
      <c r="Y81" s="24"/>
      <c r="Z81" s="24"/>
      <c r="AA81" s="24"/>
      <c r="AE81" s="24"/>
      <c r="AF81" s="24"/>
      <c r="AG81" s="24"/>
      <c r="AH81" s="24"/>
      <c r="AI81" s="24"/>
      <c r="AJ81" s="24"/>
      <c r="AK81" s="24"/>
      <c r="AL81" s="24"/>
      <c r="AM81" s="24"/>
      <c r="AN81" s="23"/>
      <c r="AO81" s="23"/>
      <c r="AP81" s="23"/>
    </row>
    <row r="82">
      <c r="A82" s="24"/>
      <c r="B82" s="25"/>
      <c r="C82" s="24"/>
      <c r="D82" s="24"/>
      <c r="E82" s="24"/>
      <c r="F82" s="24"/>
      <c r="G82" s="23"/>
      <c r="H82" s="23"/>
      <c r="I82" s="24"/>
      <c r="S82" s="24"/>
      <c r="T82" s="24"/>
      <c r="U82" s="24"/>
      <c r="V82" s="24"/>
      <c r="W82" s="24"/>
      <c r="X82" s="24"/>
      <c r="Y82" s="24"/>
      <c r="Z82" s="24"/>
      <c r="AA82" s="24"/>
      <c r="AE82" s="24"/>
      <c r="AF82" s="24"/>
      <c r="AG82" s="24"/>
      <c r="AH82" s="24"/>
      <c r="AI82" s="24"/>
      <c r="AJ82" s="24"/>
      <c r="AK82" s="24"/>
      <c r="AL82" s="24"/>
      <c r="AM82" s="24"/>
      <c r="AN82" s="23"/>
      <c r="AO82" s="23"/>
      <c r="AP82" s="23"/>
    </row>
    <row r="83">
      <c r="A83" s="24"/>
      <c r="B83" s="25"/>
      <c r="C83" s="24"/>
      <c r="D83" s="24"/>
      <c r="E83" s="24"/>
      <c r="F83" s="24"/>
      <c r="G83" s="23"/>
      <c r="H83" s="23"/>
      <c r="I83" s="24"/>
      <c r="S83" s="24"/>
      <c r="T83" s="24"/>
      <c r="U83" s="24"/>
      <c r="V83" s="24"/>
      <c r="W83" s="24"/>
      <c r="X83" s="24"/>
      <c r="Y83" s="24"/>
      <c r="Z83" s="24"/>
      <c r="AA83" s="24"/>
      <c r="AE83" s="24"/>
      <c r="AF83" s="24"/>
      <c r="AG83" s="24"/>
      <c r="AH83" s="24"/>
      <c r="AI83" s="24"/>
      <c r="AJ83" s="24"/>
      <c r="AK83" s="24"/>
      <c r="AL83" s="24"/>
      <c r="AM83" s="24"/>
      <c r="AN83" s="23"/>
      <c r="AO83" s="23"/>
      <c r="AP83" s="23"/>
    </row>
    <row r="84">
      <c r="A84" s="24"/>
      <c r="B84" s="25"/>
      <c r="C84" s="24"/>
      <c r="D84" s="24"/>
      <c r="E84" s="24"/>
      <c r="F84" s="24"/>
      <c r="G84" s="23"/>
      <c r="H84" s="23"/>
      <c r="I84" s="24"/>
      <c r="S84" s="24"/>
      <c r="T84" s="24"/>
      <c r="U84" s="24"/>
      <c r="V84" s="24"/>
      <c r="W84" s="24"/>
      <c r="X84" s="24"/>
      <c r="Y84" s="24"/>
      <c r="Z84" s="24"/>
      <c r="AA84" s="24"/>
      <c r="AE84" s="24"/>
      <c r="AF84" s="24"/>
      <c r="AG84" s="24"/>
      <c r="AH84" s="24"/>
      <c r="AI84" s="24"/>
      <c r="AJ84" s="24"/>
      <c r="AK84" s="24"/>
      <c r="AL84" s="24"/>
      <c r="AM84" s="24"/>
      <c r="AN84" s="23"/>
      <c r="AO84" s="23"/>
      <c r="AP84" s="23"/>
    </row>
    <row r="85">
      <c r="A85" s="24"/>
      <c r="B85" s="25"/>
      <c r="C85" s="24"/>
      <c r="D85" s="24"/>
      <c r="E85" s="24"/>
      <c r="F85" s="24"/>
      <c r="G85" s="23"/>
      <c r="H85" s="23"/>
      <c r="I85" s="24"/>
      <c r="S85" s="24"/>
      <c r="T85" s="24"/>
      <c r="U85" s="24"/>
      <c r="V85" s="24"/>
      <c r="W85" s="24"/>
      <c r="X85" s="24"/>
      <c r="Y85" s="24"/>
      <c r="Z85" s="24"/>
      <c r="AA85" s="24"/>
      <c r="AE85" s="24"/>
      <c r="AF85" s="24"/>
      <c r="AG85" s="24"/>
      <c r="AH85" s="24"/>
      <c r="AI85" s="24"/>
      <c r="AJ85" s="24"/>
      <c r="AK85" s="24"/>
      <c r="AL85" s="24"/>
      <c r="AM85" s="24"/>
      <c r="AN85" s="23"/>
      <c r="AO85" s="23"/>
      <c r="AP85" s="23"/>
    </row>
    <row r="86">
      <c r="A86" s="24"/>
      <c r="B86" s="25"/>
      <c r="C86" s="24"/>
      <c r="D86" s="24"/>
      <c r="E86" s="24"/>
      <c r="F86" s="24"/>
      <c r="G86" s="23"/>
      <c r="H86" s="23"/>
      <c r="I86" s="24"/>
      <c r="S86" s="24"/>
      <c r="T86" s="24"/>
      <c r="U86" s="24"/>
      <c r="V86" s="24"/>
      <c r="W86" s="24"/>
      <c r="X86" s="24"/>
      <c r="Y86" s="24"/>
      <c r="Z86" s="24"/>
      <c r="AA86" s="24"/>
      <c r="AE86" s="24"/>
      <c r="AF86" s="24"/>
      <c r="AG86" s="24"/>
      <c r="AH86" s="24"/>
      <c r="AI86" s="24"/>
      <c r="AJ86" s="24"/>
      <c r="AK86" s="24"/>
      <c r="AL86" s="24"/>
      <c r="AM86" s="24"/>
      <c r="AN86" s="23"/>
      <c r="AO86" s="23"/>
      <c r="AP86" s="23"/>
    </row>
    <row r="87">
      <c r="A87" s="24"/>
      <c r="B87" s="25"/>
      <c r="C87" s="24"/>
      <c r="D87" s="24"/>
      <c r="E87" s="24"/>
      <c r="F87" s="24"/>
      <c r="G87" s="23"/>
      <c r="H87" s="23"/>
      <c r="I87" s="24"/>
      <c r="S87" s="24"/>
      <c r="T87" s="24"/>
      <c r="U87" s="24"/>
      <c r="V87" s="24"/>
      <c r="W87" s="24"/>
      <c r="X87" s="24"/>
      <c r="Y87" s="24"/>
      <c r="Z87" s="24"/>
      <c r="AA87" s="24"/>
      <c r="AE87" s="24"/>
      <c r="AF87" s="24"/>
      <c r="AG87" s="24"/>
      <c r="AH87" s="24"/>
      <c r="AI87" s="24"/>
      <c r="AJ87" s="24"/>
      <c r="AK87" s="24"/>
      <c r="AL87" s="24"/>
      <c r="AM87" s="24"/>
      <c r="AN87" s="23"/>
      <c r="AO87" s="23"/>
      <c r="AP87" s="23"/>
    </row>
    <row r="88">
      <c r="A88" s="24"/>
      <c r="B88" s="25"/>
      <c r="C88" s="24"/>
      <c r="D88" s="24"/>
      <c r="E88" s="24"/>
      <c r="F88" s="24"/>
      <c r="G88" s="23"/>
      <c r="H88" s="23"/>
      <c r="I88" s="24"/>
      <c r="S88" s="24"/>
      <c r="T88" s="24"/>
      <c r="U88" s="24"/>
      <c r="V88" s="24"/>
      <c r="W88" s="24"/>
      <c r="X88" s="24"/>
      <c r="Y88" s="24"/>
      <c r="Z88" s="24"/>
      <c r="AA88" s="24"/>
      <c r="AE88" s="24"/>
      <c r="AF88" s="24"/>
      <c r="AG88" s="24"/>
      <c r="AH88" s="24"/>
      <c r="AI88" s="24"/>
      <c r="AJ88" s="24"/>
      <c r="AK88" s="24"/>
      <c r="AL88" s="24"/>
      <c r="AM88" s="24"/>
      <c r="AN88" s="23"/>
      <c r="AO88" s="23"/>
      <c r="AP88" s="23"/>
    </row>
    <row r="89">
      <c r="A89" s="24"/>
      <c r="B89" s="25"/>
      <c r="C89" s="24"/>
      <c r="D89" s="24"/>
      <c r="E89" s="24"/>
      <c r="F89" s="24"/>
      <c r="G89" s="23"/>
      <c r="H89" s="23"/>
      <c r="I89" s="24"/>
      <c r="S89" s="24"/>
      <c r="T89" s="24"/>
      <c r="U89" s="24"/>
      <c r="V89" s="24"/>
      <c r="W89" s="24"/>
      <c r="X89" s="24"/>
      <c r="Y89" s="24"/>
      <c r="Z89" s="24"/>
      <c r="AA89" s="24"/>
      <c r="AE89" s="24"/>
      <c r="AF89" s="24"/>
      <c r="AG89" s="24"/>
      <c r="AH89" s="24"/>
      <c r="AI89" s="24"/>
      <c r="AJ89" s="24"/>
      <c r="AK89" s="24"/>
      <c r="AL89" s="24"/>
      <c r="AM89" s="24"/>
      <c r="AN89" s="23"/>
      <c r="AO89" s="23"/>
      <c r="AP89" s="23"/>
    </row>
    <row r="90">
      <c r="A90" s="24"/>
      <c r="B90" s="25"/>
      <c r="C90" s="24"/>
      <c r="D90" s="24"/>
      <c r="E90" s="24"/>
      <c r="F90" s="24"/>
      <c r="G90" s="23"/>
      <c r="H90" s="23"/>
      <c r="I90" s="24"/>
      <c r="S90" s="24"/>
      <c r="T90" s="24"/>
      <c r="U90" s="24"/>
      <c r="V90" s="24"/>
      <c r="W90" s="24"/>
      <c r="X90" s="24"/>
      <c r="Y90" s="24"/>
      <c r="Z90" s="24"/>
      <c r="AA90" s="24"/>
      <c r="AE90" s="24"/>
      <c r="AF90" s="24"/>
      <c r="AG90" s="24"/>
      <c r="AH90" s="24"/>
      <c r="AI90" s="24"/>
      <c r="AJ90" s="24"/>
      <c r="AK90" s="24"/>
      <c r="AL90" s="24"/>
      <c r="AM90" s="24"/>
      <c r="AN90" s="23"/>
      <c r="AO90" s="23"/>
      <c r="AP90" s="23"/>
    </row>
    <row r="91">
      <c r="A91" s="24"/>
      <c r="B91" s="25"/>
      <c r="C91" s="24"/>
      <c r="D91" s="24"/>
      <c r="E91" s="24"/>
      <c r="F91" s="24"/>
      <c r="G91" s="23"/>
      <c r="H91" s="23"/>
      <c r="I91" s="24"/>
      <c r="S91" s="24"/>
      <c r="T91" s="24"/>
      <c r="U91" s="24"/>
      <c r="V91" s="24"/>
      <c r="W91" s="24"/>
      <c r="X91" s="24"/>
      <c r="Y91" s="24"/>
      <c r="Z91" s="24"/>
      <c r="AA91" s="24"/>
      <c r="AE91" s="24"/>
      <c r="AF91" s="24"/>
      <c r="AG91" s="24"/>
      <c r="AH91" s="24"/>
      <c r="AI91" s="24"/>
      <c r="AJ91" s="24"/>
      <c r="AK91" s="24"/>
      <c r="AL91" s="24"/>
      <c r="AM91" s="24"/>
      <c r="AN91" s="23"/>
      <c r="AO91" s="23"/>
      <c r="AP91" s="23"/>
    </row>
    <row r="92">
      <c r="A92" s="24"/>
      <c r="B92" s="25"/>
      <c r="C92" s="24"/>
      <c r="D92" s="24"/>
      <c r="E92" s="24"/>
      <c r="F92" s="24"/>
      <c r="G92" s="23"/>
      <c r="H92" s="23"/>
      <c r="I92" s="24"/>
      <c r="S92" s="24"/>
      <c r="T92" s="24"/>
      <c r="U92" s="24"/>
      <c r="V92" s="24"/>
      <c r="W92" s="24"/>
      <c r="X92" s="24"/>
      <c r="Y92" s="24"/>
      <c r="Z92" s="24"/>
      <c r="AA92" s="24"/>
      <c r="AE92" s="24"/>
      <c r="AF92" s="24"/>
      <c r="AG92" s="24"/>
      <c r="AH92" s="24"/>
      <c r="AI92" s="24"/>
      <c r="AJ92" s="24"/>
      <c r="AK92" s="24"/>
      <c r="AL92" s="24"/>
      <c r="AM92" s="24"/>
      <c r="AN92" s="23"/>
      <c r="AO92" s="23"/>
      <c r="AP92" s="23"/>
    </row>
    <row r="93">
      <c r="A93" s="24"/>
      <c r="B93" s="25"/>
      <c r="C93" s="24"/>
      <c r="D93" s="24"/>
      <c r="E93" s="24"/>
      <c r="F93" s="24"/>
      <c r="G93" s="23"/>
      <c r="H93" s="23"/>
      <c r="I93" s="24"/>
      <c r="S93" s="24"/>
      <c r="T93" s="24"/>
      <c r="U93" s="24"/>
      <c r="V93" s="24"/>
      <c r="W93" s="24"/>
      <c r="X93" s="24"/>
      <c r="Y93" s="24"/>
      <c r="Z93" s="24"/>
      <c r="AA93" s="24"/>
      <c r="AE93" s="24"/>
      <c r="AF93" s="24"/>
      <c r="AG93" s="24"/>
      <c r="AH93" s="24"/>
      <c r="AI93" s="24"/>
      <c r="AJ93" s="24"/>
      <c r="AK93" s="24"/>
      <c r="AL93" s="24"/>
      <c r="AM93" s="24"/>
      <c r="AN93" s="23"/>
      <c r="AO93" s="23"/>
      <c r="AP93" s="23"/>
    </row>
    <row r="94">
      <c r="A94" s="24"/>
      <c r="B94" s="25"/>
      <c r="C94" s="24"/>
      <c r="D94" s="24"/>
      <c r="E94" s="24"/>
      <c r="F94" s="24"/>
      <c r="G94" s="23"/>
      <c r="H94" s="23"/>
      <c r="I94" s="24"/>
      <c r="S94" s="24"/>
      <c r="T94" s="24"/>
      <c r="U94" s="24"/>
      <c r="V94" s="24"/>
      <c r="W94" s="24"/>
      <c r="X94" s="24"/>
      <c r="Y94" s="24"/>
      <c r="Z94" s="24"/>
      <c r="AA94" s="24"/>
      <c r="AE94" s="24"/>
      <c r="AF94" s="24"/>
      <c r="AG94" s="24"/>
      <c r="AH94" s="24"/>
      <c r="AI94" s="24"/>
      <c r="AJ94" s="24"/>
      <c r="AK94" s="24"/>
      <c r="AL94" s="24"/>
      <c r="AM94" s="24"/>
      <c r="AN94" s="23"/>
      <c r="AO94" s="23"/>
      <c r="AP94" s="23"/>
    </row>
    <row r="95">
      <c r="A95" s="24"/>
      <c r="B95" s="25"/>
      <c r="C95" s="24"/>
      <c r="D95" s="24"/>
      <c r="E95" s="24"/>
      <c r="F95" s="24"/>
      <c r="G95" s="23"/>
      <c r="H95" s="23"/>
      <c r="I95" s="24"/>
      <c r="S95" s="24"/>
      <c r="T95" s="24"/>
      <c r="U95" s="24"/>
      <c r="V95" s="24"/>
      <c r="W95" s="24"/>
      <c r="X95" s="24"/>
      <c r="Y95" s="24"/>
      <c r="Z95" s="24"/>
      <c r="AA95" s="24"/>
      <c r="AE95" s="24"/>
      <c r="AF95" s="24"/>
      <c r="AG95" s="24"/>
      <c r="AH95" s="24"/>
      <c r="AI95" s="24"/>
      <c r="AJ95" s="24"/>
      <c r="AK95" s="24"/>
      <c r="AL95" s="24"/>
      <c r="AM95" s="24"/>
      <c r="AN95" s="23"/>
      <c r="AO95" s="23"/>
      <c r="AP95" s="23"/>
    </row>
    <row r="96">
      <c r="A96" s="24"/>
      <c r="B96" s="25"/>
      <c r="C96" s="24"/>
      <c r="D96" s="24"/>
      <c r="E96" s="24"/>
      <c r="F96" s="24"/>
      <c r="G96" s="23"/>
      <c r="H96" s="23"/>
      <c r="I96" s="24"/>
      <c r="S96" s="24"/>
      <c r="T96" s="24"/>
      <c r="U96" s="24"/>
      <c r="V96" s="24"/>
      <c r="W96" s="24"/>
      <c r="X96" s="24"/>
      <c r="Y96" s="24"/>
      <c r="Z96" s="24"/>
      <c r="AA96" s="24"/>
      <c r="AE96" s="24"/>
      <c r="AF96" s="24"/>
      <c r="AG96" s="24"/>
      <c r="AH96" s="24"/>
      <c r="AI96" s="24"/>
      <c r="AJ96" s="24"/>
      <c r="AK96" s="24"/>
      <c r="AL96" s="24"/>
      <c r="AM96" s="24"/>
      <c r="AN96" s="23"/>
      <c r="AO96" s="23"/>
      <c r="AP96" s="23"/>
    </row>
    <row r="97">
      <c r="A97" s="24"/>
      <c r="B97" s="25"/>
      <c r="C97" s="24"/>
      <c r="D97" s="24"/>
      <c r="E97" s="24"/>
      <c r="F97" s="24"/>
      <c r="G97" s="23"/>
      <c r="H97" s="23"/>
      <c r="I97" s="24"/>
      <c r="S97" s="24"/>
      <c r="T97" s="24"/>
      <c r="U97" s="24"/>
      <c r="V97" s="24"/>
      <c r="W97" s="24"/>
      <c r="X97" s="24"/>
      <c r="Y97" s="24"/>
      <c r="Z97" s="24"/>
      <c r="AA97" s="24"/>
      <c r="AE97" s="24"/>
      <c r="AF97" s="24"/>
      <c r="AG97" s="24"/>
      <c r="AH97" s="24"/>
      <c r="AI97" s="24"/>
      <c r="AJ97" s="24"/>
      <c r="AK97" s="24"/>
      <c r="AL97" s="24"/>
      <c r="AM97" s="24"/>
      <c r="AN97" s="23"/>
      <c r="AO97" s="23"/>
      <c r="AP97" s="23"/>
    </row>
    <row r="98">
      <c r="A98" s="24"/>
      <c r="B98" s="25"/>
      <c r="C98" s="24"/>
      <c r="D98" s="24"/>
      <c r="E98" s="24"/>
      <c r="F98" s="24"/>
      <c r="G98" s="23"/>
      <c r="H98" s="23"/>
      <c r="I98" s="24"/>
      <c r="S98" s="24"/>
      <c r="T98" s="24"/>
      <c r="U98" s="24"/>
      <c r="V98" s="24"/>
      <c r="W98" s="24"/>
      <c r="X98" s="24"/>
      <c r="Y98" s="24"/>
      <c r="Z98" s="24"/>
      <c r="AA98" s="24"/>
      <c r="AE98" s="24"/>
      <c r="AF98" s="24"/>
      <c r="AG98" s="24"/>
      <c r="AH98" s="24"/>
      <c r="AI98" s="24"/>
      <c r="AJ98" s="24"/>
      <c r="AK98" s="24"/>
      <c r="AL98" s="24"/>
      <c r="AM98" s="24"/>
      <c r="AN98" s="23"/>
      <c r="AO98" s="23"/>
      <c r="AP98" s="23"/>
    </row>
    <row r="99">
      <c r="A99" s="24"/>
      <c r="B99" s="25"/>
      <c r="C99" s="24"/>
      <c r="D99" s="24"/>
      <c r="E99" s="24"/>
      <c r="F99" s="24"/>
      <c r="G99" s="23"/>
      <c r="H99" s="23"/>
      <c r="I99" s="24"/>
      <c r="S99" s="24"/>
      <c r="T99" s="24"/>
      <c r="U99" s="24"/>
      <c r="V99" s="24"/>
      <c r="W99" s="24"/>
      <c r="X99" s="24"/>
      <c r="Y99" s="24"/>
      <c r="Z99" s="24"/>
      <c r="AA99" s="24"/>
      <c r="AE99" s="24"/>
      <c r="AF99" s="24"/>
      <c r="AG99" s="24"/>
      <c r="AH99" s="24"/>
      <c r="AI99" s="24"/>
      <c r="AJ99" s="24"/>
      <c r="AK99" s="24"/>
      <c r="AL99" s="24"/>
      <c r="AM99" s="24"/>
      <c r="AN99" s="23"/>
      <c r="AO99" s="23"/>
      <c r="AP99" s="23"/>
    </row>
    <row r="100">
      <c r="A100" s="24"/>
      <c r="B100" s="25"/>
      <c r="C100" s="24"/>
      <c r="D100" s="24"/>
      <c r="E100" s="24"/>
      <c r="F100" s="24"/>
      <c r="G100" s="23"/>
      <c r="H100" s="23"/>
      <c r="I100" s="24"/>
      <c r="S100" s="24"/>
      <c r="T100" s="24"/>
      <c r="U100" s="24"/>
      <c r="V100" s="24"/>
      <c r="W100" s="24"/>
      <c r="X100" s="24"/>
      <c r="Y100" s="24"/>
      <c r="Z100" s="24"/>
      <c r="AA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3"/>
      <c r="AO100" s="23"/>
      <c r="AP100" s="23"/>
    </row>
  </sheetData>
  <mergeCells count="2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O1"/>
    <mergeCell ref="P1:R1"/>
    <mergeCell ref="AN1:AP1"/>
    <mergeCell ref="AQ1:AS1"/>
    <mergeCell ref="AT1:AV1"/>
    <mergeCell ref="S1:U1"/>
    <mergeCell ref="V1:X1"/>
    <mergeCell ref="Y1:AA1"/>
    <mergeCell ref="AB1:AD1"/>
    <mergeCell ref="AE1:AG1"/>
    <mergeCell ref="AH1:AJ1"/>
    <mergeCell ref="AK1:AM1"/>
  </mergeCells>
  <dataValidations>
    <dataValidation type="decimal" operator="greaterThanOrEqual" allowBlank="1" showDropDown="1" sqref="AE3:AM9 AH10:AM22 S3:AA100 AE23:AM100">
      <formula1>0.0</formula1>
    </dataValidation>
    <dataValidation type="list" allowBlank="1" showErrorMessage="1" sqref="E3:E100">
      <formula1>nombres!$I$2:$I$9</formula1>
    </dataValidation>
    <dataValidation type="list" allowBlank="1" sqref="A3:A100">
      <formula1>nombres!$AD$2:$AD100</formula1>
    </dataValidation>
    <dataValidation type="list" allowBlank="1" showErrorMessage="1" sqref="C3:C100">
      <formula1>nombres!$B$2:$B$9</formula1>
    </dataValidation>
    <dataValidation type="list" allowBlank="1" showErrorMessage="1" sqref="D3:D100">
      <formula1>nombres!$G$2:$G$6</formula1>
    </dataValidation>
    <dataValidation type="list" allowBlank="1" showErrorMessage="1" sqref="G3:G100">
      <formula1>nombres!$L$2:$L$17</formula1>
    </dataValidation>
    <dataValidation type="list" allowBlank="1" showErrorMessage="1" sqref="I3:I100">
      <formula1>nombres!$X$2:$X$8</formula1>
    </dataValidation>
    <dataValidation type="list" allowBlank="1" showErrorMessage="1" sqref="F3:F100">
      <formula1>nombres!$O$2:$O$9</formula1>
    </dataValidation>
    <dataValidation type="list" allowBlank="1" showErrorMessage="1" sqref="H3:H100">
      <formula1>nombres!$R$2:$R$19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8" max="11" width="19.88"/>
    <col customWidth="1" min="15" max="15" width="18.13"/>
    <col customWidth="1" min="16" max="16" width="22.13"/>
  </cols>
  <sheetData>
    <row r="1">
      <c r="A1" s="1" t="s">
        <v>0</v>
      </c>
      <c r="B1" s="1" t="s">
        <v>1</v>
      </c>
      <c r="C1" s="29" t="s">
        <v>34</v>
      </c>
      <c r="D1" s="29" t="s">
        <v>35</v>
      </c>
      <c r="E1" s="1" t="s">
        <v>36</v>
      </c>
      <c r="F1" s="29" t="s">
        <v>37</v>
      </c>
      <c r="G1" s="29" t="s">
        <v>38</v>
      </c>
      <c r="H1" s="1" t="s">
        <v>39</v>
      </c>
      <c r="I1" s="10" t="s">
        <v>40</v>
      </c>
      <c r="L1" s="30" t="s">
        <v>41</v>
      </c>
      <c r="O1" s="29"/>
      <c r="P1" s="1"/>
      <c r="Q1" s="29"/>
      <c r="R1" s="29"/>
      <c r="S1" s="1"/>
      <c r="T1" s="1"/>
      <c r="U1" s="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</row>
    <row r="2">
      <c r="I2" s="32">
        <v>2023.0</v>
      </c>
      <c r="J2" s="10">
        <v>2024.0</v>
      </c>
      <c r="K2" s="10">
        <v>2025.0</v>
      </c>
      <c r="L2" s="33">
        <v>2023.0</v>
      </c>
      <c r="M2" s="33">
        <v>2024.0</v>
      </c>
      <c r="N2" s="33">
        <v>2025.0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</row>
    <row r="3">
      <c r="A3" s="24"/>
      <c r="H3" s="20" t="s">
        <v>48</v>
      </c>
      <c r="I3" s="20" t="s">
        <v>48</v>
      </c>
      <c r="J3" s="20" t="s">
        <v>49</v>
      </c>
      <c r="K3" s="20" t="s">
        <v>49</v>
      </c>
      <c r="L3" s="20" t="s">
        <v>50</v>
      </c>
      <c r="M3" s="24"/>
      <c r="N3" s="24"/>
      <c r="O3" s="35" t="s">
        <v>51</v>
      </c>
    </row>
    <row r="4">
      <c r="A4" s="24"/>
      <c r="H4" s="24"/>
      <c r="I4" s="24"/>
      <c r="J4" s="24"/>
      <c r="K4" s="24"/>
      <c r="L4" s="24"/>
      <c r="M4" s="24"/>
      <c r="N4" s="24"/>
      <c r="O4" s="24"/>
    </row>
    <row r="5">
      <c r="A5" s="24"/>
      <c r="E5" s="28"/>
      <c r="H5" s="24"/>
      <c r="I5" s="24"/>
      <c r="J5" s="24"/>
      <c r="K5" s="24"/>
      <c r="L5" s="24"/>
      <c r="M5" s="24"/>
      <c r="N5" s="24"/>
      <c r="O5" s="24"/>
    </row>
    <row r="6">
      <c r="A6" s="24"/>
      <c r="E6" s="27"/>
      <c r="H6" s="24"/>
      <c r="I6" s="24"/>
      <c r="J6" s="24"/>
      <c r="K6" s="24"/>
      <c r="L6" s="24"/>
      <c r="M6" s="24"/>
      <c r="N6" s="24"/>
      <c r="O6" s="24"/>
    </row>
    <row r="7">
      <c r="A7" s="24"/>
      <c r="E7" s="28"/>
      <c r="H7" s="24"/>
      <c r="I7" s="24"/>
      <c r="J7" s="24"/>
      <c r="K7" s="24"/>
      <c r="L7" s="24"/>
      <c r="M7" s="24"/>
      <c r="N7" s="24"/>
      <c r="O7" s="24"/>
    </row>
    <row r="8">
      <c r="A8" s="24"/>
      <c r="E8" s="28"/>
      <c r="H8" s="24"/>
      <c r="I8" s="24"/>
      <c r="J8" s="24"/>
      <c r="K8" s="24"/>
      <c r="L8" s="24"/>
      <c r="M8" s="24"/>
      <c r="N8" s="24"/>
      <c r="O8" s="24"/>
    </row>
    <row r="9">
      <c r="A9" s="24"/>
      <c r="E9" s="28"/>
      <c r="H9" s="24"/>
      <c r="I9" s="24"/>
      <c r="J9" s="24"/>
      <c r="K9" s="24"/>
      <c r="L9" s="24"/>
      <c r="M9" s="24"/>
      <c r="N9" s="24"/>
      <c r="O9" s="24"/>
    </row>
    <row r="10">
      <c r="A10" s="24"/>
      <c r="E10" s="28"/>
      <c r="H10" s="24"/>
      <c r="I10" s="24"/>
      <c r="J10" s="24"/>
      <c r="K10" s="24"/>
      <c r="L10" s="24"/>
      <c r="M10" s="24"/>
      <c r="N10" s="24"/>
      <c r="O10" s="24"/>
    </row>
    <row r="11">
      <c r="A11" s="24"/>
      <c r="E11" s="28"/>
      <c r="H11" s="24"/>
      <c r="I11" s="24"/>
      <c r="J11" s="24"/>
      <c r="K11" s="24"/>
      <c r="L11" s="24"/>
      <c r="M11" s="24"/>
      <c r="N11" s="24"/>
      <c r="O11" s="24"/>
    </row>
    <row r="12">
      <c r="A12" s="24"/>
      <c r="E12" s="28"/>
      <c r="H12" s="24"/>
      <c r="I12" s="24"/>
      <c r="J12" s="24"/>
      <c r="K12" s="24"/>
      <c r="L12" s="24"/>
      <c r="M12" s="24"/>
      <c r="N12" s="24"/>
      <c r="O12" s="24"/>
    </row>
    <row r="13">
      <c r="A13" s="24"/>
      <c r="E13" s="27"/>
      <c r="H13" s="24"/>
      <c r="I13" s="24"/>
      <c r="J13" s="24"/>
      <c r="K13" s="24"/>
      <c r="L13" s="24"/>
      <c r="M13" s="24"/>
      <c r="N13" s="24"/>
      <c r="O13" s="24"/>
    </row>
    <row r="14">
      <c r="A14" s="24"/>
      <c r="E14" s="28"/>
      <c r="H14" s="24"/>
      <c r="I14" s="24"/>
      <c r="J14" s="24"/>
      <c r="K14" s="24"/>
      <c r="L14" s="24"/>
      <c r="M14" s="24"/>
      <c r="N14" s="24"/>
      <c r="O14" s="24"/>
    </row>
    <row r="15">
      <c r="A15" s="24"/>
      <c r="E15" s="28"/>
      <c r="H15" s="24"/>
      <c r="I15" s="24"/>
      <c r="J15" s="24"/>
      <c r="K15" s="24"/>
      <c r="L15" s="24"/>
      <c r="M15" s="24"/>
      <c r="N15" s="24"/>
      <c r="O15" s="24"/>
    </row>
    <row r="16">
      <c r="A16" s="24"/>
      <c r="E16" s="1"/>
      <c r="H16" s="24"/>
      <c r="I16" s="24"/>
      <c r="J16" s="24"/>
      <c r="K16" s="24"/>
      <c r="L16" s="24"/>
      <c r="M16" s="24"/>
      <c r="N16" s="24"/>
      <c r="O16" s="24"/>
    </row>
    <row r="17">
      <c r="A17" s="24"/>
      <c r="E17" s="1"/>
      <c r="H17" s="24"/>
      <c r="I17" s="24"/>
      <c r="J17" s="24"/>
      <c r="K17" s="24"/>
      <c r="L17" s="24"/>
      <c r="M17" s="24"/>
      <c r="N17" s="24"/>
      <c r="O17" s="24"/>
    </row>
    <row r="18">
      <c r="A18" s="24"/>
      <c r="H18" s="24"/>
      <c r="I18" s="24"/>
      <c r="J18" s="24"/>
      <c r="K18" s="24"/>
      <c r="L18" s="24"/>
      <c r="M18" s="24"/>
      <c r="N18" s="24"/>
      <c r="O18" s="24"/>
    </row>
    <row r="19">
      <c r="A19" s="24"/>
      <c r="H19" s="24"/>
      <c r="I19" s="24"/>
      <c r="J19" s="24"/>
      <c r="K19" s="24"/>
      <c r="L19" s="24"/>
      <c r="M19" s="24"/>
      <c r="N19" s="24"/>
      <c r="O19" s="24"/>
    </row>
    <row r="20">
      <c r="A20" s="24"/>
      <c r="H20" s="24"/>
      <c r="I20" s="24"/>
      <c r="J20" s="24"/>
      <c r="K20" s="24"/>
      <c r="L20" s="24"/>
      <c r="M20" s="24"/>
      <c r="N20" s="24"/>
      <c r="O20" s="24"/>
    </row>
    <row r="21">
      <c r="A21" s="24"/>
      <c r="H21" s="24"/>
      <c r="I21" s="24"/>
      <c r="J21" s="24"/>
      <c r="K21" s="24"/>
      <c r="L21" s="24"/>
      <c r="M21" s="24"/>
      <c r="N21" s="24"/>
      <c r="O21" s="24"/>
    </row>
    <row r="22">
      <c r="A22" s="24"/>
      <c r="H22" s="24"/>
      <c r="I22" s="24"/>
      <c r="J22" s="24"/>
      <c r="K22" s="24"/>
      <c r="L22" s="24"/>
      <c r="M22" s="24"/>
      <c r="N22" s="24"/>
      <c r="O22" s="24"/>
    </row>
    <row r="23">
      <c r="A23" s="24"/>
      <c r="H23" s="24"/>
      <c r="I23" s="24"/>
      <c r="J23" s="24"/>
      <c r="K23" s="24"/>
      <c r="L23" s="24"/>
      <c r="M23" s="24"/>
      <c r="N23" s="24"/>
      <c r="O23" s="24"/>
    </row>
    <row r="24">
      <c r="A24" s="24"/>
      <c r="H24" s="24"/>
      <c r="I24" s="24"/>
      <c r="J24" s="24"/>
      <c r="K24" s="24"/>
      <c r="L24" s="24"/>
      <c r="M24" s="24"/>
      <c r="N24" s="24"/>
      <c r="O24" s="24"/>
    </row>
    <row r="25">
      <c r="A25" s="24"/>
      <c r="H25" s="24"/>
      <c r="I25" s="24"/>
      <c r="J25" s="24"/>
      <c r="K25" s="24"/>
      <c r="L25" s="24"/>
      <c r="M25" s="24"/>
      <c r="N25" s="24"/>
      <c r="O25" s="24"/>
    </row>
    <row r="26">
      <c r="A26" s="24"/>
      <c r="H26" s="24"/>
      <c r="I26" s="24"/>
      <c r="J26" s="24"/>
      <c r="K26" s="24"/>
      <c r="L26" s="24"/>
      <c r="M26" s="24"/>
      <c r="N26" s="24"/>
      <c r="O26" s="24"/>
    </row>
    <row r="27">
      <c r="A27" s="24"/>
      <c r="H27" s="24"/>
      <c r="I27" s="24"/>
      <c r="J27" s="24"/>
      <c r="K27" s="24"/>
      <c r="L27" s="24"/>
      <c r="M27" s="24"/>
      <c r="N27" s="24"/>
      <c r="O27" s="24"/>
    </row>
    <row r="28">
      <c r="A28" s="24"/>
      <c r="H28" s="24"/>
      <c r="I28" s="24"/>
      <c r="J28" s="24"/>
      <c r="K28" s="24"/>
      <c r="L28" s="24"/>
      <c r="M28" s="24"/>
      <c r="N28" s="24"/>
      <c r="O28" s="24"/>
    </row>
    <row r="29">
      <c r="A29" s="24"/>
      <c r="H29" s="24"/>
      <c r="I29" s="24"/>
      <c r="J29" s="24"/>
      <c r="K29" s="24"/>
      <c r="L29" s="24"/>
      <c r="M29" s="24"/>
      <c r="N29" s="24"/>
      <c r="O29" s="24"/>
    </row>
    <row r="30">
      <c r="A30" s="24"/>
      <c r="H30" s="24"/>
      <c r="I30" s="24"/>
      <c r="J30" s="24"/>
      <c r="K30" s="24"/>
      <c r="L30" s="24"/>
      <c r="M30" s="24"/>
      <c r="N30" s="24"/>
      <c r="O30" s="24"/>
    </row>
    <row r="31">
      <c r="A31" s="24"/>
      <c r="H31" s="24"/>
      <c r="I31" s="24"/>
      <c r="J31" s="24"/>
      <c r="K31" s="24"/>
      <c r="L31" s="24"/>
      <c r="M31" s="24"/>
      <c r="N31" s="24"/>
      <c r="O31" s="24"/>
    </row>
    <row r="32">
      <c r="A32" s="24"/>
      <c r="H32" s="24"/>
      <c r="I32" s="24"/>
      <c r="J32" s="24"/>
      <c r="K32" s="24"/>
      <c r="L32" s="24"/>
      <c r="M32" s="24"/>
      <c r="N32" s="24"/>
      <c r="O32" s="24"/>
    </row>
    <row r="33">
      <c r="A33" s="24"/>
      <c r="H33" s="24"/>
      <c r="I33" s="24"/>
      <c r="J33" s="24"/>
      <c r="K33" s="24"/>
      <c r="L33" s="24"/>
      <c r="M33" s="24"/>
      <c r="N33" s="24"/>
      <c r="O33" s="24"/>
    </row>
    <row r="34">
      <c r="A34" s="24"/>
      <c r="H34" s="24"/>
      <c r="I34" s="24"/>
      <c r="J34" s="24"/>
      <c r="K34" s="24"/>
      <c r="L34" s="24"/>
      <c r="M34" s="24"/>
      <c r="N34" s="24"/>
      <c r="O34" s="24"/>
    </row>
    <row r="35">
      <c r="A35" s="24"/>
      <c r="H35" s="24"/>
      <c r="I35" s="24"/>
      <c r="J35" s="24"/>
      <c r="K35" s="24"/>
      <c r="L35" s="24"/>
      <c r="M35" s="24"/>
      <c r="N35" s="24"/>
      <c r="O35" s="24"/>
    </row>
    <row r="36">
      <c r="A36" s="24"/>
      <c r="H36" s="24"/>
      <c r="I36" s="24"/>
      <c r="J36" s="24"/>
      <c r="K36" s="24"/>
      <c r="L36" s="24"/>
      <c r="M36" s="24"/>
      <c r="N36" s="24"/>
      <c r="O36" s="24"/>
    </row>
    <row r="37">
      <c r="A37" s="24"/>
      <c r="H37" s="24"/>
      <c r="I37" s="24"/>
      <c r="J37" s="24"/>
      <c r="K37" s="24"/>
      <c r="L37" s="24"/>
      <c r="M37" s="24"/>
      <c r="N37" s="24"/>
      <c r="O37" s="24"/>
    </row>
    <row r="38">
      <c r="A38" s="24"/>
      <c r="H38" s="24"/>
      <c r="I38" s="24"/>
      <c r="J38" s="24"/>
      <c r="K38" s="24"/>
      <c r="L38" s="24"/>
      <c r="M38" s="24"/>
      <c r="N38" s="24"/>
      <c r="O38" s="24"/>
    </row>
    <row r="39">
      <c r="A39" s="24"/>
      <c r="H39" s="24"/>
      <c r="I39" s="24"/>
      <c r="J39" s="24"/>
      <c r="K39" s="24"/>
      <c r="L39" s="24"/>
      <c r="M39" s="24"/>
      <c r="N39" s="24"/>
      <c r="O39" s="24"/>
    </row>
    <row r="40">
      <c r="A40" s="24"/>
      <c r="H40" s="24"/>
      <c r="I40" s="24"/>
      <c r="J40" s="24"/>
      <c r="K40" s="24"/>
      <c r="L40" s="24"/>
      <c r="M40" s="24"/>
      <c r="N40" s="24"/>
      <c r="O40" s="24"/>
    </row>
    <row r="41">
      <c r="A41" s="24"/>
      <c r="H41" s="24"/>
      <c r="I41" s="24"/>
      <c r="J41" s="24"/>
      <c r="K41" s="24"/>
      <c r="L41" s="24"/>
      <c r="M41" s="24"/>
      <c r="N41" s="24"/>
      <c r="O41" s="24"/>
    </row>
    <row r="42">
      <c r="A42" s="24"/>
      <c r="H42" s="24"/>
      <c r="I42" s="24"/>
      <c r="J42" s="24"/>
      <c r="K42" s="24"/>
      <c r="L42" s="24"/>
      <c r="M42" s="24"/>
      <c r="N42" s="24"/>
      <c r="O42" s="24"/>
    </row>
    <row r="43">
      <c r="A43" s="24"/>
      <c r="H43" s="24"/>
      <c r="I43" s="24"/>
      <c r="J43" s="24"/>
      <c r="K43" s="24"/>
      <c r="L43" s="24"/>
      <c r="M43" s="24"/>
      <c r="N43" s="24"/>
      <c r="O43" s="24"/>
    </row>
    <row r="44">
      <c r="A44" s="24"/>
      <c r="H44" s="24"/>
      <c r="I44" s="24"/>
      <c r="J44" s="24"/>
      <c r="K44" s="24"/>
      <c r="L44" s="24"/>
      <c r="M44" s="24"/>
      <c r="N44" s="24"/>
      <c r="O44" s="24"/>
    </row>
    <row r="45">
      <c r="A45" s="24"/>
      <c r="H45" s="24"/>
      <c r="I45" s="24"/>
      <c r="J45" s="24"/>
      <c r="K45" s="24"/>
      <c r="L45" s="24"/>
      <c r="M45" s="24"/>
      <c r="N45" s="24"/>
      <c r="O45" s="24"/>
    </row>
    <row r="46">
      <c r="A46" s="24"/>
      <c r="H46" s="24"/>
      <c r="I46" s="24"/>
      <c r="J46" s="24"/>
      <c r="K46" s="24"/>
      <c r="L46" s="24"/>
      <c r="M46" s="24"/>
      <c r="N46" s="24"/>
      <c r="O46" s="24"/>
    </row>
    <row r="47">
      <c r="A47" s="24"/>
      <c r="H47" s="24"/>
      <c r="I47" s="24"/>
      <c r="J47" s="24"/>
      <c r="K47" s="24"/>
      <c r="L47" s="24"/>
      <c r="M47" s="24"/>
      <c r="N47" s="24"/>
      <c r="O47" s="24"/>
    </row>
    <row r="48">
      <c r="A48" s="24"/>
      <c r="H48" s="24"/>
      <c r="I48" s="24"/>
      <c r="J48" s="24"/>
      <c r="K48" s="24"/>
      <c r="L48" s="24"/>
      <c r="M48" s="24"/>
      <c r="N48" s="24"/>
      <c r="O48" s="24"/>
    </row>
    <row r="49">
      <c r="A49" s="24"/>
      <c r="H49" s="24"/>
      <c r="I49" s="24"/>
      <c r="J49" s="24"/>
      <c r="K49" s="24"/>
      <c r="L49" s="24"/>
      <c r="M49" s="24"/>
      <c r="N49" s="24"/>
      <c r="O49" s="24"/>
    </row>
    <row r="50">
      <c r="A50" s="24"/>
      <c r="H50" s="24"/>
      <c r="I50" s="24"/>
      <c r="J50" s="24"/>
      <c r="K50" s="24"/>
      <c r="L50" s="24"/>
      <c r="M50" s="24"/>
      <c r="N50" s="24"/>
      <c r="O50" s="24"/>
    </row>
    <row r="51">
      <c r="A51" s="24"/>
      <c r="H51" s="24"/>
      <c r="I51" s="24"/>
      <c r="J51" s="24"/>
      <c r="K51" s="24"/>
      <c r="L51" s="24"/>
      <c r="M51" s="24"/>
      <c r="N51" s="24"/>
      <c r="O51" s="24"/>
    </row>
    <row r="52">
      <c r="A52" s="24"/>
      <c r="H52" s="24"/>
      <c r="I52" s="24"/>
      <c r="J52" s="24"/>
      <c r="K52" s="24"/>
      <c r="L52" s="24"/>
      <c r="M52" s="24"/>
      <c r="N52" s="24"/>
      <c r="O52" s="24"/>
    </row>
    <row r="53">
      <c r="A53" s="24"/>
      <c r="H53" s="24"/>
      <c r="I53" s="24"/>
      <c r="J53" s="24"/>
      <c r="K53" s="24"/>
      <c r="L53" s="24"/>
      <c r="M53" s="24"/>
      <c r="N53" s="24"/>
      <c r="O53" s="24"/>
    </row>
    <row r="54">
      <c r="A54" s="24"/>
      <c r="H54" s="24"/>
      <c r="I54" s="24"/>
      <c r="J54" s="24"/>
      <c r="K54" s="24"/>
      <c r="L54" s="24"/>
      <c r="M54" s="24"/>
      <c r="N54" s="24"/>
      <c r="O54" s="24"/>
    </row>
    <row r="55">
      <c r="A55" s="24"/>
      <c r="H55" s="24"/>
      <c r="I55" s="24"/>
      <c r="J55" s="24"/>
      <c r="K55" s="24"/>
      <c r="L55" s="24"/>
      <c r="M55" s="24"/>
      <c r="N55" s="24"/>
      <c r="O55" s="24"/>
    </row>
    <row r="56">
      <c r="A56" s="24"/>
      <c r="H56" s="24"/>
      <c r="I56" s="24"/>
      <c r="J56" s="24"/>
      <c r="K56" s="24"/>
      <c r="L56" s="24"/>
      <c r="M56" s="24"/>
      <c r="N56" s="24"/>
      <c r="O56" s="24"/>
    </row>
    <row r="57">
      <c r="A57" s="24"/>
      <c r="H57" s="24"/>
      <c r="I57" s="24"/>
      <c r="J57" s="24"/>
      <c r="K57" s="24"/>
      <c r="L57" s="24"/>
      <c r="M57" s="24"/>
      <c r="N57" s="24"/>
      <c r="O57" s="24"/>
    </row>
    <row r="58">
      <c r="A58" s="24"/>
      <c r="H58" s="24"/>
      <c r="I58" s="24"/>
      <c r="J58" s="24"/>
      <c r="K58" s="24"/>
      <c r="L58" s="24"/>
      <c r="M58" s="24"/>
      <c r="N58" s="24"/>
      <c r="O58" s="24"/>
    </row>
    <row r="59">
      <c r="A59" s="24"/>
      <c r="H59" s="24"/>
      <c r="I59" s="24"/>
      <c r="J59" s="24"/>
      <c r="K59" s="24"/>
      <c r="L59" s="24"/>
      <c r="M59" s="24"/>
      <c r="N59" s="24"/>
      <c r="O59" s="24"/>
    </row>
    <row r="60">
      <c r="A60" s="24"/>
      <c r="H60" s="24"/>
      <c r="I60" s="24"/>
      <c r="J60" s="24"/>
      <c r="K60" s="24"/>
      <c r="L60" s="24"/>
      <c r="M60" s="24"/>
      <c r="N60" s="24"/>
      <c r="O60" s="24"/>
    </row>
    <row r="61">
      <c r="A61" s="24"/>
      <c r="H61" s="24"/>
      <c r="I61" s="24"/>
      <c r="J61" s="24"/>
      <c r="K61" s="24"/>
      <c r="L61" s="24"/>
      <c r="M61" s="24"/>
      <c r="N61" s="24"/>
      <c r="O61" s="24"/>
    </row>
    <row r="62">
      <c r="A62" s="24"/>
      <c r="H62" s="24"/>
      <c r="I62" s="24"/>
      <c r="J62" s="24"/>
      <c r="K62" s="24"/>
      <c r="L62" s="24"/>
      <c r="M62" s="24"/>
      <c r="N62" s="24"/>
      <c r="O62" s="24"/>
    </row>
    <row r="63">
      <c r="A63" s="24"/>
      <c r="H63" s="24"/>
      <c r="I63" s="24"/>
      <c r="J63" s="24"/>
      <c r="K63" s="24"/>
      <c r="L63" s="24"/>
      <c r="M63" s="24"/>
      <c r="N63" s="24"/>
      <c r="O63" s="24"/>
    </row>
    <row r="64">
      <c r="A64" s="24"/>
      <c r="H64" s="24"/>
      <c r="I64" s="24"/>
      <c r="J64" s="24"/>
      <c r="K64" s="24"/>
      <c r="L64" s="24"/>
      <c r="M64" s="24"/>
      <c r="N64" s="24"/>
      <c r="O64" s="24"/>
    </row>
    <row r="65">
      <c r="A65" s="24"/>
      <c r="H65" s="24"/>
      <c r="I65" s="24"/>
      <c r="J65" s="24"/>
      <c r="K65" s="24"/>
      <c r="L65" s="24"/>
      <c r="M65" s="24"/>
      <c r="N65" s="24"/>
      <c r="O65" s="24"/>
    </row>
    <row r="66">
      <c r="A66" s="24"/>
      <c r="H66" s="24"/>
      <c r="I66" s="24"/>
      <c r="J66" s="24"/>
      <c r="K66" s="24"/>
      <c r="L66" s="24"/>
      <c r="M66" s="24"/>
      <c r="N66" s="24"/>
      <c r="O66" s="24"/>
    </row>
    <row r="67">
      <c r="A67" s="24"/>
      <c r="H67" s="24"/>
      <c r="I67" s="24"/>
      <c r="J67" s="24"/>
      <c r="K67" s="24"/>
      <c r="L67" s="24"/>
      <c r="M67" s="24"/>
      <c r="N67" s="24"/>
      <c r="O67" s="24"/>
    </row>
    <row r="68">
      <c r="A68" s="24"/>
      <c r="H68" s="24"/>
      <c r="I68" s="24"/>
      <c r="J68" s="24"/>
      <c r="K68" s="24"/>
      <c r="L68" s="24"/>
      <c r="M68" s="24"/>
      <c r="N68" s="24"/>
      <c r="O68" s="24"/>
    </row>
    <row r="69">
      <c r="A69" s="24"/>
      <c r="H69" s="24"/>
      <c r="I69" s="24"/>
      <c r="J69" s="24"/>
      <c r="K69" s="24"/>
      <c r="L69" s="24"/>
      <c r="M69" s="24"/>
      <c r="N69" s="24"/>
      <c r="O69" s="24"/>
    </row>
    <row r="70">
      <c r="A70" s="24"/>
      <c r="H70" s="24"/>
      <c r="I70" s="24"/>
      <c r="J70" s="24"/>
      <c r="K70" s="24"/>
      <c r="L70" s="24"/>
      <c r="M70" s="24"/>
      <c r="N70" s="24"/>
      <c r="O70" s="24"/>
    </row>
    <row r="71">
      <c r="A71" s="24"/>
      <c r="H71" s="24"/>
      <c r="I71" s="24"/>
      <c r="J71" s="24"/>
      <c r="K71" s="24"/>
      <c r="L71" s="24"/>
      <c r="M71" s="24"/>
      <c r="N71" s="24"/>
      <c r="O71" s="24"/>
    </row>
    <row r="72">
      <c r="A72" s="24"/>
      <c r="H72" s="24"/>
      <c r="I72" s="24"/>
      <c r="J72" s="24"/>
      <c r="K72" s="24"/>
      <c r="L72" s="24"/>
      <c r="M72" s="24"/>
      <c r="N72" s="24"/>
      <c r="O72" s="24"/>
    </row>
    <row r="73">
      <c r="A73" s="24"/>
      <c r="H73" s="24"/>
      <c r="I73" s="24"/>
      <c r="J73" s="24"/>
      <c r="K73" s="24"/>
      <c r="L73" s="24"/>
      <c r="M73" s="24"/>
      <c r="N73" s="24"/>
      <c r="O73" s="24"/>
    </row>
    <row r="74">
      <c r="A74" s="24"/>
      <c r="H74" s="24"/>
      <c r="I74" s="24"/>
      <c r="J74" s="24"/>
      <c r="K74" s="24"/>
      <c r="L74" s="24"/>
      <c r="M74" s="24"/>
      <c r="N74" s="24"/>
      <c r="O74" s="24"/>
    </row>
    <row r="75">
      <c r="A75" s="24"/>
      <c r="H75" s="24"/>
      <c r="I75" s="24"/>
      <c r="J75" s="24"/>
      <c r="K75" s="24"/>
      <c r="L75" s="24"/>
      <c r="M75" s="24"/>
      <c r="N75" s="24"/>
      <c r="O75" s="24"/>
    </row>
    <row r="76">
      <c r="A76" s="24"/>
      <c r="H76" s="24"/>
      <c r="I76" s="24"/>
      <c r="J76" s="24"/>
      <c r="K76" s="24"/>
      <c r="L76" s="24"/>
      <c r="M76" s="24"/>
      <c r="N76" s="24"/>
      <c r="O76" s="24"/>
    </row>
    <row r="77">
      <c r="A77" s="24"/>
      <c r="H77" s="24"/>
      <c r="I77" s="24"/>
      <c r="J77" s="24"/>
      <c r="K77" s="24"/>
      <c r="L77" s="24"/>
      <c r="M77" s="24"/>
      <c r="N77" s="24"/>
      <c r="O77" s="24"/>
    </row>
    <row r="78">
      <c r="A78" s="24"/>
      <c r="H78" s="24"/>
      <c r="I78" s="24"/>
      <c r="J78" s="24"/>
      <c r="K78" s="24"/>
      <c r="L78" s="24"/>
      <c r="M78" s="24"/>
      <c r="N78" s="24"/>
      <c r="O78" s="24"/>
    </row>
    <row r="79">
      <c r="A79" s="24"/>
      <c r="H79" s="24"/>
      <c r="I79" s="24"/>
      <c r="J79" s="24"/>
      <c r="K79" s="24"/>
      <c r="L79" s="24"/>
      <c r="M79" s="24"/>
      <c r="N79" s="24"/>
      <c r="O79" s="24"/>
    </row>
    <row r="80">
      <c r="A80" s="24"/>
      <c r="H80" s="24"/>
      <c r="I80" s="24"/>
      <c r="J80" s="24"/>
      <c r="K80" s="24"/>
      <c r="L80" s="24"/>
      <c r="M80" s="24"/>
      <c r="N80" s="24"/>
      <c r="O80" s="24"/>
    </row>
    <row r="81">
      <c r="A81" s="24"/>
      <c r="H81" s="24"/>
      <c r="I81" s="24"/>
      <c r="J81" s="24"/>
      <c r="K81" s="24"/>
      <c r="L81" s="24"/>
      <c r="M81" s="24"/>
      <c r="N81" s="24"/>
      <c r="O81" s="24"/>
    </row>
    <row r="82">
      <c r="A82" s="24"/>
      <c r="H82" s="24"/>
      <c r="I82" s="24"/>
      <c r="J82" s="24"/>
      <c r="K82" s="24"/>
      <c r="L82" s="24"/>
      <c r="M82" s="24"/>
      <c r="N82" s="24"/>
      <c r="O82" s="24"/>
    </row>
    <row r="83">
      <c r="A83" s="24"/>
      <c r="H83" s="24"/>
      <c r="I83" s="24"/>
      <c r="J83" s="24"/>
      <c r="K83" s="24"/>
      <c r="L83" s="24"/>
      <c r="M83" s="24"/>
      <c r="N83" s="24"/>
      <c r="O83" s="24"/>
    </row>
    <row r="84">
      <c r="A84" s="24"/>
      <c r="H84" s="24"/>
      <c r="I84" s="24"/>
      <c r="J84" s="24"/>
      <c r="K84" s="24"/>
      <c r="L84" s="24"/>
      <c r="M84" s="24"/>
      <c r="N84" s="24"/>
      <c r="O84" s="24"/>
    </row>
    <row r="85">
      <c r="A85" s="24"/>
      <c r="H85" s="24"/>
      <c r="I85" s="24"/>
      <c r="J85" s="24"/>
      <c r="K85" s="24"/>
      <c r="L85" s="24"/>
      <c r="M85" s="24"/>
      <c r="N85" s="24"/>
      <c r="O85" s="24"/>
    </row>
    <row r="86">
      <c r="A86" s="24"/>
      <c r="H86" s="24"/>
      <c r="I86" s="24"/>
      <c r="J86" s="24"/>
      <c r="K86" s="24"/>
      <c r="L86" s="24"/>
      <c r="M86" s="24"/>
      <c r="N86" s="24"/>
      <c r="O86" s="24"/>
    </row>
    <row r="87">
      <c r="A87" s="24"/>
      <c r="H87" s="24"/>
      <c r="I87" s="24"/>
      <c r="J87" s="24"/>
      <c r="K87" s="24"/>
      <c r="L87" s="24"/>
      <c r="M87" s="24"/>
      <c r="N87" s="24"/>
      <c r="O87" s="24"/>
    </row>
    <row r="88">
      <c r="A88" s="24"/>
      <c r="H88" s="24"/>
      <c r="I88" s="24"/>
      <c r="J88" s="24"/>
      <c r="K88" s="24"/>
      <c r="L88" s="24"/>
      <c r="M88" s="24"/>
      <c r="N88" s="24"/>
      <c r="O88" s="24"/>
    </row>
    <row r="89">
      <c r="A89" s="24"/>
      <c r="H89" s="24"/>
      <c r="I89" s="24"/>
      <c r="J89" s="24"/>
      <c r="K89" s="24"/>
      <c r="L89" s="24"/>
      <c r="M89" s="24"/>
      <c r="N89" s="24"/>
      <c r="O89" s="24"/>
    </row>
    <row r="90">
      <c r="A90" s="24"/>
      <c r="H90" s="24"/>
      <c r="I90" s="24"/>
      <c r="J90" s="24"/>
      <c r="K90" s="24"/>
      <c r="L90" s="24"/>
      <c r="M90" s="24"/>
      <c r="N90" s="24"/>
      <c r="O90" s="24"/>
    </row>
    <row r="91">
      <c r="A91" s="24"/>
      <c r="H91" s="24"/>
      <c r="I91" s="24"/>
      <c r="J91" s="24"/>
      <c r="K91" s="24"/>
      <c r="L91" s="24"/>
      <c r="M91" s="24"/>
      <c r="N91" s="24"/>
      <c r="O91" s="24"/>
    </row>
    <row r="92">
      <c r="A92" s="24"/>
      <c r="H92" s="24"/>
      <c r="I92" s="24"/>
      <c r="J92" s="24"/>
      <c r="K92" s="24"/>
      <c r="L92" s="24"/>
      <c r="M92" s="24"/>
      <c r="N92" s="24"/>
      <c r="O92" s="24"/>
    </row>
    <row r="93">
      <c r="A93" s="24"/>
      <c r="H93" s="24"/>
      <c r="I93" s="24"/>
      <c r="J93" s="24"/>
      <c r="K93" s="24"/>
      <c r="L93" s="24"/>
      <c r="M93" s="24"/>
      <c r="N93" s="24"/>
      <c r="O93" s="24"/>
    </row>
    <row r="94">
      <c r="A94" s="24"/>
      <c r="H94" s="24"/>
      <c r="I94" s="24"/>
      <c r="J94" s="24"/>
      <c r="K94" s="24"/>
      <c r="L94" s="24"/>
      <c r="M94" s="24"/>
      <c r="N94" s="24"/>
      <c r="O94" s="24"/>
    </row>
    <row r="95">
      <c r="A95" s="24"/>
      <c r="H95" s="24"/>
      <c r="I95" s="24"/>
      <c r="J95" s="24"/>
      <c r="K95" s="24"/>
      <c r="L95" s="24"/>
      <c r="M95" s="24"/>
      <c r="N95" s="24"/>
      <c r="O95" s="24"/>
    </row>
    <row r="96">
      <c r="A96" s="24"/>
      <c r="H96" s="24"/>
      <c r="I96" s="24"/>
      <c r="J96" s="24"/>
      <c r="K96" s="24"/>
      <c r="L96" s="24"/>
      <c r="M96" s="24"/>
      <c r="N96" s="24"/>
      <c r="O96" s="24"/>
    </row>
    <row r="97">
      <c r="A97" s="24"/>
      <c r="H97" s="24"/>
      <c r="I97" s="24"/>
      <c r="J97" s="24"/>
      <c r="K97" s="24"/>
      <c r="L97" s="24"/>
      <c r="M97" s="24"/>
      <c r="N97" s="24"/>
      <c r="O97" s="24"/>
    </row>
    <row r="98">
      <c r="A98" s="24"/>
      <c r="H98" s="24"/>
      <c r="I98" s="24"/>
      <c r="J98" s="24"/>
      <c r="K98" s="24"/>
      <c r="L98" s="24"/>
      <c r="M98" s="24"/>
      <c r="N98" s="24"/>
      <c r="O98" s="24"/>
    </row>
    <row r="99">
      <c r="A99" s="24"/>
      <c r="H99" s="24"/>
      <c r="I99" s="24"/>
      <c r="J99" s="24"/>
      <c r="K99" s="24"/>
      <c r="L99" s="24"/>
      <c r="M99" s="24"/>
      <c r="N99" s="24"/>
      <c r="O99" s="24"/>
    </row>
    <row r="100">
      <c r="A100" s="24"/>
      <c r="H100" s="24"/>
      <c r="I100" s="24"/>
      <c r="J100" s="24"/>
      <c r="K100" s="24"/>
      <c r="L100" s="24"/>
      <c r="M100" s="24"/>
      <c r="N100" s="24"/>
      <c r="O100" s="24"/>
    </row>
  </sheetData>
  <mergeCells count="10">
    <mergeCell ref="H1:H2"/>
    <mergeCell ref="I1:K1"/>
    <mergeCell ref="L1:N1"/>
    <mergeCell ref="A1:A2"/>
    <mergeCell ref="B1:B2"/>
    <mergeCell ref="C1:C2"/>
    <mergeCell ref="D1:D2"/>
    <mergeCell ref="E1:E2"/>
    <mergeCell ref="F1:F2"/>
    <mergeCell ref="G1:G2"/>
  </mergeCells>
  <dataValidations>
    <dataValidation type="list" allowBlank="1" sqref="A3:A100">
      <formula1>nombres!$AD$2:$AD100</formula1>
    </dataValidation>
    <dataValidation type="list" allowBlank="1" showErrorMessage="1" sqref="L3:N100">
      <formula1>nombres!$U$2:$U$11</formula1>
    </dataValidation>
    <dataValidation type="list" allowBlank="1" showErrorMessage="1" sqref="H3:K100">
      <formula1>nombres!$Z$2:$Z$20</formula1>
    </dataValidation>
    <dataValidation type="list" allowBlank="1" sqref="O3:O100">
      <formula1>"A,B,C,D,E"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52</v>
      </c>
      <c r="B1" s="8" t="s">
        <v>53</v>
      </c>
      <c r="C1" s="8" t="s">
        <v>54</v>
      </c>
      <c r="D1" s="8" t="s">
        <v>55</v>
      </c>
      <c r="E1" s="8" t="s">
        <v>56</v>
      </c>
      <c r="F1" s="8" t="s">
        <v>2</v>
      </c>
      <c r="G1" s="8" t="s">
        <v>57</v>
      </c>
    </row>
    <row r="2">
      <c r="F2" s="24"/>
      <c r="G2" s="24"/>
    </row>
    <row r="3">
      <c r="F3" s="24"/>
      <c r="G3" s="24"/>
    </row>
    <row r="4">
      <c r="F4" s="24"/>
      <c r="G4" s="24"/>
    </row>
    <row r="5">
      <c r="F5" s="24"/>
      <c r="G5" s="24"/>
    </row>
    <row r="6">
      <c r="F6" s="24"/>
      <c r="G6" s="24"/>
    </row>
    <row r="7">
      <c r="F7" s="24"/>
      <c r="G7" s="24"/>
    </row>
    <row r="8">
      <c r="F8" s="24"/>
      <c r="G8" s="24"/>
    </row>
    <row r="9">
      <c r="F9" s="24"/>
      <c r="G9" s="24"/>
    </row>
    <row r="10">
      <c r="F10" s="24"/>
      <c r="G10" s="24"/>
    </row>
  </sheetData>
  <dataValidations>
    <dataValidation type="list" allowBlank="1" showErrorMessage="1" sqref="F2:F10">
      <formula1>nombres!$B$2:$B$9</formula1>
    </dataValidation>
    <dataValidation type="list" allowBlank="1" showErrorMessage="1" sqref="G2:G10">
      <formula1>"Rural,Urbano"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52</v>
      </c>
      <c r="B1" s="9" t="s">
        <v>38</v>
      </c>
      <c r="C1" s="9" t="s">
        <v>34</v>
      </c>
      <c r="D1" s="9" t="s">
        <v>41</v>
      </c>
      <c r="E1" s="9" t="s">
        <v>42</v>
      </c>
      <c r="F1" s="9" t="s">
        <v>58</v>
      </c>
      <c r="G1" s="9" t="s">
        <v>59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C2" s="24"/>
    </row>
    <row r="3">
      <c r="C3" s="24"/>
    </row>
    <row r="4">
      <c r="C4" s="24"/>
    </row>
    <row r="5">
      <c r="B5" s="37"/>
      <c r="C5" s="24"/>
    </row>
    <row r="6">
      <c r="B6" s="37"/>
      <c r="C6" s="24"/>
    </row>
    <row r="7">
      <c r="B7" s="37"/>
      <c r="C7" s="24"/>
    </row>
    <row r="8">
      <c r="B8" s="37"/>
      <c r="C8" s="24"/>
    </row>
    <row r="9">
      <c r="B9" s="37"/>
      <c r="C9" s="24"/>
    </row>
    <row r="10">
      <c r="B10" s="38"/>
      <c r="C10" s="24"/>
    </row>
  </sheetData>
  <dataValidations>
    <dataValidation type="list" allowBlank="1" showErrorMessage="1" sqref="C2:C10">
      <formula1>nombres!$B$2:$B$9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3" max="3" width="4.13"/>
    <col customWidth="1" min="9" max="9" width="19.63"/>
    <col customWidth="1" min="12" max="12" width="23.38"/>
    <col customWidth="1" min="30" max="30" width="44.63"/>
  </cols>
  <sheetData>
    <row r="1">
      <c r="A1" s="39" t="s">
        <v>60</v>
      </c>
      <c r="B1" s="37" t="s">
        <v>61</v>
      </c>
      <c r="D1" s="20" t="s">
        <v>60</v>
      </c>
      <c r="E1" s="20" t="s">
        <v>62</v>
      </c>
      <c r="G1" s="20" t="s">
        <v>63</v>
      </c>
      <c r="I1" s="37" t="s">
        <v>64</v>
      </c>
      <c r="J1" s="37" t="s">
        <v>65</v>
      </c>
      <c r="L1" s="20" t="s">
        <v>66</v>
      </c>
      <c r="M1" s="20" t="s">
        <v>60</v>
      </c>
      <c r="O1" s="37" t="s">
        <v>5</v>
      </c>
      <c r="P1" s="20" t="s">
        <v>60</v>
      </c>
      <c r="R1" s="28" t="s">
        <v>7</v>
      </c>
      <c r="S1" s="28" t="s">
        <v>67</v>
      </c>
      <c r="U1" s="37" t="s">
        <v>68</v>
      </c>
      <c r="V1" s="20" t="s">
        <v>69</v>
      </c>
      <c r="X1" s="37" t="s">
        <v>70</v>
      </c>
      <c r="Z1" s="37" t="s">
        <v>71</v>
      </c>
      <c r="AA1" s="20"/>
      <c r="AB1" s="20"/>
      <c r="AC1" s="40"/>
      <c r="AD1" s="40" t="str">
        <f>IFERROR(__xludf.DUMMYFUNCTION("IMPORTRANGE(""https://docs.google.com/spreadsheets/d/1TNGOAUFn0WUPOZrrEY23plkUIayZ7XglQNe64-Jm1To/edit?gid=60910317#gid=60910317"",""colegios!A1:C"")"),"Nombre encontrado en las base de datos")</f>
        <v>Nombre encontrado en las base de datos</v>
      </c>
      <c r="AE1" s="40" t="str">
        <f>IFERROR(__xludf.DUMMYFUNCTION("""COMPUTED_VALUE"""),"Nombre que hemos determinado que podria ser, segun lo que aparece en la muestra y cruce de información.")</f>
        <v>Nombre que hemos determinado que podria ser, segun lo que aparece en la muestra y cruce de información.</v>
      </c>
      <c r="AF1" s="20" t="str">
        <f>IFERROR(__xludf.DUMMYFUNCTION("""COMPUTED_VALUE"""),"Región a la que pertenece")</f>
        <v>Región a la que pertenece</v>
      </c>
      <c r="AG1" s="20"/>
      <c r="AH1" s="20"/>
      <c r="AI1" s="20"/>
      <c r="AJ1" s="20"/>
      <c r="AK1" s="20"/>
    </row>
    <row r="2">
      <c r="A2" s="21">
        <v>1.0</v>
      </c>
      <c r="B2" s="20" t="s">
        <v>72</v>
      </c>
      <c r="D2" s="20">
        <v>1.0</v>
      </c>
      <c r="E2" s="20" t="s">
        <v>73</v>
      </c>
      <c r="G2" s="20" t="s">
        <v>26</v>
      </c>
      <c r="I2" s="20" t="s">
        <v>27</v>
      </c>
      <c r="J2" s="20" t="s">
        <v>74</v>
      </c>
      <c r="L2" s="20" t="s">
        <v>29</v>
      </c>
      <c r="M2" s="24" t="str">
        <f t="shared" ref="M2:M10" si="1">MID(L2,1,1)</f>
        <v>1</v>
      </c>
      <c r="O2" s="20" t="s">
        <v>28</v>
      </c>
      <c r="P2" s="20">
        <v>1.0</v>
      </c>
      <c r="R2" s="20" t="s">
        <v>75</v>
      </c>
      <c r="S2" s="20">
        <v>1.0</v>
      </c>
      <c r="U2" s="20" t="s">
        <v>76</v>
      </c>
      <c r="V2" s="20" t="s">
        <v>77</v>
      </c>
      <c r="X2" s="20" t="s">
        <v>78</v>
      </c>
      <c r="Z2" s="20" t="s">
        <v>72</v>
      </c>
      <c r="AA2" s="20"/>
      <c r="AB2" s="20"/>
      <c r="AC2" s="41"/>
      <c r="AD2" s="41" t="str">
        <f>IFERROR(__xludf.DUMMYFUNCTION("""COMPUTED_VALUE"""),"Accocunca")</f>
        <v>Accocunca</v>
      </c>
      <c r="AE2" s="41" t="str">
        <f>IFERROR(__xludf.DUMMYFUNCTION("""COMPUTED_VALUE"""),"50547")</f>
        <v>50547</v>
      </c>
      <c r="AF2" s="20" t="str">
        <f>IFERROR(__xludf.DUMMYFUNCTION("""COMPUTED_VALUE"""),"44. Cusco")</f>
        <v>44. Cusco</v>
      </c>
      <c r="AG2" s="20"/>
      <c r="AH2" s="20"/>
      <c r="AI2" s="20"/>
      <c r="AJ2" s="20"/>
      <c r="AK2" s="20"/>
    </row>
    <row r="3">
      <c r="A3" s="21">
        <v>2.0</v>
      </c>
      <c r="B3" s="20" t="s">
        <v>25</v>
      </c>
      <c r="D3" s="20">
        <v>2.0</v>
      </c>
      <c r="E3" s="20" t="s">
        <v>79</v>
      </c>
      <c r="G3" s="20" t="s">
        <v>31</v>
      </c>
      <c r="I3" s="20" t="s">
        <v>32</v>
      </c>
      <c r="J3" s="20" t="s">
        <v>80</v>
      </c>
      <c r="L3" s="20" t="s">
        <v>81</v>
      </c>
      <c r="M3" s="24" t="str">
        <f t="shared" si="1"/>
        <v>2</v>
      </c>
      <c r="O3" s="20" t="s">
        <v>33</v>
      </c>
      <c r="P3" s="20">
        <v>2.0</v>
      </c>
      <c r="R3" s="20" t="s">
        <v>82</v>
      </c>
      <c r="S3" s="20">
        <v>2.0</v>
      </c>
      <c r="U3" s="20" t="s">
        <v>50</v>
      </c>
      <c r="V3" s="20" t="s">
        <v>83</v>
      </c>
      <c r="X3" s="20" t="s">
        <v>84</v>
      </c>
      <c r="Z3" s="20" t="s">
        <v>25</v>
      </c>
      <c r="AA3" s="20"/>
      <c r="AB3" s="20"/>
      <c r="AC3" s="41"/>
      <c r="AD3" s="41" t="str">
        <f>IFERROR(__xludf.DUMMYFUNCTION("""COMPUTED_VALUE"""),"Andamayo")</f>
        <v>Andamayo</v>
      </c>
      <c r="AE3" s="41" t="str">
        <f>IFERROR(__xludf.DUMMYFUNCTION("""COMPUTED_VALUE"""),"50977")</f>
        <v>50977</v>
      </c>
      <c r="AF3" s="20" t="str">
        <f>IFERROR(__xludf.DUMMYFUNCTION("""COMPUTED_VALUE"""),"44. Cusco")</f>
        <v>44. Cusco</v>
      </c>
      <c r="AG3" s="20"/>
      <c r="AH3" s="20"/>
      <c r="AI3" s="20"/>
      <c r="AJ3" s="20"/>
      <c r="AK3" s="20"/>
    </row>
    <row r="4">
      <c r="A4" s="25"/>
      <c r="B4" s="20" t="s">
        <v>30</v>
      </c>
      <c r="I4" s="20" t="s">
        <v>85</v>
      </c>
      <c r="L4" s="20" t="s">
        <v>86</v>
      </c>
      <c r="M4" s="24" t="str">
        <f t="shared" si="1"/>
        <v>3</v>
      </c>
      <c r="O4" s="20" t="s">
        <v>87</v>
      </c>
      <c r="P4" s="20">
        <v>3.0</v>
      </c>
      <c r="U4" s="20" t="s">
        <v>88</v>
      </c>
      <c r="V4" s="20" t="s">
        <v>89</v>
      </c>
      <c r="X4" s="20" t="s">
        <v>90</v>
      </c>
      <c r="Z4" s="20" t="s">
        <v>91</v>
      </c>
      <c r="AA4" s="20"/>
      <c r="AB4" s="20"/>
      <c r="AC4" s="41"/>
      <c r="AD4" s="41" t="str">
        <f>IFERROR(__xludf.DUMMYFUNCTION("""COMPUTED_VALUE"""),"Ccapana")</f>
        <v>Ccapana</v>
      </c>
      <c r="AE4" s="41" t="str">
        <f>IFERROR(__xludf.DUMMYFUNCTION("""COMPUTED_VALUE"""),"50495")</f>
        <v>50495</v>
      </c>
      <c r="AF4" s="20" t="str">
        <f>IFERROR(__xludf.DUMMYFUNCTION("""COMPUTED_VALUE"""),"44. Cusco")</f>
        <v>44. Cusco</v>
      </c>
      <c r="AG4" s="20"/>
      <c r="AH4" s="20"/>
      <c r="AI4" s="20"/>
      <c r="AJ4" s="20"/>
      <c r="AK4" s="20"/>
    </row>
    <row r="5">
      <c r="A5" s="25"/>
      <c r="L5" s="20" t="s">
        <v>92</v>
      </c>
      <c r="M5" s="24" t="str">
        <f t="shared" si="1"/>
        <v>4</v>
      </c>
      <c r="U5" s="20" t="s">
        <v>93</v>
      </c>
      <c r="V5" s="20" t="s">
        <v>94</v>
      </c>
      <c r="Z5" s="20" t="s">
        <v>48</v>
      </c>
      <c r="AA5" s="20"/>
      <c r="AB5" s="20"/>
      <c r="AC5" s="41"/>
      <c r="AD5" s="41" t="str">
        <f>IFERROR(__xludf.DUMMYFUNCTION("""COMPUTED_VALUE"""),"Cristo Rey")</f>
        <v>Cristo Rey</v>
      </c>
      <c r="AE5" s="41" t="str">
        <f>IFERROR(__xludf.DUMMYFUNCTION("""COMPUTED_VALUE"""),"501455 CRISTO REY TTIKARIY")</f>
        <v>501455 CRISTO REY TTIKARIY</v>
      </c>
      <c r="AF5" s="20" t="str">
        <f>IFERROR(__xludf.DUMMYFUNCTION("""COMPUTED_VALUE"""),"44. Cusco")</f>
        <v>44. Cusco</v>
      </c>
      <c r="AG5" s="20"/>
      <c r="AH5" s="20"/>
      <c r="AI5" s="20"/>
      <c r="AJ5" s="20"/>
      <c r="AK5" s="20"/>
    </row>
    <row r="6">
      <c r="A6" s="25"/>
      <c r="L6" s="20" t="s">
        <v>95</v>
      </c>
      <c r="M6" s="24" t="str">
        <f t="shared" si="1"/>
        <v>5</v>
      </c>
      <c r="U6" s="20" t="s">
        <v>96</v>
      </c>
      <c r="V6" s="20" t="s">
        <v>97</v>
      </c>
      <c r="Z6" s="20" t="s">
        <v>49</v>
      </c>
      <c r="AA6" s="20"/>
      <c r="AB6" s="20"/>
      <c r="AC6" s="41"/>
      <c r="AD6" s="41" t="str">
        <f>IFERROR(__xludf.DUMMYFUNCTION("""COMPUTED_VALUE"""),"Kumuncancha")</f>
        <v>Kumuncancha</v>
      </c>
      <c r="AE6" s="41" t="str">
        <f>IFERROR(__xludf.DUMMYFUNCTION("""COMPUTED_VALUE"""),"501432 PAPA FRANCISCO I")</f>
        <v>501432 PAPA FRANCISCO I</v>
      </c>
      <c r="AF6" s="20" t="str">
        <f>IFERROR(__xludf.DUMMYFUNCTION("""COMPUTED_VALUE"""),"44. Cusco")</f>
        <v>44. Cusco</v>
      </c>
      <c r="AG6" s="20"/>
      <c r="AH6" s="20"/>
      <c r="AI6" s="20"/>
      <c r="AJ6" s="20"/>
      <c r="AK6" s="20"/>
    </row>
    <row r="7">
      <c r="A7" s="25"/>
      <c r="L7" s="20" t="s">
        <v>98</v>
      </c>
      <c r="M7" s="24" t="str">
        <f t="shared" si="1"/>
        <v>6</v>
      </c>
      <c r="U7" s="20" t="s">
        <v>99</v>
      </c>
      <c r="V7" s="20" t="s">
        <v>100</v>
      </c>
      <c r="Z7" s="20" t="s">
        <v>101</v>
      </c>
      <c r="AA7" s="20"/>
      <c r="AB7" s="20"/>
      <c r="AC7" s="41"/>
      <c r="AD7" s="41" t="str">
        <f>IFERROR(__xludf.DUMMYFUNCTION("""COMPUTED_VALUE"""),"Llachi")</f>
        <v>Llachi</v>
      </c>
      <c r="AE7" s="41" t="str">
        <f>IFERROR(__xludf.DUMMYFUNCTION("""COMPUTED_VALUE"""),"50715")</f>
        <v>50715</v>
      </c>
      <c r="AF7" s="20" t="str">
        <f>IFERROR(__xludf.DUMMYFUNCTION("""COMPUTED_VALUE"""),"44. Cusco")</f>
        <v>44. Cusco</v>
      </c>
      <c r="AG7" s="20"/>
      <c r="AH7" s="20"/>
      <c r="AI7" s="20"/>
      <c r="AJ7" s="20"/>
      <c r="AK7" s="20"/>
    </row>
    <row r="8">
      <c r="A8" s="25"/>
      <c r="L8" s="20" t="s">
        <v>102</v>
      </c>
      <c r="M8" s="24" t="str">
        <f t="shared" si="1"/>
        <v>7</v>
      </c>
      <c r="V8" s="20" t="s">
        <v>103</v>
      </c>
      <c r="Z8" s="20" t="s">
        <v>104</v>
      </c>
      <c r="AA8" s="20"/>
      <c r="AB8" s="20"/>
      <c r="AC8" s="41"/>
      <c r="AD8" s="41" t="str">
        <f>IFERROR(__xludf.DUMMYFUNCTION("""COMPUTED_VALUE"""),"Marampaqui")</f>
        <v>Marampaqui</v>
      </c>
      <c r="AE8" s="41" t="str">
        <f>IFERROR(__xludf.DUMMYFUNCTION("""COMPUTED_VALUE"""),"50553")</f>
        <v>50553</v>
      </c>
      <c r="AF8" s="20" t="str">
        <f>IFERROR(__xludf.DUMMYFUNCTION("""COMPUTED_VALUE"""),"44. Cusco")</f>
        <v>44. Cusco</v>
      </c>
      <c r="AG8" s="20"/>
      <c r="AH8" s="20"/>
      <c r="AI8" s="20"/>
      <c r="AJ8" s="20"/>
      <c r="AK8" s="20"/>
    </row>
    <row r="9">
      <c r="A9" s="25"/>
      <c r="L9" s="20" t="s">
        <v>105</v>
      </c>
      <c r="M9" s="24" t="str">
        <f t="shared" si="1"/>
        <v>8</v>
      </c>
      <c r="V9" s="20" t="s">
        <v>106</v>
      </c>
      <c r="Z9" s="20" t="s">
        <v>107</v>
      </c>
      <c r="AA9" s="20"/>
      <c r="AB9" s="20"/>
      <c r="AC9" s="41"/>
      <c r="AD9" s="41" t="str">
        <f>IFERROR(__xludf.DUMMYFUNCTION("""COMPUTED_VALUE"""),"Ocongate")</f>
        <v>Ocongate</v>
      </c>
      <c r="AE9" s="41" t="str">
        <f>IFERROR(__xludf.DUMMYFUNCTION("""COMPUTED_VALUE"""),"50492 CORAZON DE JESUS")</f>
        <v>50492 CORAZON DE JESUS</v>
      </c>
      <c r="AF9" s="20" t="str">
        <f>IFERROR(__xludf.DUMMYFUNCTION("""COMPUTED_VALUE"""),"44. Cusco")</f>
        <v>44. Cusco</v>
      </c>
      <c r="AG9" s="20"/>
      <c r="AH9" s="20"/>
      <c r="AI9" s="20"/>
      <c r="AJ9" s="20"/>
      <c r="AK9" s="20"/>
    </row>
    <row r="10">
      <c r="A10" s="25"/>
      <c r="L10" s="20" t="s">
        <v>108</v>
      </c>
      <c r="M10" s="24" t="str">
        <f t="shared" si="1"/>
        <v>9</v>
      </c>
      <c r="V10" s="20" t="s">
        <v>109</v>
      </c>
      <c r="Z10" s="20" t="s">
        <v>110</v>
      </c>
      <c r="AC10" s="42"/>
      <c r="AD10" s="42" t="str">
        <f>IFERROR(__xludf.DUMMYFUNCTION("""COMPUTED_VALUE"""),"Pampacancha")</f>
        <v>Pampacancha</v>
      </c>
      <c r="AE10" s="42" t="str">
        <f>IFERROR(__xludf.DUMMYFUNCTION("""COMPUTED_VALUE"""),"50550")</f>
        <v>50550</v>
      </c>
      <c r="AF10" s="24" t="str">
        <f>IFERROR(__xludf.DUMMYFUNCTION("""COMPUTED_VALUE"""),"44. Cusco")</f>
        <v>44. Cusco</v>
      </c>
    </row>
    <row r="11">
      <c r="A11" s="25"/>
      <c r="L11" s="20" t="s">
        <v>111</v>
      </c>
      <c r="M11" s="24" t="str">
        <f t="shared" ref="M11:M13" si="2">MID(L11,1,2)</f>
        <v>10</v>
      </c>
      <c r="V11" s="20" t="s">
        <v>112</v>
      </c>
      <c r="Z11" s="20" t="s">
        <v>113</v>
      </c>
      <c r="AC11" s="42"/>
      <c r="AD11" s="42" t="str">
        <f>IFERROR(__xludf.DUMMYFUNCTION("""COMPUTED_VALUE"""),"Sallicancha")</f>
        <v>Sallicancha</v>
      </c>
      <c r="AE11" s="42" t="str">
        <f>IFERROR(__xludf.DUMMYFUNCTION("""COMPUTED_VALUE"""),"50765")</f>
        <v>50765</v>
      </c>
      <c r="AF11" s="24" t="str">
        <f>IFERROR(__xludf.DUMMYFUNCTION("""COMPUTED_VALUE"""),"44. Cusco")</f>
        <v>44. Cusco</v>
      </c>
    </row>
    <row r="12">
      <c r="A12" s="25"/>
      <c r="L12" s="20" t="s">
        <v>114</v>
      </c>
      <c r="M12" s="24" t="str">
        <f t="shared" si="2"/>
        <v>11</v>
      </c>
      <c r="Z12" s="20" t="s">
        <v>115</v>
      </c>
      <c r="AC12" s="42"/>
      <c r="AD12" s="42" t="str">
        <f>IFERROR(__xludf.DUMMYFUNCTION("""COMPUTED_VALUE"""),"Yanacancha")</f>
        <v>Yanacancha</v>
      </c>
      <c r="AE12" s="42" t="str">
        <f>IFERROR(__xludf.DUMMYFUNCTION("""COMPUTED_VALUE"""),"50696 YANACANCHA")</f>
        <v>50696 YANACANCHA</v>
      </c>
      <c r="AF12" s="24" t="str">
        <f>IFERROR(__xludf.DUMMYFUNCTION("""COMPUTED_VALUE"""),"44. Cusco")</f>
        <v>44. Cusco</v>
      </c>
    </row>
    <row r="13">
      <c r="A13" s="25"/>
      <c r="L13" s="20" t="s">
        <v>116</v>
      </c>
      <c r="M13" s="24" t="str">
        <f t="shared" si="2"/>
        <v>12</v>
      </c>
      <c r="Z13" s="20" t="s">
        <v>117</v>
      </c>
      <c r="AC13" s="42"/>
      <c r="AD13" s="42" t="str">
        <f>IFERROR(__xludf.DUMMYFUNCTION("""COMPUTED_VALUE"""),"50492- CORAZON DE JESUS OCONGATE")</f>
        <v>50492- CORAZON DE JESUS OCONGATE</v>
      </c>
      <c r="AE13" s="42" t="str">
        <f>IFERROR(__xludf.DUMMYFUNCTION("""COMPUTED_VALUE"""),"50492 CORAZON DE JESUS")</f>
        <v>50492 CORAZON DE JESUS</v>
      </c>
      <c r="AF13" s="24" t="str">
        <f>IFERROR(__xludf.DUMMYFUNCTION("""COMPUTED_VALUE"""),"44. Cusco")</f>
        <v>44. Cusco</v>
      </c>
    </row>
    <row r="14">
      <c r="A14" s="25"/>
      <c r="M14" s="24" t="str">
        <f>MID(L14,5,50)</f>
        <v/>
      </c>
      <c r="Z14" s="20" t="s">
        <v>118</v>
      </c>
      <c r="AC14" s="42"/>
      <c r="AD14" s="42" t="str">
        <f>IFERROR(__xludf.DUMMYFUNCTION("""COMPUTED_VALUE"""),"50495 CCAPANA")</f>
        <v>50495 CCAPANA</v>
      </c>
      <c r="AE14" s="42" t="str">
        <f>IFERROR(__xludf.DUMMYFUNCTION("""COMPUTED_VALUE"""),"50495")</f>
        <v>50495</v>
      </c>
      <c r="AF14" s="24" t="str">
        <f>IFERROR(__xludf.DUMMYFUNCTION("""COMPUTED_VALUE"""),"44. Cusco")</f>
        <v>44. Cusco</v>
      </c>
    </row>
    <row r="15">
      <c r="A15" s="25"/>
      <c r="Z15" s="20" t="s">
        <v>119</v>
      </c>
      <c r="AC15" s="42"/>
      <c r="AD15" s="42" t="str">
        <f>IFERROR(__xludf.DUMMYFUNCTION("""COMPUTED_VALUE"""),"50550 PAMPACANCHA")</f>
        <v>50550 PAMPACANCHA</v>
      </c>
      <c r="AE15" s="42" t="str">
        <f>IFERROR(__xludf.DUMMYFUNCTION("""COMPUTED_VALUE"""),"50550")</f>
        <v>50550</v>
      </c>
      <c r="AF15" s="24" t="str">
        <f>IFERROR(__xludf.DUMMYFUNCTION("""COMPUTED_VALUE"""),"44. Cusco")</f>
        <v>44. Cusco</v>
      </c>
    </row>
    <row r="16">
      <c r="A16" s="25"/>
      <c r="Z16" s="20" t="s">
        <v>120</v>
      </c>
      <c r="AC16" s="42"/>
      <c r="AD16" s="42" t="str">
        <f>IFERROR(__xludf.DUMMYFUNCTION("""COMPUTED_VALUE"""),"50552 ""TÚPAC AMARU II"" - HUACATINCO")</f>
        <v>50552 "TÚPAC AMARU II" - HUACATINCO</v>
      </c>
      <c r="AE16" s="42" t="str">
        <f>IFERROR(__xludf.DUMMYFUNCTION("""COMPUTED_VALUE"""),"50552 TUPAC AMARU II")</f>
        <v>50552 TUPAC AMARU II</v>
      </c>
      <c r="AF16" s="24" t="str">
        <f>IFERROR(__xludf.DUMMYFUNCTION("""COMPUTED_VALUE"""),"44. Cusco")</f>
        <v>44. Cusco</v>
      </c>
    </row>
    <row r="17">
      <c r="A17" s="25"/>
      <c r="Z17" s="20" t="s">
        <v>121</v>
      </c>
      <c r="AC17" s="42"/>
      <c r="AD17" s="42" t="str">
        <f>IFERROR(__xludf.DUMMYFUNCTION("""COMPUTED_VALUE"""),"50553 MARAMPAQUI")</f>
        <v>50553 MARAMPAQUI</v>
      </c>
      <c r="AE17" s="42" t="str">
        <f>IFERROR(__xludf.DUMMYFUNCTION("""COMPUTED_VALUE"""),"50553")</f>
        <v>50553</v>
      </c>
      <c r="AF17" s="24" t="str">
        <f>IFERROR(__xludf.DUMMYFUNCTION("""COMPUTED_VALUE"""),"44. Cusco")</f>
        <v>44. Cusco</v>
      </c>
    </row>
    <row r="18">
      <c r="A18" s="25"/>
      <c r="AC18" s="42"/>
      <c r="AD18" s="42" t="str">
        <f>IFERROR(__xludf.DUMMYFUNCTION("""COMPUTED_VALUE"""),"50558 PARCCOCALLA")</f>
        <v>50558 PARCCOCALLA</v>
      </c>
      <c r="AE18" s="42" t="str">
        <f>IFERROR(__xludf.DUMMYFUNCTION("""COMPUTED_VALUE"""),"50558")</f>
        <v>50558</v>
      </c>
      <c r="AF18" s="24" t="str">
        <f>IFERROR(__xludf.DUMMYFUNCTION("""COMPUTED_VALUE"""),"44. Cusco")</f>
        <v>44. Cusco</v>
      </c>
    </row>
    <row r="19">
      <c r="A19" s="25"/>
      <c r="AC19" s="42"/>
      <c r="AD19" s="42" t="str">
        <f>IFERROR(__xludf.DUMMYFUNCTION("""COMPUTED_VALUE"""),"50715 - Llachi")</f>
        <v>50715 - Llachi</v>
      </c>
      <c r="AE19" s="42" t="str">
        <f>IFERROR(__xludf.DUMMYFUNCTION("""COMPUTED_VALUE"""),"50715")</f>
        <v>50715</v>
      </c>
      <c r="AF19" s="24" t="str">
        <f>IFERROR(__xludf.DUMMYFUNCTION("""COMPUTED_VALUE"""),"44. Cusco")</f>
        <v>44. Cusco</v>
      </c>
    </row>
    <row r="20">
      <c r="A20" s="25"/>
      <c r="AC20" s="42"/>
      <c r="AD20" s="42" t="str">
        <f>IFERROR(__xludf.DUMMYFUNCTION("""COMPUTED_VALUE"""),"50719- VIRGEN DEL CARMEN TINKE")</f>
        <v>50719- VIRGEN DEL CARMEN TINKE</v>
      </c>
      <c r="AE20" s="42" t="str">
        <f>IFERROR(__xludf.DUMMYFUNCTION("""COMPUTED_VALUE"""),"50719 VIRGEN DEL CARMEN")</f>
        <v>50719 VIRGEN DEL CARMEN</v>
      </c>
      <c r="AF20" s="24" t="str">
        <f>IFERROR(__xludf.DUMMYFUNCTION("""COMPUTED_VALUE"""),"44. Cusco")</f>
        <v>44. Cusco</v>
      </c>
    </row>
    <row r="21">
      <c r="A21" s="25"/>
      <c r="AC21" s="42"/>
      <c r="AD21" s="42" t="str">
        <f>IFERROR(__xludf.DUMMYFUNCTION("""COMPUTED_VALUE"""),"50765 - SALLICANCHA")</f>
        <v>50765 - SALLICANCHA</v>
      </c>
      <c r="AE21" s="42" t="str">
        <f>IFERROR(__xludf.DUMMYFUNCTION("""COMPUTED_VALUE"""),"50765")</f>
        <v>50765</v>
      </c>
      <c r="AF21" s="24" t="str">
        <f>IFERROR(__xludf.DUMMYFUNCTION("""COMPUTED_VALUE"""),"44. Cusco")</f>
        <v>44. Cusco</v>
      </c>
    </row>
    <row r="22">
      <c r="A22" s="25"/>
      <c r="AC22" s="42"/>
      <c r="AD22" s="42" t="str">
        <f>IFERROR(__xludf.DUMMYFUNCTION("""COMPUTED_VALUE"""),"50696 YANACANCHA")</f>
        <v>50696 YANACANCHA</v>
      </c>
      <c r="AE22" s="42" t="str">
        <f>IFERROR(__xludf.DUMMYFUNCTION("""COMPUTED_VALUE"""),"50696 YANACANCHA")</f>
        <v>50696 YANACANCHA</v>
      </c>
      <c r="AF22" s="24" t="str">
        <f>IFERROR(__xludf.DUMMYFUNCTION("""COMPUTED_VALUE"""),"44. Cusco")</f>
        <v>44. Cusco</v>
      </c>
    </row>
    <row r="23">
      <c r="A23" s="25"/>
      <c r="AC23" s="42"/>
      <c r="AD23" s="42" t="str">
        <f>IFERROR(__xludf.DUMMYFUNCTION("""COMPUTED_VALUE"""),"50854 de PATAPALLAPA ALTA")</f>
        <v>50854 de PATAPALLAPA ALTA</v>
      </c>
      <c r="AE23" s="42" t="str">
        <f>IFERROR(__xludf.DUMMYFUNCTION("""COMPUTED_VALUE"""),"50854")</f>
        <v>50854</v>
      </c>
      <c r="AF23" s="24" t="str">
        <f>IFERROR(__xludf.DUMMYFUNCTION("""COMPUTED_VALUE"""),"44. Cusco")</f>
        <v>44. Cusco</v>
      </c>
    </row>
    <row r="24">
      <c r="A24" s="25"/>
      <c r="AC24" s="42"/>
      <c r="AD24" s="42" t="str">
        <f>IFERROR(__xludf.DUMMYFUNCTION("""COMPUTED_VALUE"""),"50977 Andamayo")</f>
        <v>50977 Andamayo</v>
      </c>
      <c r="AE24" s="42" t="str">
        <f>IFERROR(__xludf.DUMMYFUNCTION("""COMPUTED_VALUE"""),"50977")</f>
        <v>50977</v>
      </c>
      <c r="AF24" s="24" t="str">
        <f>IFERROR(__xludf.DUMMYFUNCTION("""COMPUTED_VALUE"""),"44. Cusco")</f>
        <v>44. Cusco</v>
      </c>
    </row>
    <row r="25">
      <c r="A25" s="25"/>
      <c r="AC25" s="42"/>
      <c r="AD25" s="42" t="str">
        <f>IFERROR(__xludf.DUMMYFUNCTION("""COMPUTED_VALUE"""),"501344 - CCASAPATA")</f>
        <v>501344 - CCASAPATA</v>
      </c>
      <c r="AE25" s="42" t="str">
        <f>IFERROR(__xludf.DUMMYFUNCTION("""COMPUTED_VALUE"""),"501344")</f>
        <v>501344</v>
      </c>
      <c r="AF25" s="24" t="str">
        <f>IFERROR(__xludf.DUMMYFUNCTION("""COMPUTED_VALUE"""),"44. Cusco")</f>
        <v>44. Cusco</v>
      </c>
    </row>
    <row r="26">
      <c r="A26" s="25"/>
      <c r="AC26" s="42"/>
      <c r="AD26" s="42" t="str">
        <f>IFERROR(__xludf.DUMMYFUNCTION("""COMPUTED_VALUE"""),"501344- CCASAPATA")</f>
        <v>501344- CCASAPATA</v>
      </c>
      <c r="AE26" s="42" t="str">
        <f>IFERROR(__xludf.DUMMYFUNCTION("""COMPUTED_VALUE"""),"501344")</f>
        <v>501344</v>
      </c>
      <c r="AF26" s="24" t="str">
        <f>IFERROR(__xludf.DUMMYFUNCTION("""COMPUTED_VALUE"""),"44. Cusco")</f>
        <v>44. Cusco</v>
      </c>
    </row>
    <row r="27">
      <c r="A27" s="25"/>
      <c r="AC27" s="42"/>
      <c r="AD27" s="42" t="str">
        <f>IFERROR(__xludf.DUMMYFUNCTION("""COMPUTED_VALUE"""),"501432 - Kumuncancha")</f>
        <v>501432 - Kumuncancha</v>
      </c>
      <c r="AE27" s="42" t="str">
        <f>IFERROR(__xludf.DUMMYFUNCTION("""COMPUTED_VALUE"""),"501432 PAPA FRANCISCO I")</f>
        <v>501432 PAPA FRANCISCO I</v>
      </c>
      <c r="AF27" s="24" t="str">
        <f>IFERROR(__xludf.DUMMYFUNCTION("""COMPUTED_VALUE"""),"44. Cusco")</f>
        <v>44. Cusco</v>
      </c>
    </row>
    <row r="28">
      <c r="A28" s="25"/>
      <c r="AC28" s="42"/>
      <c r="AD28" s="42" t="str">
        <f>IFERROR(__xludf.DUMMYFUNCTION("""COMPUTED_VALUE"""),"501455 - CRISTO REY TIKARIY")</f>
        <v>501455 - CRISTO REY TIKARIY</v>
      </c>
      <c r="AE28" s="42" t="str">
        <f>IFERROR(__xludf.DUMMYFUNCTION("""COMPUTED_VALUE"""),"501455 CRISTO REY TTIKARIY")</f>
        <v>501455 CRISTO REY TTIKARIY</v>
      </c>
      <c r="AF28" s="24" t="str">
        <f>IFERROR(__xludf.DUMMYFUNCTION("""COMPUTED_VALUE"""),"44. Cusco")</f>
        <v>44. Cusco</v>
      </c>
    </row>
    <row r="29">
      <c r="A29" s="25"/>
      <c r="AC29" s="42"/>
      <c r="AD29" s="42" t="str">
        <f>IFERROR(__xludf.DUMMYFUNCTION("""COMPUTED_VALUE"""),"Papa Francisco I")</f>
        <v>Papa Francisco I</v>
      </c>
      <c r="AE29" s="42" t="str">
        <f>IFERROR(__xludf.DUMMYFUNCTION("""COMPUTED_VALUE"""),"501432 PAPA FRANCISCO I")</f>
        <v>501432 PAPA FRANCISCO I</v>
      </c>
      <c r="AF29" s="24" t="str">
        <f>IFERROR(__xludf.DUMMYFUNCTION("""COMPUTED_VALUE"""),"44. Cusco")</f>
        <v>44. Cusco</v>
      </c>
    </row>
    <row r="30">
      <c r="A30" s="25"/>
      <c r="AC30" s="42"/>
      <c r="AD30" s="42" t="str">
        <f>IFERROR(__xludf.DUMMYFUNCTION("""COMPUTED_VALUE"""),"601448")</f>
        <v>601448</v>
      </c>
      <c r="AE30" s="42" t="str">
        <f>IFERROR(__xludf.DUMMYFUNCTION("""COMPUTED_VALUE"""),"601448")</f>
        <v>601448</v>
      </c>
      <c r="AF30" s="24" t="str">
        <f>IFERROR(__xludf.DUMMYFUNCTION("""COMPUTED_VALUE"""),"47. Loreto")</f>
        <v>47. Loreto</v>
      </c>
    </row>
    <row r="31">
      <c r="A31" s="25"/>
      <c r="AC31" s="42"/>
      <c r="AD31" s="42" t="str">
        <f>IFERROR(__xludf.DUMMYFUNCTION("""COMPUTED_VALUE"""),"601148")</f>
        <v>601148</v>
      </c>
      <c r="AE31" s="42" t="str">
        <f>IFERROR(__xludf.DUMMYFUNCTION("""COMPUTED_VALUE"""),"601448")</f>
        <v>601448</v>
      </c>
      <c r="AF31" s="24" t="str">
        <f>IFERROR(__xludf.DUMMYFUNCTION("""COMPUTED_VALUE"""),"47. Loreto")</f>
        <v>47. Loreto</v>
      </c>
    </row>
    <row r="32">
      <c r="A32" s="25"/>
      <c r="AC32" s="42"/>
      <c r="AD32" s="42" t="str">
        <f>IFERROR(__xludf.DUMMYFUNCTION("""COMPUTED_VALUE"""),"601614")</f>
        <v>601614</v>
      </c>
      <c r="AE32" s="42" t="str">
        <f>IFERROR(__xludf.DUMMYFUNCTION("""COMPUTED_VALUE"""),"601614")</f>
        <v>601614</v>
      </c>
      <c r="AF32" s="24" t="str">
        <f>IFERROR(__xludf.DUMMYFUNCTION("""COMPUTED_VALUE"""),"47. Loreto")</f>
        <v>47. Loreto</v>
      </c>
    </row>
    <row r="33">
      <c r="A33" s="25"/>
      <c r="AC33" s="42"/>
      <c r="AD33" s="42" t="str">
        <f>IFERROR(__xludf.DUMMYFUNCTION("""COMPUTED_VALUE"""),"EL MILAGRO")</f>
        <v>EL MILAGRO</v>
      </c>
      <c r="AE33" s="42" t="str">
        <f>IFERROR(__xludf.DUMMYFUNCTION("""COMPUTED_VALUE"""),"EL MILAGRO")</f>
        <v>EL MILAGRO</v>
      </c>
      <c r="AF33" s="24" t="str">
        <f>IFERROR(__xludf.DUMMYFUNCTION("""COMPUTED_VALUE"""),"47. Loreto")</f>
        <v>47. Loreto</v>
      </c>
    </row>
    <row r="34">
      <c r="A34" s="25"/>
      <c r="AC34" s="42"/>
      <c r="AD34" s="42" t="str">
        <f>IFERROR(__xludf.DUMMYFUNCTION("""COMPUTED_VALUE"""),"EL MILAGRO ")</f>
        <v>EL MILAGRO </v>
      </c>
      <c r="AE34" s="42" t="str">
        <f>IFERROR(__xludf.DUMMYFUNCTION("""COMPUTED_VALUE"""),"EL MILAGRO")</f>
        <v>EL MILAGRO</v>
      </c>
      <c r="AF34" s="24" t="str">
        <f>IFERROR(__xludf.DUMMYFUNCTION("""COMPUTED_VALUE"""),"47. Loreto")</f>
        <v>47. Loreto</v>
      </c>
    </row>
    <row r="35">
      <c r="A35" s="25"/>
      <c r="AC35" s="42"/>
      <c r="AD35" s="42" t="str">
        <f>IFERROR(__xludf.DUMMYFUNCTION("""COMPUTED_VALUE"""),"601514")</f>
        <v>601514</v>
      </c>
      <c r="AE35" s="42" t="str">
        <f>IFERROR(__xludf.DUMMYFUNCTION("""COMPUTED_VALUE"""),"601514")</f>
        <v>601514</v>
      </c>
      <c r="AF35" s="24" t="str">
        <f>IFERROR(__xludf.DUMMYFUNCTION("""COMPUTED_VALUE"""),"47. Loreto")</f>
        <v>47. Loreto</v>
      </c>
    </row>
    <row r="36">
      <c r="A36" s="25"/>
      <c r="AC36" s="42"/>
      <c r="AD36" s="42" t="str">
        <f>IFERROR(__xludf.DUMMYFUNCTION("""COMPUTED_VALUE"""),"601331")</f>
        <v>601331</v>
      </c>
      <c r="AE36" s="42" t="str">
        <f>IFERROR(__xludf.DUMMYFUNCTION("""COMPUTED_VALUE"""),"601331")</f>
        <v>601331</v>
      </c>
      <c r="AF36" s="24" t="str">
        <f>IFERROR(__xludf.DUMMYFUNCTION("""COMPUTED_VALUE"""),"47. Loreto")</f>
        <v>47. Loreto</v>
      </c>
    </row>
    <row r="37">
      <c r="A37" s="25"/>
      <c r="AC37" s="42"/>
      <c r="AD37" s="42" t="str">
        <f>IFERROR(__xludf.DUMMYFUNCTION("""COMPUTED_VALUE"""),"6010230")</f>
        <v>6010230</v>
      </c>
      <c r="AE37" s="42" t="str">
        <f>IFERROR(__xludf.DUMMYFUNCTION("""COMPUTED_VALUE"""),"6010230 BARBARA D'ACHILLE")</f>
        <v>6010230 BARBARA D'ACHILLE</v>
      </c>
      <c r="AF37" s="24" t="str">
        <f>IFERROR(__xludf.DUMMYFUNCTION("""COMPUTED_VALUE"""),"47. Loreto")</f>
        <v>47. Loreto</v>
      </c>
    </row>
    <row r="38">
      <c r="A38" s="25"/>
      <c r="AC38" s="42"/>
      <c r="AD38" s="42" t="str">
        <f>IFERROR(__xludf.DUMMYFUNCTION("""COMPUTED_VALUE"""),"60133")</f>
        <v>60133</v>
      </c>
      <c r="AE38" s="42" t="str">
        <f>IFERROR(__xludf.DUMMYFUNCTION("""COMPUTED_VALUE"""),"60133")</f>
        <v>60133</v>
      </c>
      <c r="AF38" s="24" t="str">
        <f>IFERROR(__xludf.DUMMYFUNCTION("""COMPUTED_VALUE"""),"47. Loreto")</f>
        <v>47. Loreto</v>
      </c>
    </row>
    <row r="39">
      <c r="A39" s="25"/>
      <c r="AC39" s="42"/>
      <c r="AD39" s="42" t="str">
        <f>IFERROR(__xludf.DUMMYFUNCTION("""COMPUTED_VALUE"""),"60136 MORALILLO")</f>
        <v>60136 MORALILLO</v>
      </c>
      <c r="AE39" s="42" t="str">
        <f>IFERROR(__xludf.DUMMYFUNCTION("""COMPUTED_VALUE"""),"60136")</f>
        <v>60136</v>
      </c>
      <c r="AF39" s="24" t="str">
        <f>IFERROR(__xludf.DUMMYFUNCTION("""COMPUTED_VALUE"""),"47. Loreto")</f>
        <v>47. Loreto</v>
      </c>
    </row>
    <row r="40">
      <c r="A40" s="25"/>
      <c r="AC40" s="42"/>
      <c r="AD40" s="42" t="str">
        <f>IFERROR(__xludf.DUMMYFUNCTION("""COMPUTED_VALUE"""),"6010102 VILLA BUEN PASTOR")</f>
        <v>6010102 VILLA BUEN PASTOR</v>
      </c>
      <c r="AE40" s="42" t="str">
        <f>IFERROR(__xludf.DUMMYFUNCTION("""COMPUTED_VALUE"""),"6010102")</f>
        <v>6010102</v>
      </c>
      <c r="AF40" s="24" t="str">
        <f>IFERROR(__xludf.DUMMYFUNCTION("""COMPUTED_VALUE"""),"47. Loreto")</f>
        <v>47. Loreto</v>
      </c>
    </row>
    <row r="41">
      <c r="A41" s="25"/>
      <c r="AC41" s="42"/>
      <c r="AD41" s="42" t="str">
        <f>IFERROR(__xludf.DUMMYFUNCTION("""COMPUTED_VALUE"""),"601448 NUEVO MILAGRO")</f>
        <v>601448 NUEVO MILAGRO</v>
      </c>
      <c r="AE41" s="42" t="str">
        <f>IFERROR(__xludf.DUMMYFUNCTION("""COMPUTED_VALUE"""),"601448")</f>
        <v>601448</v>
      </c>
      <c r="AF41" s="24" t="str">
        <f>IFERROR(__xludf.DUMMYFUNCTION("""COMPUTED_VALUE"""),"47. Loreto")</f>
        <v>47. Loreto</v>
      </c>
    </row>
    <row r="42">
      <c r="A42" s="25"/>
      <c r="AC42" s="42"/>
      <c r="AD42" s="42" t="str">
        <f>IFERROR(__xludf.DUMMYFUNCTION("""COMPUTED_VALUE"""),"601614 NUEVA ESPERANZA")</f>
        <v>601614 NUEVA ESPERANZA</v>
      </c>
      <c r="AE42" s="42" t="str">
        <f>IFERROR(__xludf.DUMMYFUNCTION("""COMPUTED_VALUE"""),"601614")</f>
        <v>601614</v>
      </c>
      <c r="AF42" s="24" t="str">
        <f>IFERROR(__xludf.DUMMYFUNCTION("""COMPUTED_VALUE"""),"47. Loreto")</f>
        <v>47. Loreto</v>
      </c>
    </row>
    <row r="43">
      <c r="A43" s="25"/>
      <c r="AC43" s="42"/>
      <c r="AD43" s="42" t="str">
        <f>IFERROR(__xludf.DUMMYFUNCTION("""COMPUTED_VALUE"""),"6010178 BELEN DE JUDA")</f>
        <v>6010178 BELEN DE JUDA</v>
      </c>
      <c r="AE43" s="42" t="str">
        <f>IFERROR(__xludf.DUMMYFUNCTION("""COMPUTED_VALUE"""),"6010178")</f>
        <v>6010178</v>
      </c>
      <c r="AF43" s="24" t="str">
        <f>IFERROR(__xludf.DUMMYFUNCTION("""COMPUTED_VALUE"""),"47. Loreto")</f>
        <v>47. Loreto</v>
      </c>
    </row>
    <row r="44">
      <c r="A44" s="25"/>
      <c r="AC44" s="42"/>
      <c r="AD44" s="42" t="str">
        <f>IFERROR(__xludf.DUMMYFUNCTION("""COMPUTED_VALUE"""),"601514 DORADO")</f>
        <v>601514 DORADO</v>
      </c>
      <c r="AE44" s="42" t="str">
        <f>IFERROR(__xludf.DUMMYFUNCTION("""COMPUTED_VALUE"""),"601514")</f>
        <v>601514</v>
      </c>
      <c r="AF44" s="24" t="str">
        <f>IFERROR(__xludf.DUMMYFUNCTION("""COMPUTED_VALUE"""),"47. Loreto")</f>
        <v>47. Loreto</v>
      </c>
    </row>
    <row r="45">
      <c r="A45" s="25"/>
      <c r="AC45" s="42"/>
      <c r="AD45" s="42" t="str">
        <f>IFERROR(__xludf.DUMMYFUNCTION("""COMPUTED_VALUE"""),"601514  DORADO")</f>
        <v>601514  DORADO</v>
      </c>
      <c r="AE45" s="42" t="str">
        <f>IFERROR(__xludf.DUMMYFUNCTION("""COMPUTED_VALUE"""),"601514")</f>
        <v>601514</v>
      </c>
      <c r="AF45" s="24" t="str">
        <f>IFERROR(__xludf.DUMMYFUNCTION("""COMPUTED_VALUE"""),"47. Loreto")</f>
        <v>47. Loreto</v>
      </c>
    </row>
    <row r="46">
      <c r="A46" s="25"/>
      <c r="AC46" s="42"/>
      <c r="AD46" s="42" t="str">
        <f>IFERROR(__xludf.DUMMYFUNCTION("""COMPUTED_VALUE"""),"601331 TRECE DE FEBRERO")</f>
        <v>601331 TRECE DE FEBRERO</v>
      </c>
      <c r="AE46" s="42" t="str">
        <f>IFERROR(__xludf.DUMMYFUNCTION("""COMPUTED_VALUE"""),"601331")</f>
        <v>601331</v>
      </c>
      <c r="AF46" s="24" t="str">
        <f>IFERROR(__xludf.DUMMYFUNCTION("""COMPUTED_VALUE"""),"47. Loreto")</f>
        <v>47. Loreto</v>
      </c>
    </row>
    <row r="47">
      <c r="A47" s="25"/>
      <c r="AC47" s="42"/>
      <c r="AD47" s="42" t="str">
        <f>IFERROR(__xludf.DUMMYFUNCTION("""COMPUTED_VALUE"""),"601391 PAUJIL II ZONA")</f>
        <v>601391 PAUJIL II ZONA</v>
      </c>
      <c r="AE47" s="42" t="str">
        <f>IFERROR(__xludf.DUMMYFUNCTION("""COMPUTED_VALUE"""),"601391")</f>
        <v>601391</v>
      </c>
      <c r="AF47" s="24" t="str">
        <f>IFERROR(__xludf.DUMMYFUNCTION("""COMPUTED_VALUE"""),"47. Loreto")</f>
        <v>47. Loreto</v>
      </c>
    </row>
    <row r="48">
      <c r="A48" s="25"/>
      <c r="AC48" s="42"/>
      <c r="AD48" s="42" t="str">
        <f>IFERROR(__xludf.DUMMYFUNCTION("""COMPUTED_VALUE"""),"601570 ANGEL CARDENAS I")</f>
        <v>601570 ANGEL CARDENAS I</v>
      </c>
      <c r="AE48" s="42" t="str">
        <f>IFERROR(__xludf.DUMMYFUNCTION("""COMPUTED_VALUE"""),"601570")</f>
        <v>601570</v>
      </c>
      <c r="AF48" s="24" t="str">
        <f>IFERROR(__xludf.DUMMYFUNCTION("""COMPUTED_VALUE"""),"47. Loreto")</f>
        <v>47. Loreto</v>
      </c>
    </row>
    <row r="49">
      <c r="A49" s="25"/>
      <c r="AC49" s="42"/>
      <c r="AD49" s="42" t="str">
        <f>IFERROR(__xludf.DUMMYFUNCTION("""COMPUTED_VALUE"""),"601678 ANGEL CARDENAS II")</f>
        <v>601678 ANGEL CARDENAS II</v>
      </c>
      <c r="AE49" s="42" t="str">
        <f>IFERROR(__xludf.DUMMYFUNCTION("""COMPUTED_VALUE"""),"601678")</f>
        <v>601678</v>
      </c>
      <c r="AF49" s="24" t="str">
        <f>IFERROR(__xludf.DUMMYFUNCTION("""COMPUTED_VALUE"""),"47. Loreto")</f>
        <v>47. Loreto</v>
      </c>
    </row>
    <row r="50">
      <c r="A50" s="25"/>
      <c r="AC50" s="42"/>
      <c r="AD50" s="42" t="str">
        <f>IFERROR(__xludf.DUMMYFUNCTION("""COMPUTED_VALUE"""),"6010230 NUEVO HORIZONTE")</f>
        <v>6010230 NUEVO HORIZONTE</v>
      </c>
      <c r="AE50" s="42" t="str">
        <f>IFERROR(__xludf.DUMMYFUNCTION("""COMPUTED_VALUE"""),"6010230 BARBARA D'ACHILLE")</f>
        <v>6010230 BARBARA D'ACHILLE</v>
      </c>
      <c r="AF50" s="24" t="str">
        <f>IFERROR(__xludf.DUMMYFUNCTION("""COMPUTED_VALUE"""),"47. Loreto")</f>
        <v>47. Loreto</v>
      </c>
    </row>
    <row r="51">
      <c r="A51" s="25"/>
      <c r="AC51" s="42"/>
      <c r="AD51" s="42" t="str">
        <f>IFERROR(__xludf.DUMMYFUNCTION("""COMPUTED_VALUE"""),"60181 SAN PEDRO DE PINTUYACU")</f>
        <v>60181 SAN PEDRO DE PINTUYACU</v>
      </c>
      <c r="AE51" s="42" t="str">
        <f>IFERROR(__xludf.DUMMYFUNCTION("""COMPUTED_VALUE"""),"60181")</f>
        <v>60181</v>
      </c>
      <c r="AF51" s="24" t="str">
        <f>IFERROR(__xludf.DUMMYFUNCTION("""COMPUTED_VALUE"""),"47. Loreto")</f>
        <v>47. Loreto</v>
      </c>
    </row>
    <row r="52">
      <c r="A52" s="25"/>
      <c r="AC52" s="42"/>
      <c r="AD52" s="42" t="str">
        <f>IFERROR(__xludf.DUMMYFUNCTION("""COMPUTED_VALUE"""),"6010231 EX PETROLEROS I")</f>
        <v>6010231 EX PETROLEROS I</v>
      </c>
      <c r="AE52" s="42" t="str">
        <f>IFERROR(__xludf.DUMMYFUNCTION("""COMPUTED_VALUE"""),"6010231")</f>
        <v>6010231</v>
      </c>
      <c r="AF52" s="24" t="str">
        <f>IFERROR(__xludf.DUMMYFUNCTION("""COMPUTED_VALUE"""),"47. Loreto")</f>
        <v>47. Loreto</v>
      </c>
    </row>
    <row r="53">
      <c r="A53" s="25"/>
      <c r="AC53" s="42"/>
      <c r="AD53" s="42" t="str">
        <f>IFERROR(__xludf.DUMMYFUNCTION("""COMPUTED_VALUE"""),"601511 10 DE OCTUBRE I")</f>
        <v>601511 10 DE OCTUBRE I</v>
      </c>
      <c r="AE53" s="42" t="str">
        <f>IFERROR(__xludf.DUMMYFUNCTION("""COMPUTED_VALUE"""),"601511")</f>
        <v>601511</v>
      </c>
      <c r="AF53" s="24" t="str">
        <f>IFERROR(__xludf.DUMMYFUNCTION("""COMPUTED_VALUE"""),"47. Loreto")</f>
        <v>47. Loreto</v>
      </c>
    </row>
    <row r="54">
      <c r="A54" s="25"/>
      <c r="AC54" s="42"/>
      <c r="AD54" s="42" t="str">
        <f>IFERROR(__xludf.DUMMYFUNCTION("""COMPUTED_VALUE"""),"601580 10 DE OCTUBRE II")</f>
        <v>601580 10 DE OCTUBRE II</v>
      </c>
      <c r="AE54" s="42" t="str">
        <f>IFERROR(__xludf.DUMMYFUNCTION("""COMPUTED_VALUE"""),"601580")</f>
        <v>601580</v>
      </c>
      <c r="AF54" s="24" t="str">
        <f>IFERROR(__xludf.DUMMYFUNCTION("""COMPUTED_VALUE"""),"47. Loreto")</f>
        <v>47. Loreto</v>
      </c>
    </row>
    <row r="55">
      <c r="A55" s="25"/>
      <c r="AC55" s="42"/>
      <c r="AD55" s="42" t="str">
        <f>IFERROR(__xludf.DUMMYFUNCTION("""COMPUTED_VALUE"""),"601444 TRIUNFO")</f>
        <v>601444 TRIUNFO</v>
      </c>
      <c r="AE55" s="42" t="str">
        <f>IFERROR(__xludf.DUMMYFUNCTION("""COMPUTED_VALUE"""),"601444")</f>
        <v>601444</v>
      </c>
      <c r="AF55" s="24" t="str">
        <f>IFERROR(__xludf.DUMMYFUNCTION("""COMPUTED_VALUE"""),"47. Loreto")</f>
        <v>47. Loreto</v>
      </c>
    </row>
    <row r="56">
      <c r="A56" s="25"/>
      <c r="AC56" s="42"/>
      <c r="AD56" s="42" t="str">
        <f>IFERROR(__xludf.DUMMYFUNCTION("""COMPUTED_VALUE"""),"601571 HUAMBE")</f>
        <v>601571 HUAMBE</v>
      </c>
      <c r="AE56" s="42" t="str">
        <f>IFERROR(__xludf.DUMMYFUNCTION("""COMPUTED_VALUE"""),"601571")</f>
        <v>601571</v>
      </c>
      <c r="AF56" s="24" t="str">
        <f>IFERROR(__xludf.DUMMYFUNCTION("""COMPUTED_VALUE"""),"47. Loreto")</f>
        <v>47. Loreto</v>
      </c>
    </row>
    <row r="57">
      <c r="A57" s="25"/>
      <c r="AC57" s="42"/>
      <c r="AD57" s="42" t="str">
        <f>IFERROR(__xludf.DUMMYFUNCTION("""COMPUTED_VALUE"""),"601563 LA HABANA")</f>
        <v>601563 LA HABANA</v>
      </c>
      <c r="AE57" s="42" t="str">
        <f>IFERROR(__xludf.DUMMYFUNCTION("""COMPUTED_VALUE"""),"601563")</f>
        <v>601563</v>
      </c>
      <c r="AF57" s="24" t="str">
        <f>IFERROR(__xludf.DUMMYFUNCTION("""COMPUTED_VALUE"""),"47. Loreto")</f>
        <v>47. Loreto</v>
      </c>
    </row>
    <row r="58">
      <c r="A58" s="25"/>
      <c r="AC58" s="42"/>
      <c r="AD58" s="42" t="str">
        <f>IFERROR(__xludf.DUMMYFUNCTION("""COMPUTED_VALUE"""),"60133 CAHUIDE")</f>
        <v>60133 CAHUIDE</v>
      </c>
      <c r="AE58" s="42" t="str">
        <f>IFERROR(__xludf.DUMMYFUNCTION("""COMPUTED_VALUE"""),"60133")</f>
        <v>60133</v>
      </c>
      <c r="AF58" s="24" t="str">
        <f>IFERROR(__xludf.DUMMYFUNCTION("""COMPUTED_VALUE"""),"47. Loreto")</f>
        <v>47. Loreto</v>
      </c>
    </row>
    <row r="59">
      <c r="A59" s="25"/>
      <c r="AC59" s="42"/>
      <c r="AD59" s="42" t="str">
        <f>IFERROR(__xludf.DUMMYFUNCTION("""COMPUTED_VALUE"""),"6013")</f>
        <v>6013</v>
      </c>
      <c r="AE59" s="42" t="str">
        <f>IFERROR(__xludf.DUMMYFUNCTION("""COMPUTED_VALUE"""),"60133")</f>
        <v>60133</v>
      </c>
      <c r="AF59" s="24" t="str">
        <f>IFERROR(__xludf.DUMMYFUNCTION("""COMPUTED_VALUE"""),"47. Loreto")</f>
        <v>47. Loreto</v>
      </c>
    </row>
    <row r="60">
      <c r="A60" s="25"/>
      <c r="AC60" s="42"/>
      <c r="AD60" s="42" t="str">
        <f>IFERROR(__xludf.DUMMYFUNCTION("""COMPUTED_VALUE"""),"14975 El Carbon")</f>
        <v>14975 El Carbon</v>
      </c>
      <c r="AE60" s="42" t="str">
        <f>IFERROR(__xludf.DUMMYFUNCTION("""COMPUTED_VALUE"""),"14975")</f>
        <v>14975</v>
      </c>
      <c r="AF60" s="24" t="str">
        <f>IFERROR(__xludf.DUMMYFUNCTION("""COMPUTED_VALUE"""),"48. Piura")</f>
        <v>48. Piura</v>
      </c>
    </row>
    <row r="61">
      <c r="A61" s="25"/>
      <c r="AC61" s="42"/>
      <c r="AD61" s="42" t="str">
        <f>IFERROR(__xludf.DUMMYFUNCTION("""COMPUTED_VALUE"""),"15219 Tinajones")</f>
        <v>15219 Tinajones</v>
      </c>
      <c r="AE61" s="42" t="str">
        <f>IFERROR(__xludf.DUMMYFUNCTION("""COMPUTED_VALUE"""),"15219")</f>
        <v>15219</v>
      </c>
      <c r="AF61" s="24" t="str">
        <f>IFERROR(__xludf.DUMMYFUNCTION("""COMPUTED_VALUE"""),"48. Piura")</f>
        <v>48. Piura</v>
      </c>
    </row>
    <row r="62">
      <c r="A62" s="25"/>
      <c r="AC62" s="42"/>
      <c r="AD62" s="42" t="str">
        <f>IFERROR(__xludf.DUMMYFUNCTION("""COMPUTED_VALUE"""),"15478 Cerro de Leones")</f>
        <v>15478 Cerro de Leones</v>
      </c>
      <c r="AE62" s="42" t="str">
        <f>IFERROR(__xludf.DUMMYFUNCTION("""COMPUTED_VALUE"""),"15478")</f>
        <v>15478</v>
      </c>
      <c r="AF62" s="24" t="str">
        <f>IFERROR(__xludf.DUMMYFUNCTION("""COMPUTED_VALUE"""),"48. Piura")</f>
        <v>48. Piura</v>
      </c>
    </row>
    <row r="63">
      <c r="A63" s="25"/>
      <c r="AC63" s="42"/>
      <c r="AD63" s="42" t="str">
        <f>IFERROR(__xludf.DUMMYFUNCTION("""COMPUTED_VALUE"""),"15383 Totoral Bajo")</f>
        <v>15383 Totoral Bajo</v>
      </c>
      <c r="AE63" s="42" t="str">
        <f>IFERROR(__xludf.DUMMYFUNCTION("""COMPUTED_VALUE"""),"15383")</f>
        <v>15383</v>
      </c>
      <c r="AF63" s="24" t="str">
        <f>IFERROR(__xludf.DUMMYFUNCTION("""COMPUTED_VALUE"""),"48. Piura")</f>
        <v>48. Piura</v>
      </c>
    </row>
    <row r="64">
      <c r="A64" s="25"/>
      <c r="AC64" s="42"/>
      <c r="AD64" s="42" t="str">
        <f>IFERROR(__xludf.DUMMYFUNCTION("""COMPUTED_VALUE"""),"14045 Miraflores Bajo")</f>
        <v>14045 Miraflores Bajo</v>
      </c>
      <c r="AE64" s="42" t="str">
        <f>IFERROR(__xludf.DUMMYFUNCTION("""COMPUTED_VALUE"""),"14045")</f>
        <v>14045</v>
      </c>
      <c r="AF64" s="24" t="str">
        <f>IFERROR(__xludf.DUMMYFUNCTION("""COMPUTED_VALUE"""),"48. Piura")</f>
        <v>48. Piura</v>
      </c>
    </row>
    <row r="65">
      <c r="A65" s="25"/>
      <c r="AC65" s="42"/>
      <c r="AD65" s="42" t="str">
        <f>IFERROR(__xludf.DUMMYFUNCTION("""COMPUTED_VALUE"""),"20104 CP-8")</f>
        <v>20104 CP-8</v>
      </c>
      <c r="AE65" s="42" t="str">
        <f>IFERROR(__xludf.DUMMYFUNCTION("""COMPUTED_VALUE"""),"20104")</f>
        <v>20104</v>
      </c>
      <c r="AF65" s="24" t="str">
        <f>IFERROR(__xludf.DUMMYFUNCTION("""COMPUTED_VALUE"""),"48. Piura")</f>
        <v>48. Piura</v>
      </c>
    </row>
    <row r="66">
      <c r="A66" s="25"/>
      <c r="AC66" s="42"/>
      <c r="AD66" s="42" t="str">
        <f>IFERROR(__xludf.DUMMYFUNCTION("""COMPUTED_VALUE"""),"15304 Guaraguaos.B")</f>
        <v>15304 Guaraguaos.B</v>
      </c>
      <c r="AE66" s="42" t="str">
        <f>IFERROR(__xludf.DUMMYFUNCTION("""COMPUTED_VALUE"""),"15304")</f>
        <v>15304</v>
      </c>
      <c r="AF66" s="24" t="str">
        <f>IFERROR(__xludf.DUMMYFUNCTION("""COMPUTED_VALUE"""),"48. Piura")</f>
        <v>48. Piura</v>
      </c>
    </row>
    <row r="67">
      <c r="A67" s="25"/>
      <c r="AC67" s="42"/>
      <c r="AD67" s="42" t="str">
        <f>IFERROR(__xludf.DUMMYFUNCTION("""COMPUTED_VALUE"""),"20123 Cruce de Vega")</f>
        <v>20123 Cruce de Vega</v>
      </c>
      <c r="AE67" s="42" t="str">
        <f>IFERROR(__xludf.DUMMYFUNCTION("""COMPUTED_VALUE"""),"20123")</f>
        <v>20123</v>
      </c>
      <c r="AF67" s="24" t="str">
        <f>IFERROR(__xludf.DUMMYFUNCTION("""COMPUTED_VALUE"""),"48. Piura")</f>
        <v>48. Piura</v>
      </c>
    </row>
    <row r="68">
      <c r="A68" s="25"/>
      <c r="AC68" s="42"/>
      <c r="AD68" s="42" t="str">
        <f>IFERROR(__xludf.DUMMYFUNCTION("""COMPUTED_VALUE"""),"14141 Pueblo Nuevo")</f>
        <v>14141 Pueblo Nuevo</v>
      </c>
      <c r="AE68" s="42" t="str">
        <f>IFERROR(__xludf.DUMMYFUNCTION("""COMPUTED_VALUE"""),"14141")</f>
        <v>14141</v>
      </c>
      <c r="AF68" s="24" t="str">
        <f>IFERROR(__xludf.DUMMYFUNCTION("""COMPUTED_VALUE"""),"48. Piura")</f>
        <v>48. Piura</v>
      </c>
    </row>
    <row r="69">
      <c r="A69" s="25"/>
      <c r="AC69" s="42"/>
      <c r="AD69" s="42" t="str">
        <f>IFERROR(__xludf.DUMMYFUNCTION("""COMPUTED_VALUE"""),"15220 Miraflores Alto")</f>
        <v>15220 Miraflores Alto</v>
      </c>
      <c r="AE69" s="42" t="str">
        <f>IFERROR(__xludf.DUMMYFUNCTION("""COMPUTED_VALUE"""),"15220")</f>
        <v>15220</v>
      </c>
      <c r="AF69" s="24" t="str">
        <f>IFERROR(__xludf.DUMMYFUNCTION("""COMPUTED_VALUE"""),"48. Piura")</f>
        <v>48. Piura</v>
      </c>
    </row>
    <row r="70">
      <c r="A70" s="25"/>
      <c r="AC70" s="42"/>
      <c r="AD70" s="42" t="str">
        <f>IFERROR(__xludf.DUMMYFUNCTION("""COMPUTED_VALUE"""),"14145 SJB")</f>
        <v>14145 SJB</v>
      </c>
      <c r="AE70" s="42" t="str">
        <f>IFERROR(__xludf.DUMMYFUNCTION("""COMPUTED_VALUE"""),"14145 SANTA JULIA BILLIART")</f>
        <v>14145 SANTA JULIA BILLIART</v>
      </c>
      <c r="AF70" s="24" t="str">
        <f>IFERROR(__xludf.DUMMYFUNCTION("""COMPUTED_VALUE"""),"48. Piura")</f>
        <v>48. Piura</v>
      </c>
    </row>
    <row r="71">
      <c r="A71" s="25"/>
      <c r="AC71" s="42"/>
      <c r="AD71" s="42" t="str">
        <f>IFERROR(__xludf.DUMMYFUNCTION("""COMPUTED_VALUE"""),"SCJ PUEBLO LIBRE")</f>
        <v>SCJ PUEBLO LIBRE</v>
      </c>
      <c r="AE71" s="42" t="str">
        <f>IFERROR(__xludf.DUMMYFUNCTION("""COMPUTED_VALUE"""),"SAGRADO CORAZON DE JESUS")</f>
        <v>SAGRADO CORAZON DE JESUS</v>
      </c>
      <c r="AF71" s="24" t="str">
        <f>IFERROR(__xludf.DUMMYFUNCTION("""COMPUTED_VALUE"""),"48. Piura")</f>
        <v>48. Piura</v>
      </c>
    </row>
    <row r="72">
      <c r="A72" s="25"/>
      <c r="AC72" s="42"/>
      <c r="AD72" s="42" t="str">
        <f>IFERROR(__xludf.DUMMYFUNCTION("""COMPUTED_VALUE"""),"14924 DAC")</f>
        <v>14924 DAC</v>
      </c>
      <c r="AE72" s="42" t="str">
        <f>IFERROR(__xludf.DUMMYFUNCTION("""COMPUTED_VALUE"""),"14924 DANIEL ALCIDES CARRION")</f>
        <v>14924 DANIEL ALCIDES CARRION</v>
      </c>
      <c r="AF72" s="24" t="str">
        <f>IFERROR(__xludf.DUMMYFUNCTION("""COMPUTED_VALUE"""),"48. Piura")</f>
        <v>48. Piura</v>
      </c>
    </row>
    <row r="73">
      <c r="A73" s="25"/>
      <c r="AC73" s="42"/>
      <c r="AD73" s="42" t="str">
        <f>IFERROR(__xludf.DUMMYFUNCTION("""COMPUTED_VALUE"""),"SantaRosa-Palominos")</f>
        <v>SantaRosa-Palominos</v>
      </c>
      <c r="AE73" s="42" t="str">
        <f>IFERROR(__xludf.DUMMYFUNCTION("""COMPUTED_VALUE"""),"14144 SANTA ROSA")</f>
        <v>14144 SANTA ROSA</v>
      </c>
      <c r="AF73" s="24" t="str">
        <f>IFERROR(__xludf.DUMMYFUNCTION("""COMPUTED_VALUE"""),"48. Piura")</f>
        <v>48. Piura</v>
      </c>
    </row>
    <row r="74">
      <c r="A74" s="25"/>
      <c r="AC74" s="42"/>
      <c r="AD74" s="42" t="str">
        <f>IFERROR(__xludf.DUMMYFUNCTION("""COMPUTED_VALUE"""),"14924 DANIEL ALCIDES CARRION")</f>
        <v>14924 DANIEL ALCIDES CARRION</v>
      </c>
      <c r="AE74" s="42" t="str">
        <f>IFERROR(__xludf.DUMMYFUNCTION("""COMPUTED_VALUE"""),"14924 DANIEL ALCIDES CARRION")</f>
        <v>14924 DANIEL ALCIDES CARRION</v>
      </c>
      <c r="AF74" s="24" t="str">
        <f>IFERROR(__xludf.DUMMYFUNCTION("""COMPUTED_VALUE"""),"48. Piura")</f>
        <v>48. Piura</v>
      </c>
    </row>
    <row r="75">
      <c r="A75" s="25"/>
      <c r="AC75" s="42"/>
      <c r="AD75" s="42" t="str">
        <f>IFERROR(__xludf.DUMMYFUNCTION("""COMPUTED_VALUE"""),"20104")</f>
        <v>20104</v>
      </c>
      <c r="AE75" s="42" t="str">
        <f>IFERROR(__xludf.DUMMYFUNCTION("""COMPUTED_VALUE"""),"20104")</f>
        <v>20104</v>
      </c>
      <c r="AF75" s="24" t="str">
        <f>IFERROR(__xludf.DUMMYFUNCTION("""COMPUTED_VALUE"""),"48. Piura")</f>
        <v>48. Piura</v>
      </c>
    </row>
    <row r="76">
      <c r="A76" s="25"/>
      <c r="AC76" s="42"/>
      <c r="AD76" s="42" t="str">
        <f>IFERROR(__xludf.DUMMYFUNCTION("""COMPUTED_VALUE"""),"14975")</f>
        <v>14975</v>
      </c>
      <c r="AE76" s="42" t="str">
        <f>IFERROR(__xludf.DUMMYFUNCTION("""COMPUTED_VALUE"""),"14975")</f>
        <v>14975</v>
      </c>
      <c r="AF76" s="24" t="str">
        <f>IFERROR(__xludf.DUMMYFUNCTION("""COMPUTED_VALUE"""),"48. Piura")</f>
        <v>48. Piura</v>
      </c>
    </row>
    <row r="77">
      <c r="A77" s="25"/>
      <c r="AC77" s="42"/>
      <c r="AD77" s="42" t="str">
        <f>IFERROR(__xludf.DUMMYFUNCTION("""COMPUTED_VALUE"""),"15304")</f>
        <v>15304</v>
      </c>
      <c r="AE77" s="42" t="str">
        <f>IFERROR(__xludf.DUMMYFUNCTION("""COMPUTED_VALUE"""),"15304")</f>
        <v>15304</v>
      </c>
      <c r="AF77" s="24" t="str">
        <f>IFERROR(__xludf.DUMMYFUNCTION("""COMPUTED_VALUE"""),"48. Piura")</f>
        <v>48. Piura</v>
      </c>
    </row>
    <row r="78">
      <c r="A78" s="25"/>
      <c r="AC78" s="42"/>
      <c r="AD78" s="42" t="str">
        <f>IFERROR(__xludf.DUMMYFUNCTION("""COMPUTED_VALUE"""),"SAGRADO CORAZON DE JESUS")</f>
        <v>SAGRADO CORAZON DE JESUS</v>
      </c>
      <c r="AE78" s="42" t="str">
        <f>IFERROR(__xludf.DUMMYFUNCTION("""COMPUTED_VALUE"""),"SAGRADO CORAZON DE JESUS")</f>
        <v>SAGRADO CORAZON DE JESUS</v>
      </c>
      <c r="AF78" s="24" t="str">
        <f>IFERROR(__xludf.DUMMYFUNCTION("""COMPUTED_VALUE"""),"48. Piura")</f>
        <v>48. Piura</v>
      </c>
    </row>
    <row r="79">
      <c r="A79" s="25"/>
      <c r="AC79" s="42"/>
      <c r="AD79" s="42" t="str">
        <f>IFERROR(__xludf.DUMMYFUNCTION("""COMPUTED_VALUE"""),"14144 SANTA ROSA")</f>
        <v>14144 SANTA ROSA</v>
      </c>
      <c r="AE79" s="42" t="str">
        <f>IFERROR(__xludf.DUMMYFUNCTION("""COMPUTED_VALUE"""),"14144 SANTA ROSA")</f>
        <v>14144 SANTA ROSA</v>
      </c>
      <c r="AF79" s="24" t="str">
        <f>IFERROR(__xludf.DUMMYFUNCTION("""COMPUTED_VALUE"""),"48. Piura")</f>
        <v>48. Piura</v>
      </c>
    </row>
    <row r="80">
      <c r="A80" s="25"/>
      <c r="AC80" s="42"/>
      <c r="AD80" s="42" t="str">
        <f>IFERROR(__xludf.DUMMYFUNCTION("""COMPUTED_VALUE"""),"14894")</f>
        <v>14894</v>
      </c>
      <c r="AE80" s="42" t="str">
        <f>IFERROR(__xludf.DUMMYFUNCTION("""COMPUTED_VALUE"""),"14894")</f>
        <v>14894</v>
      </c>
      <c r="AF80" s="24" t="str">
        <f>IFERROR(__xludf.DUMMYFUNCTION("""COMPUTED_VALUE"""),"48. Piura")</f>
        <v>48. Piura</v>
      </c>
    </row>
    <row r="81">
      <c r="A81" s="25"/>
      <c r="AC81" s="42"/>
      <c r="AD81" s="42" t="str">
        <f>IFERROR(__xludf.DUMMYFUNCTION("""COMPUTED_VALUE"""),"15383")</f>
        <v>15383</v>
      </c>
      <c r="AE81" s="42" t="str">
        <f>IFERROR(__xludf.DUMMYFUNCTION("""COMPUTED_VALUE"""),"15383")</f>
        <v>15383</v>
      </c>
      <c r="AF81" s="24" t="str">
        <f>IFERROR(__xludf.DUMMYFUNCTION("""COMPUTED_VALUE"""),"48. Piura")</f>
        <v>48. Piura</v>
      </c>
    </row>
    <row r="82">
      <c r="A82" s="25"/>
      <c r="AC82" s="42"/>
      <c r="AD82" s="42" t="str">
        <f>IFERROR(__xludf.DUMMYFUNCTION("""COMPUTED_VALUE"""),"14141")</f>
        <v>14141</v>
      </c>
      <c r="AE82" s="42" t="str">
        <f>IFERROR(__xludf.DUMMYFUNCTION("""COMPUTED_VALUE"""),"14141")</f>
        <v>14141</v>
      </c>
      <c r="AF82" s="24" t="str">
        <f>IFERROR(__xludf.DUMMYFUNCTION("""COMPUTED_VALUE"""),"48. Piura")</f>
        <v>48. Piura</v>
      </c>
    </row>
    <row r="83">
      <c r="A83" s="25"/>
      <c r="AC83" s="42"/>
      <c r="AD83" s="42" t="str">
        <f>IFERROR(__xludf.DUMMYFUNCTION("""COMPUTED_VALUE"""),"15478")</f>
        <v>15478</v>
      </c>
      <c r="AE83" s="42" t="str">
        <f>IFERROR(__xludf.DUMMYFUNCTION("""COMPUTED_VALUE"""),"15478")</f>
        <v>15478</v>
      </c>
      <c r="AF83" s="24" t="str">
        <f>IFERROR(__xludf.DUMMYFUNCTION("""COMPUTED_VALUE"""),"48. Piura")</f>
        <v>48. Piura</v>
      </c>
    </row>
    <row r="84">
      <c r="A84" s="25"/>
      <c r="AC84" s="42"/>
      <c r="AD84" s="42" t="str">
        <f>IFERROR(__xludf.DUMMYFUNCTION("""COMPUTED_VALUE"""),"14045")</f>
        <v>14045</v>
      </c>
      <c r="AE84" s="42" t="str">
        <f>IFERROR(__xludf.DUMMYFUNCTION("""COMPUTED_VALUE"""),"14045")</f>
        <v>14045</v>
      </c>
      <c r="AF84" s="24" t="str">
        <f>IFERROR(__xludf.DUMMYFUNCTION("""COMPUTED_VALUE"""),"48. Piura")</f>
        <v>48. Piura</v>
      </c>
    </row>
    <row r="85">
      <c r="A85" s="25"/>
      <c r="AC85" s="42"/>
      <c r="AD85" s="42" t="str">
        <f>IFERROR(__xludf.DUMMYFUNCTION("""COMPUTED_VALUE"""),"14145 SANTA JULIA BILLIART")</f>
        <v>14145 SANTA JULIA BILLIART</v>
      </c>
      <c r="AE85" s="42" t="str">
        <f>IFERROR(__xludf.DUMMYFUNCTION("""COMPUTED_VALUE"""),"14145 SANTA JULIA BILLIART")</f>
        <v>14145 SANTA JULIA BILLIART</v>
      </c>
      <c r="AF85" s="24" t="str">
        <f>IFERROR(__xludf.DUMMYFUNCTION("""COMPUTED_VALUE"""),"48. Piura")</f>
        <v>48. Piura</v>
      </c>
    </row>
    <row r="86">
      <c r="A86" s="25"/>
      <c r="AC86" s="42"/>
      <c r="AD86" s="42" t="str">
        <f>IFERROR(__xludf.DUMMYFUNCTION("""COMPUTED_VALUE"""),"20123")</f>
        <v>20123</v>
      </c>
      <c r="AE86" s="42" t="str">
        <f>IFERROR(__xludf.DUMMYFUNCTION("""COMPUTED_VALUE"""),"20123")</f>
        <v>20123</v>
      </c>
      <c r="AF86" s="24" t="str">
        <f>IFERROR(__xludf.DUMMYFUNCTION("""COMPUTED_VALUE"""),"48. Piura")</f>
        <v>48. Piura</v>
      </c>
    </row>
    <row r="87">
      <c r="A87" s="25"/>
      <c r="AC87" s="42"/>
      <c r="AD87" s="42" t="str">
        <f>IFERROR(__xludf.DUMMYFUNCTION("""COMPUTED_VALUE"""),"15219")</f>
        <v>15219</v>
      </c>
      <c r="AE87" s="42" t="str">
        <f>IFERROR(__xludf.DUMMYFUNCTION("""COMPUTED_VALUE"""),"15219")</f>
        <v>15219</v>
      </c>
      <c r="AF87" s="24" t="str">
        <f>IFERROR(__xludf.DUMMYFUNCTION("""COMPUTED_VALUE"""),"48. Piura")</f>
        <v>48. Piura</v>
      </c>
    </row>
    <row r="88">
      <c r="A88" s="25"/>
      <c r="AC88" s="42"/>
      <c r="AD88" s="42" t="str">
        <f>IFERROR(__xludf.DUMMYFUNCTION("""COMPUTED_VALUE"""),"15220")</f>
        <v>15220</v>
      </c>
      <c r="AE88" s="42" t="str">
        <f>IFERROR(__xludf.DUMMYFUNCTION("""COMPUTED_VALUE"""),"15220")</f>
        <v>15220</v>
      </c>
      <c r="AF88" s="24" t="str">
        <f>IFERROR(__xludf.DUMMYFUNCTION("""COMPUTED_VALUE"""),"48. Piura")</f>
        <v>48. Piura</v>
      </c>
    </row>
    <row r="89">
      <c r="A89" s="25"/>
      <c r="AC89" s="42"/>
      <c r="AD89" s="42" t="str">
        <f>IFERROR(__xludf.DUMMYFUNCTION("""COMPUTED_VALUE"""),"IE Sagrado Corazón")</f>
        <v>IE Sagrado Corazón</v>
      </c>
      <c r="AE89" s="42" t="str">
        <f>IFERROR(__xludf.DUMMYFUNCTION("""COMPUTED_VALUE"""),"SAGRADO CORAZON DE JESUS")</f>
        <v>SAGRADO CORAZON DE JESUS</v>
      </c>
      <c r="AF89" s="24" t="str">
        <f>IFERROR(__xludf.DUMMYFUNCTION("""COMPUTED_VALUE"""),"48. Piura")</f>
        <v>48. Piura</v>
      </c>
    </row>
    <row r="90">
      <c r="A90" s="25"/>
      <c r="AC90" s="42"/>
      <c r="AD90" s="42" t="str">
        <f>IFERROR(__xludf.DUMMYFUNCTION("""COMPUTED_VALUE"""),"IE Santa Rosa")</f>
        <v>IE Santa Rosa</v>
      </c>
      <c r="AE90" s="42" t="str">
        <f>IFERROR(__xludf.DUMMYFUNCTION("""COMPUTED_VALUE"""),"14144 SANTA ROSA")</f>
        <v>14144 SANTA ROSA</v>
      </c>
      <c r="AF90" s="24" t="str">
        <f>IFERROR(__xludf.DUMMYFUNCTION("""COMPUTED_VALUE"""),"48. Piura")</f>
        <v>48. Piura</v>
      </c>
    </row>
    <row r="91">
      <c r="A91" s="25"/>
      <c r="AC91" s="42"/>
      <c r="AD91" s="42" t="str">
        <f>IFERROR(__xludf.DUMMYFUNCTION("""COMPUTED_VALUE"""),"IE Totoral Alto")</f>
        <v>IE Totoral Alto</v>
      </c>
      <c r="AE91" s="42" t="str">
        <f>IFERROR(__xludf.DUMMYFUNCTION("""COMPUTED_VALUE"""),"14894")</f>
        <v>14894</v>
      </c>
      <c r="AF91" s="24" t="str">
        <f>IFERROR(__xludf.DUMMYFUNCTION("""COMPUTED_VALUE"""),"48. Piura")</f>
        <v>48. Piura</v>
      </c>
    </row>
    <row r="92">
      <c r="A92" s="25"/>
      <c r="AC92" s="42"/>
      <c r="AD92" s="42" t="str">
        <f>IFERROR(__xludf.DUMMYFUNCTION("""COMPUTED_VALUE"""),"IE Santa Julia")</f>
        <v>IE Santa Julia</v>
      </c>
      <c r="AE92" s="42" t="str">
        <f>IFERROR(__xludf.DUMMYFUNCTION("""COMPUTED_VALUE"""),"14145 SANTA JULIA BILLIART")</f>
        <v>14145 SANTA JULIA BILLIART</v>
      </c>
      <c r="AF92" s="24" t="str">
        <f>IFERROR(__xludf.DUMMYFUNCTION("""COMPUTED_VALUE"""),"48. Piura")</f>
        <v>48. Piura</v>
      </c>
    </row>
    <row r="93">
      <c r="A93" s="25"/>
      <c r="AC93" s="42"/>
      <c r="AD93" s="42" t="str">
        <f>IFERROR(__xludf.DUMMYFUNCTION("""COMPUTED_VALUE"""),"86809 Huarac-huarán")</f>
        <v>86809 Huarac-huarán</v>
      </c>
      <c r="AE93" s="42" t="str">
        <f>IFERROR(__xludf.DUMMYFUNCTION("""COMPUTED_VALUE"""),"86809")</f>
        <v>86809</v>
      </c>
      <c r="AF93" s="24" t="str">
        <f>IFERROR(__xludf.DUMMYFUNCTION("""COMPUTED_VALUE"""),"54. Ancash")</f>
        <v>54. Ancash</v>
      </c>
    </row>
    <row r="94">
      <c r="A94" s="25"/>
      <c r="AC94" s="42"/>
      <c r="AD94" s="42" t="str">
        <f>IFERROR(__xludf.DUMMYFUNCTION("""COMPUTED_VALUE"""),"88247 - Capan")</f>
        <v>88247 - Capan</v>
      </c>
      <c r="AE94" s="42" t="str">
        <f>IFERROR(__xludf.DUMMYFUNCTION("""COMPUTED_VALUE"""),"88247 SAN ENRIQUE")</f>
        <v>88247 SAN ENRIQUE</v>
      </c>
      <c r="AF94" s="24" t="str">
        <f>IFERROR(__xludf.DUMMYFUNCTION("""COMPUTED_VALUE"""),"54. Ancash")</f>
        <v>54. Ancash</v>
      </c>
    </row>
    <row r="95">
      <c r="A95" s="25"/>
      <c r="AC95" s="42"/>
      <c r="AD95" s="42" t="str">
        <f>IFERROR(__xludf.DUMMYFUNCTION("""COMPUTED_VALUE"""),"86548 - Pichiu")</f>
        <v>86548 - Pichiu</v>
      </c>
      <c r="AE95" s="42" t="str">
        <f>IFERROR(__xludf.DUMMYFUNCTION("""COMPUTED_VALUE"""),"86548 JOSE MARIA VELAZ")</f>
        <v>86548 JOSE MARIA VELAZ</v>
      </c>
      <c r="AF95" s="24" t="str">
        <f>IFERROR(__xludf.DUMMYFUNCTION("""COMPUTED_VALUE"""),"54. Ancash")</f>
        <v>54. Ancash</v>
      </c>
    </row>
    <row r="96">
      <c r="A96" s="25"/>
      <c r="AC96" s="42"/>
      <c r="AD96" s="42" t="str">
        <f>IFERROR(__xludf.DUMMYFUNCTION("""COMPUTED_VALUE"""),"Huarachuran")</f>
        <v>Huarachuran</v>
      </c>
      <c r="AE96" s="42" t="str">
        <f>IFERROR(__xludf.DUMMYFUNCTION("""COMPUTED_VALUE"""),"86809")</f>
        <v>86809</v>
      </c>
      <c r="AF96" s="24" t="str">
        <f>IFERROR(__xludf.DUMMYFUNCTION("""COMPUTED_VALUE"""),"54. Ancash")</f>
        <v>54. Ancash</v>
      </c>
    </row>
    <row r="97">
      <c r="A97" s="25"/>
      <c r="AC97" s="42"/>
      <c r="AD97" s="42" t="str">
        <f>IFERROR(__xludf.DUMMYFUNCTION("""COMPUTED_VALUE"""),"Pichiu")</f>
        <v>Pichiu</v>
      </c>
      <c r="AE97" s="42" t="str">
        <f>IFERROR(__xludf.DUMMYFUNCTION("""COMPUTED_VALUE"""),"86548 JOSE MARIA VELAZ")</f>
        <v>86548 JOSE MARIA VELAZ</v>
      </c>
      <c r="AF97" s="24" t="str">
        <f>IFERROR(__xludf.DUMMYFUNCTION("""COMPUTED_VALUE"""),"54. Ancash")</f>
        <v>54. Ancash</v>
      </c>
    </row>
    <row r="98">
      <c r="A98" s="25"/>
      <c r="AC98" s="42"/>
      <c r="AD98" s="42" t="str">
        <f>IFERROR(__xludf.DUMMYFUNCTION("""COMPUTED_VALUE"""),"Carap")</f>
        <v>Carap</v>
      </c>
      <c r="AE98" s="42" t="str">
        <f>IFERROR(__xludf.DUMMYFUNCTION("""COMPUTED_VALUE"""),"88327")</f>
        <v>88327</v>
      </c>
      <c r="AF98" s="24" t="str">
        <f>IFERROR(__xludf.DUMMYFUNCTION("""COMPUTED_VALUE"""),"54. Ancash")</f>
        <v>54. Ancash</v>
      </c>
    </row>
    <row r="99">
      <c r="A99" s="25"/>
      <c r="AC99" s="42"/>
      <c r="AD99" s="42" t="str">
        <f>IFERROR(__xludf.DUMMYFUNCTION("""COMPUTED_VALUE"""),"Capan")</f>
        <v>Capan</v>
      </c>
      <c r="AE99" s="42" t="str">
        <f>IFERROR(__xludf.DUMMYFUNCTION("""COMPUTED_VALUE"""),"88247 SAN ENRIQUE")</f>
        <v>88247 SAN ENRIQUE</v>
      </c>
      <c r="AF99" s="24" t="str">
        <f>IFERROR(__xludf.DUMMYFUNCTION("""COMPUTED_VALUE"""),"54. Ancash")</f>
        <v>54. Ancash</v>
      </c>
    </row>
    <row r="100">
      <c r="A100" s="25"/>
      <c r="AC100" s="42"/>
      <c r="AD100" s="42" t="str">
        <f>IFERROR(__xludf.DUMMYFUNCTION("""COMPUTED_VALUE"""),"Huascar")</f>
        <v>Huascar</v>
      </c>
      <c r="AE100" s="42" t="str">
        <f>IFERROR(__xludf.DUMMYFUNCTION("""COMPUTED_VALUE"""),"86769 ABRAHAM VALDELOMAR")</f>
        <v>86769 ABRAHAM VALDELOMAR</v>
      </c>
      <c r="AF100" s="24" t="str">
        <f>IFERROR(__xludf.DUMMYFUNCTION("""COMPUTED_VALUE"""),"54. Ancash")</f>
        <v>54. Ancash</v>
      </c>
    </row>
    <row r="101">
      <c r="A101" s="25"/>
      <c r="AC101" s="42"/>
      <c r="AD101" s="42" t="str">
        <f>IFERROR(__xludf.DUMMYFUNCTION("""COMPUTED_VALUE"""),"Captuy")</f>
        <v>Captuy</v>
      </c>
      <c r="AE101" s="42" t="str">
        <f>IFERROR(__xludf.DUMMYFUNCTION("""COMPUTED_VALUE"""),"88225 CAPTUY")</f>
        <v>88225 CAPTUY</v>
      </c>
      <c r="AF101" s="24" t="str">
        <f>IFERROR(__xludf.DUMMYFUNCTION("""COMPUTED_VALUE"""),"54. Ancash")</f>
        <v>54. Ancash</v>
      </c>
    </row>
    <row r="102">
      <c r="A102" s="25"/>
      <c r="AC102" s="42"/>
      <c r="AD102" s="42" t="str">
        <f>IFERROR(__xludf.DUMMYFUNCTION("""COMPUTED_VALUE"""),"Huarac Huran")</f>
        <v>Huarac Huran</v>
      </c>
      <c r="AE102" s="42" t="str">
        <f>IFERROR(__xludf.DUMMYFUNCTION("""COMPUTED_VALUE"""),"86809")</f>
        <v>86809</v>
      </c>
      <c r="AF102" s="24" t="str">
        <f>IFERROR(__xludf.DUMMYFUNCTION("""COMPUTED_VALUE"""),"54. Ancash")</f>
        <v>54. Ancash</v>
      </c>
    </row>
    <row r="103">
      <c r="A103" s="25"/>
      <c r="AC103" s="42"/>
      <c r="AD103" s="42" t="str">
        <f>IFERROR(__xludf.DUMMYFUNCTION("""COMPUTED_VALUE"""),"Huáscar")</f>
        <v>Huáscar</v>
      </c>
      <c r="AE103" s="42" t="str">
        <f>IFERROR(__xludf.DUMMYFUNCTION("""COMPUTED_VALUE"""),"86769 ABRAHAM VALDELOMAR")</f>
        <v>86769 ABRAHAM VALDELOMAR</v>
      </c>
      <c r="AF103" s="24" t="str">
        <f>IFERROR(__xludf.DUMMYFUNCTION("""COMPUTED_VALUE"""),"54. Ancash")</f>
        <v>54. Ancash</v>
      </c>
    </row>
    <row r="104">
      <c r="A104" s="25"/>
      <c r="AC104" s="42"/>
      <c r="AD104" s="42" t="str">
        <f>IFERROR(__xludf.DUMMYFUNCTION("""COMPUTED_VALUE"""),"Huran Huran")</f>
        <v>Huran Huran</v>
      </c>
      <c r="AE104" s="42" t="str">
        <f>IFERROR(__xludf.DUMMYFUNCTION("""COMPUTED_VALUE"""),"86809")</f>
        <v>86809</v>
      </c>
      <c r="AF104" s="24" t="str">
        <f>IFERROR(__xludf.DUMMYFUNCTION("""COMPUTED_VALUE"""),"54. Ancash")</f>
        <v>54. Ancash</v>
      </c>
    </row>
    <row r="105">
      <c r="A105" s="25"/>
      <c r="AC105" s="42"/>
      <c r="AD105" s="42" t="str">
        <f>IFERROR(__xludf.DUMMYFUNCTION("""COMPUTED_VALUE"""),"64155 Bagazan")</f>
        <v>64155 Bagazan</v>
      </c>
      <c r="AE105" s="42" t="str">
        <f>IFERROR(__xludf.DUMMYFUNCTION("""COMPUTED_VALUE"""),"64155")</f>
        <v>64155</v>
      </c>
      <c r="AF105" s="24" t="str">
        <f>IFERROR(__xludf.DUMMYFUNCTION("""COMPUTED_VALUE"""),"72. Ucayali")</f>
        <v>72. Ucayali</v>
      </c>
    </row>
    <row r="106">
      <c r="A106" s="25"/>
      <c r="AC106" s="42"/>
      <c r="AD106" s="42" t="str">
        <f>IFERROR(__xludf.DUMMYFUNCTION("""COMPUTED_VALUE"""),"64346 Miraflores")</f>
        <v>64346 Miraflores</v>
      </c>
      <c r="AE106" s="42" t="str">
        <f>IFERROR(__xludf.DUMMYFUNCTION("""COMPUTED_VALUE"""),"64346")</f>
        <v>64346</v>
      </c>
      <c r="AF106" s="24" t="str">
        <f>IFERROR(__xludf.DUMMYFUNCTION("""COMPUTED_VALUE"""),"72. Ucayali")</f>
        <v>72. Ucayali</v>
      </c>
    </row>
    <row r="107">
      <c r="A107" s="25"/>
      <c r="AC107" s="42"/>
      <c r="AD107" s="42" t="str">
        <f>IFERROR(__xludf.DUMMYFUNCTION("""COMPUTED_VALUE"""),"64641 Nueva Alianza")</f>
        <v>64641 Nueva Alianza</v>
      </c>
      <c r="AE107" s="42" t="str">
        <f>IFERROR(__xludf.DUMMYFUNCTION("""COMPUTED_VALUE"""),"64641")</f>
        <v>64641</v>
      </c>
      <c r="AF107" s="24" t="str">
        <f>IFERROR(__xludf.DUMMYFUNCTION("""COMPUTED_VALUE"""),"72. Ucayali")</f>
        <v>72. Ucayali</v>
      </c>
    </row>
    <row r="108">
      <c r="A108" s="25"/>
      <c r="AC108" s="42"/>
      <c r="AD108" s="42" t="str">
        <f>IFERROR(__xludf.DUMMYFUNCTION("""COMPUTED_VALUE"""),"64872-B Santa Martha")</f>
        <v>64872-B Santa Martha</v>
      </c>
      <c r="AE108" s="42" t="str">
        <f>IFERROR(__xludf.DUMMYFUNCTION("""COMPUTED_VALUE"""),"64871-B")</f>
        <v>64871-B</v>
      </c>
      <c r="AF108" s="24" t="str">
        <f>IFERROR(__xludf.DUMMYFUNCTION("""COMPUTED_VALUE"""),"72. Ucayali")</f>
        <v>72. Ucayali</v>
      </c>
    </row>
    <row r="109">
      <c r="A109" s="25"/>
      <c r="AC109" s="42"/>
      <c r="AD109" s="42" t="str">
        <f>IFERROR(__xludf.DUMMYFUNCTION("""COMPUTED_VALUE"""),"64996 Libertad")</f>
        <v>64996 Libertad</v>
      </c>
      <c r="AE109" s="42" t="str">
        <f>IFERROR(__xludf.DUMMYFUNCTION("""COMPUTED_VALUE"""),"64996")</f>
        <v>64996</v>
      </c>
      <c r="AF109" s="24" t="str">
        <f>IFERROR(__xludf.DUMMYFUNCTION("""COMPUTED_VALUE"""),"72. Ucayali")</f>
        <v>72. Ucayali</v>
      </c>
    </row>
    <row r="110">
      <c r="A110" s="25"/>
      <c r="AC110" s="42"/>
      <c r="AD110" s="42" t="str">
        <f>IFERROR(__xludf.DUMMYFUNCTION("""COMPUTED_VALUE"""),"64028 Mazaray")</f>
        <v>64028 Mazaray</v>
      </c>
      <c r="AE110" s="42" t="str">
        <f>IFERROR(__xludf.DUMMYFUNCTION("""COMPUTED_VALUE"""),"64028")</f>
        <v>64028</v>
      </c>
      <c r="AF110" s="24" t="str">
        <f>IFERROR(__xludf.DUMMYFUNCTION("""COMPUTED_VALUE"""),"72. Ucayali")</f>
        <v>72. Ucayali</v>
      </c>
    </row>
    <row r="111">
      <c r="A111" s="25"/>
      <c r="AC111" s="42"/>
      <c r="AD111" s="42" t="str">
        <f>IFERROR(__xludf.DUMMYFUNCTION("""COMPUTED_VALUE"""),"64048 Nuevo Barranca")</f>
        <v>64048 Nuevo Barranca</v>
      </c>
      <c r="AE111" s="42" t="str">
        <f>IFERROR(__xludf.DUMMYFUNCTION("""COMPUTED_VALUE"""),"64048")</f>
        <v>64048</v>
      </c>
      <c r="AF111" s="24" t="str">
        <f>IFERROR(__xludf.DUMMYFUNCTION("""COMPUTED_VALUE"""),"72. Ucayali")</f>
        <v>72. Ucayali</v>
      </c>
    </row>
    <row r="112">
      <c r="A112" s="25"/>
      <c r="AC112" s="42"/>
      <c r="AD112" s="42" t="str">
        <f>IFERROR(__xludf.DUMMYFUNCTION("""COMPUTED_VALUE"""),"64115 Nuevo Bagazán")</f>
        <v>64115 Nuevo Bagazán</v>
      </c>
      <c r="AE112" s="42" t="str">
        <f>IFERROR(__xludf.DUMMYFUNCTION("""COMPUTED_VALUE"""),"64115")</f>
        <v>64115</v>
      </c>
      <c r="AF112" s="24" t="str">
        <f>IFERROR(__xludf.DUMMYFUNCTION("""COMPUTED_VALUE"""),"72. Ucayali")</f>
        <v>72. Ucayali</v>
      </c>
    </row>
    <row r="113">
      <c r="A113" s="25"/>
      <c r="AC113" s="42"/>
      <c r="AD113" s="42" t="str">
        <f>IFERROR(__xludf.DUMMYFUNCTION("""COMPUTED_VALUE"""),"64508-B Santa Isabel")</f>
        <v>64508-B Santa Isabel</v>
      </c>
      <c r="AE113" s="42" t="str">
        <f>IFERROR(__xludf.DUMMYFUNCTION("""COMPUTED_VALUE"""),"64508-B")</f>
        <v>64508-B</v>
      </c>
      <c r="AF113" s="24" t="str">
        <f>IFERROR(__xludf.DUMMYFUNCTION("""COMPUTED_VALUE"""),"72. Ucayali")</f>
        <v>72. Ucayali</v>
      </c>
    </row>
    <row r="114">
      <c r="A114" s="25"/>
      <c r="AC114" s="42"/>
      <c r="AD114" s="42" t="str">
        <f>IFERROR(__xludf.DUMMYFUNCTION("""COMPUTED_VALUE"""),"64873-B Santa Elisa")</f>
        <v>64873-B Santa Elisa</v>
      </c>
      <c r="AE114" s="42" t="str">
        <f>IFERROR(__xludf.DUMMYFUNCTION("""COMPUTED_VALUE"""),"64873-B")</f>
        <v>64873-B</v>
      </c>
      <c r="AF114" s="24" t="str">
        <f>IFERROR(__xludf.DUMMYFUNCTION("""COMPUTED_VALUE"""),"72. Ucayali")</f>
        <v>72. Ucayali</v>
      </c>
    </row>
    <row r="115">
      <c r="A115" s="25"/>
      <c r="AC115" s="42"/>
      <c r="AD115" s="42" t="str">
        <f>IFERROR(__xludf.DUMMYFUNCTION("""COMPUTED_VALUE"""),"64545-B Puerto Consuelo")</f>
        <v>64545-B Puerto Consuelo</v>
      </c>
      <c r="AE115" s="42" t="str">
        <f>IFERROR(__xludf.DUMMYFUNCTION("""COMPUTED_VALUE"""),"64545-B")</f>
        <v>64545-B</v>
      </c>
      <c r="AF115" s="24" t="str">
        <f>IFERROR(__xludf.DUMMYFUNCTION("""COMPUTED_VALUE"""),"72. Ucayali")</f>
        <v>72. Ucayali</v>
      </c>
    </row>
    <row r="116">
      <c r="A116" s="25"/>
      <c r="AC116" s="42"/>
      <c r="AD116" s="42" t="str">
        <f>IFERROR(__xludf.DUMMYFUNCTION("""COMPUTED_VALUE"""),"64949 Isla Primavera")</f>
        <v>64949 Isla Primavera</v>
      </c>
      <c r="AE116" s="42" t="str">
        <f>IFERROR(__xludf.DUMMYFUNCTION("""COMPUTED_VALUE"""),"64949")</f>
        <v>64949</v>
      </c>
      <c r="AF116" s="24" t="str">
        <f>IFERROR(__xludf.DUMMYFUNCTION("""COMPUTED_VALUE"""),"72. Ucayali")</f>
        <v>72. Ucayali</v>
      </c>
    </row>
    <row r="117">
      <c r="A117" s="25"/>
      <c r="AC117" s="42"/>
      <c r="AD117" s="42" t="str">
        <f>IFERROR(__xludf.DUMMYFUNCTION("""COMPUTED_VALUE"""),"64871-B Santa Martha")</f>
        <v>64871-B Santa Martha</v>
      </c>
      <c r="AE117" s="42" t="str">
        <f>IFERROR(__xludf.DUMMYFUNCTION("""COMPUTED_VALUE"""),"64871-B")</f>
        <v>64871-B</v>
      </c>
      <c r="AF117" s="24" t="str">
        <f>IFERROR(__xludf.DUMMYFUNCTION("""COMPUTED_VALUE"""),"72. Ucayali")</f>
        <v>72. Ucayali</v>
      </c>
    </row>
    <row r="118">
      <c r="A118" s="25"/>
      <c r="AC118" s="42"/>
      <c r="AD118" s="42" t="str">
        <f>IFERROR(__xludf.DUMMYFUNCTION("""COMPUTED_VALUE"""),"64829 Villa Esther")</f>
        <v>64829 Villa Esther</v>
      </c>
      <c r="AE118" s="42" t="str">
        <f>IFERROR(__xludf.DUMMYFUNCTION("""COMPUTED_VALUE"""),"64829")</f>
        <v>64829</v>
      </c>
      <c r="AF118" s="24" t="str">
        <f>IFERROR(__xludf.DUMMYFUNCTION("""COMPUTED_VALUE"""),"72. Ucayali")</f>
        <v>72. Ucayali</v>
      </c>
    </row>
    <row r="119">
      <c r="A119" s="25"/>
      <c r="AC119" s="42"/>
      <c r="AD119" s="42" t="str">
        <f>IFERROR(__xludf.DUMMYFUNCTION("""COMPUTED_VALUE"""),"65199 Tres de Mayo")</f>
        <v>65199 Tres de Mayo</v>
      </c>
      <c r="AE119" s="42" t="str">
        <f>IFERROR(__xludf.DUMMYFUNCTION("""COMPUTED_VALUE"""),"65199")</f>
        <v>65199</v>
      </c>
      <c r="AF119" s="24" t="str">
        <f>IFERROR(__xludf.DUMMYFUNCTION("""COMPUTED_VALUE"""),"72. Ucayali")</f>
        <v>72. Ucayali</v>
      </c>
    </row>
    <row r="120">
      <c r="A120" s="25"/>
      <c r="AC120" s="42"/>
      <c r="AD120" s="42" t="str">
        <f>IFERROR(__xludf.DUMMYFUNCTION("""COMPUTED_VALUE"""),"BAGAZAN 64115")</f>
        <v>BAGAZAN 64115</v>
      </c>
      <c r="AE120" s="42" t="str">
        <f>IFERROR(__xludf.DUMMYFUNCTION("""COMPUTED_VALUE"""),"64115")</f>
        <v>64115</v>
      </c>
      <c r="AF120" s="24" t="str">
        <f>IFERROR(__xludf.DUMMYFUNCTION("""COMPUTED_VALUE"""),"72. Ucayali")</f>
        <v>72. Ucayali</v>
      </c>
    </row>
    <row r="121">
      <c r="A121" s="25"/>
      <c r="AC121" s="42"/>
      <c r="AD121" s="42" t="str">
        <f>IFERROR(__xludf.DUMMYFUNCTION("""COMPUTED_VALUE"""),"MAZARAY 64028")</f>
        <v>MAZARAY 64028</v>
      </c>
      <c r="AE121" s="42" t="str">
        <f>IFERROR(__xludf.DUMMYFUNCTION("""COMPUTED_VALUE"""),"64028")</f>
        <v>64028</v>
      </c>
      <c r="AF121" s="24" t="str">
        <f>IFERROR(__xludf.DUMMYFUNCTION("""COMPUTED_VALUE"""),"72. Ucayali")</f>
        <v>72. Ucayali</v>
      </c>
    </row>
    <row r="122">
      <c r="A122" s="25"/>
      <c r="AC122" s="42"/>
      <c r="AD122" s="42" t="str">
        <f>IFERROR(__xludf.DUMMYFUNCTION("""COMPUTED_VALUE"""),"VILLA ESTHER 64829")</f>
        <v>VILLA ESTHER 64829</v>
      </c>
      <c r="AE122" s="42" t="str">
        <f>IFERROR(__xludf.DUMMYFUNCTION("""COMPUTED_VALUE"""),"64829")</f>
        <v>64829</v>
      </c>
      <c r="AF122" s="24" t="str">
        <f>IFERROR(__xludf.DUMMYFUNCTION("""COMPUTED_VALUE"""),"72. Ucayali")</f>
        <v>72. Ucayali</v>
      </c>
    </row>
    <row r="123">
      <c r="A123" s="25"/>
      <c r="AC123" s="42"/>
      <c r="AD123" s="42" t="str">
        <f>IFERROR(__xludf.DUMMYFUNCTION("""COMPUTED_VALUE"""),"MIRAFLORES 64346")</f>
        <v>MIRAFLORES 64346</v>
      </c>
      <c r="AE123" s="42" t="str">
        <f>IFERROR(__xludf.DUMMYFUNCTION("""COMPUTED_VALUE"""),"64346")</f>
        <v>64346</v>
      </c>
      <c r="AF123" s="24" t="str">
        <f>IFERROR(__xludf.DUMMYFUNCTION("""COMPUTED_VALUE"""),"72. Ucayali")</f>
        <v>72. Ucayali</v>
      </c>
    </row>
    <row r="124">
      <c r="A124" s="25"/>
      <c r="AC124" s="42"/>
      <c r="AD124" s="42" t="str">
        <f>IFERROR(__xludf.DUMMYFUNCTION("""COMPUTED_VALUE"""),"3 DE MAYO 65199")</f>
        <v>3 DE MAYO 65199</v>
      </c>
      <c r="AE124" s="42" t="str">
        <f>IFERROR(__xludf.DUMMYFUNCTION("""COMPUTED_VALUE"""),"65199")</f>
        <v>65199</v>
      </c>
      <c r="AF124" s="24" t="str">
        <f>IFERROR(__xludf.DUMMYFUNCTION("""COMPUTED_VALUE"""),"72. Ucayali")</f>
        <v>72. Ucayali</v>
      </c>
    </row>
    <row r="125">
      <c r="A125" s="25"/>
      <c r="AC125" s="42"/>
      <c r="AD125" s="42" t="str">
        <f>IFERROR(__xludf.DUMMYFUNCTION("""COMPUTED_VALUE"""),"64048 Barranca")</f>
        <v>64048 Barranca</v>
      </c>
      <c r="AE125" s="42" t="str">
        <f>IFERROR(__xludf.DUMMYFUNCTION("""COMPUTED_VALUE"""),"64048")</f>
        <v>64048</v>
      </c>
      <c r="AF125" s="24" t="str">
        <f>IFERROR(__xludf.DUMMYFUNCTION("""COMPUTED_VALUE"""),"72. Ucayali")</f>
        <v>72. Ucayali</v>
      </c>
    </row>
    <row r="126">
      <c r="A126" s="25"/>
      <c r="AC126" s="42"/>
      <c r="AD126" s="42" t="str">
        <f>IFERROR(__xludf.DUMMYFUNCTION("""COMPUTED_VALUE"""),"Nuestra Señora de la Candelaria")</f>
        <v>Nuestra Señora de la Candelaria</v>
      </c>
      <c r="AE126" s="42" t="str">
        <f>IFERROR(__xludf.DUMMYFUNCTION("""COMPUTED_VALUE"""),"NUESTRA SEÑORA DE LA CANDELARIA")</f>
        <v>NUESTRA SEÑORA DE LA CANDELARIA</v>
      </c>
      <c r="AF126" s="24" t="str">
        <f>IFERROR(__xludf.DUMMYFUNCTION("""COMPUTED_VALUE"""),"79. Huancavelica")</f>
        <v>79. Huancavelica</v>
      </c>
    </row>
    <row r="127">
      <c r="A127" s="25"/>
      <c r="AC127" s="42"/>
      <c r="AD127" s="42" t="str">
        <f>IFERROR(__xludf.DUMMYFUNCTION("""COMPUTED_VALUE"""),"Huanccallaco")</f>
        <v>Huanccallaco</v>
      </c>
      <c r="AE127" s="42" t="str">
        <f>IFERROR(__xludf.DUMMYFUNCTION("""COMPUTED_VALUE"""),"36163 JAVIER HERAUD PEREZ")</f>
        <v>36163 JAVIER HERAUD PEREZ</v>
      </c>
      <c r="AF127" s="24" t="str">
        <f>IFERROR(__xludf.DUMMYFUNCTION("""COMPUTED_VALUE"""),"79. Huancavelica")</f>
        <v>79. Huancavelica</v>
      </c>
    </row>
    <row r="128">
      <c r="A128" s="25"/>
      <c r="AC128" s="42"/>
      <c r="AD128" s="42" t="str">
        <f>IFERROR(__xludf.DUMMYFUNCTION("""COMPUTED_VALUE"""),"Santiago Antunez de Mayolo")</f>
        <v>Santiago Antunez de Mayolo</v>
      </c>
      <c r="AE128" s="42" t="str">
        <f>IFERROR(__xludf.DUMMYFUNCTION("""COMPUTED_VALUE"""),"SANTIAGO ANTUNEZ DE MAYOLO")</f>
        <v>SANTIAGO ANTUNEZ DE MAYOLO</v>
      </c>
      <c r="AF128" s="24" t="str">
        <f>IFERROR(__xludf.DUMMYFUNCTION("""COMPUTED_VALUE"""),"79. Huancavelica")</f>
        <v>79. Huancavelica</v>
      </c>
    </row>
    <row r="129">
      <c r="A129" s="25"/>
      <c r="AC129" s="42"/>
      <c r="AD129" s="42" t="str">
        <f>IFERROR(__xludf.DUMMYFUNCTION("""COMPUTED_VALUE"""),"Sayri Tupac")</f>
        <v>Sayri Tupac</v>
      </c>
      <c r="AE129" s="42" t="str">
        <f>IFERROR(__xludf.DUMMYFUNCTION("""COMPUTED_VALUE"""),"SAYRI TUPAC")</f>
        <v>SAYRI TUPAC</v>
      </c>
      <c r="AF129" s="24" t="str">
        <f>IFERROR(__xludf.DUMMYFUNCTION("""COMPUTED_VALUE"""),"79. Huancavelica")</f>
        <v>79. Huancavelica</v>
      </c>
    </row>
    <row r="130">
      <c r="A130" s="25"/>
      <c r="AC130" s="42"/>
      <c r="AD130" s="42" t="str">
        <f>IFERROR(__xludf.DUMMYFUNCTION("""COMPUTED_VALUE"""),"Nuestra Sra Candelaria")</f>
        <v>Nuestra Sra Candelaria</v>
      </c>
      <c r="AE130" s="42" t="str">
        <f>IFERROR(__xludf.DUMMYFUNCTION("""COMPUTED_VALUE"""),"NUESTRA SEÑORA DE LA CANDELARIA")</f>
        <v>NUESTRA SEÑORA DE LA CANDELARIA</v>
      </c>
      <c r="AF130" s="24" t="str">
        <f>IFERROR(__xludf.DUMMYFUNCTION("""COMPUTED_VALUE"""),"79. Huancavelica")</f>
        <v>79. Huancavelica</v>
      </c>
    </row>
    <row r="131">
      <c r="A131" s="25"/>
      <c r="AC131" s="42"/>
      <c r="AD131" s="42" t="str">
        <f>IFERROR(__xludf.DUMMYFUNCTION("""COMPUTED_VALUE"""),"36789")</f>
        <v>36789</v>
      </c>
      <c r="AE131" s="42" t="str">
        <f>IFERROR(__xludf.DUMMYFUNCTION("""COMPUTED_VALUE"""),"36789 NUESTRA SEÑORA DEL CARMEN")</f>
        <v>36789 NUESTRA SEÑORA DEL CARMEN</v>
      </c>
      <c r="AF131" s="24" t="str">
        <f>IFERROR(__xludf.DUMMYFUNCTION("""COMPUTED_VALUE"""),"79. Huancavelica")</f>
        <v>79. Huancavelica</v>
      </c>
    </row>
    <row r="132">
      <c r="A132" s="25"/>
      <c r="AC132" s="42"/>
      <c r="AD132" s="42" t="str">
        <f>IFERROR(__xludf.DUMMYFUNCTION("""COMPUTED_VALUE"""),"36207")</f>
        <v>36207</v>
      </c>
      <c r="AE132" s="42" t="str">
        <f>IFERROR(__xludf.DUMMYFUNCTION("""COMPUTED_VALUE"""),"36207")</f>
        <v>36207</v>
      </c>
      <c r="AF132" s="24" t="str">
        <f>IFERROR(__xludf.DUMMYFUNCTION("""COMPUTED_VALUE"""),"79. Huancavelica")</f>
        <v>79. Huancavelica</v>
      </c>
    </row>
    <row r="133">
      <c r="A133" s="25"/>
      <c r="AC133" s="42"/>
      <c r="AD133" s="42" t="str">
        <f>IFERROR(__xludf.DUMMYFUNCTION("""COMPUTED_VALUE"""),"CORAS")</f>
        <v>CORAS</v>
      </c>
      <c r="AE133" s="42" t="str">
        <f>IFERROR(__xludf.DUMMYFUNCTION("""COMPUTED_VALUE"""),"CORAS")</f>
        <v>CORAS</v>
      </c>
      <c r="AF133" s="24" t="str">
        <f>IFERROR(__xludf.DUMMYFUNCTION("""COMPUTED_VALUE"""),"79. Huancavelica")</f>
        <v>79. Huancavelica</v>
      </c>
    </row>
    <row r="134">
      <c r="A134" s="25"/>
      <c r="AC134" s="42"/>
      <c r="AD134" s="42" t="str">
        <f>IFERROR(__xludf.DUMMYFUNCTION("""COMPUTED_VALUE"""),"36173")</f>
        <v>36173</v>
      </c>
      <c r="AE134" s="42" t="str">
        <f>IFERROR(__xludf.DUMMYFUNCTION("""COMPUTED_VALUE"""),"36173")</f>
        <v>36173</v>
      </c>
      <c r="AF134" s="24" t="str">
        <f>IFERROR(__xludf.DUMMYFUNCTION("""COMPUTED_VALUE"""),"79. Huancavelica")</f>
        <v>79. Huancavelica</v>
      </c>
    </row>
    <row r="135">
      <c r="A135" s="25"/>
      <c r="AC135" s="42"/>
      <c r="AD135" s="42" t="str">
        <f>IFERROR(__xludf.DUMMYFUNCTION("""COMPUTED_VALUE"""),"36161")</f>
        <v>36161</v>
      </c>
      <c r="AE135" s="42" t="str">
        <f>IFERROR(__xludf.DUMMYFUNCTION("""COMPUTED_VALUE"""),"36161 SAN VICENTE DE PAUL")</f>
        <v>36161 SAN VICENTE DE PAUL</v>
      </c>
      <c r="AF135" s="24" t="str">
        <f>IFERROR(__xludf.DUMMYFUNCTION("""COMPUTED_VALUE"""),"79. Huancavelica")</f>
        <v>79. Huancavelica</v>
      </c>
    </row>
    <row r="136">
      <c r="A136" s="25"/>
      <c r="AC136" s="42"/>
      <c r="AD136" s="42" t="str">
        <f>IFERROR(__xludf.DUMMYFUNCTION("""COMPUTED_VALUE"""),"36166")</f>
        <v>36166</v>
      </c>
      <c r="AE136" s="42" t="str">
        <f>IFERROR(__xludf.DUMMYFUNCTION("""COMPUTED_VALUE"""),"36166 HEROES 29 DE AGOSTO")</f>
        <v>36166 HEROES 29 DE AGOSTO</v>
      </c>
      <c r="AF136" s="24" t="str">
        <f>IFERROR(__xludf.DUMMYFUNCTION("""COMPUTED_VALUE"""),"79. Huancavelica")</f>
        <v>79. Huancavelica</v>
      </c>
    </row>
    <row r="137">
      <c r="A137" s="25"/>
      <c r="AC137" s="42"/>
      <c r="AD137" s="42" t="str">
        <f>IFERROR(__xludf.DUMMYFUNCTION("""COMPUTED_VALUE"""),"JORGE CHAVEZ")</f>
        <v>JORGE CHAVEZ</v>
      </c>
      <c r="AE137" s="42" t="str">
        <f>IFERROR(__xludf.DUMMYFUNCTION("""COMPUTED_VALUE"""),"JORGE CHAVEZ")</f>
        <v>JORGE CHAVEZ</v>
      </c>
      <c r="AF137" s="24" t="str">
        <f>IFERROR(__xludf.DUMMYFUNCTION("""COMPUTED_VALUE"""),"79. Huancavelica")</f>
        <v>79. Huancavelica</v>
      </c>
    </row>
    <row r="138">
      <c r="A138" s="25"/>
      <c r="AC138" s="42"/>
      <c r="AD138" s="42" t="str">
        <f>IFERROR(__xludf.DUMMYFUNCTION("""COMPUTED_VALUE"""),"JOSE CARLOS MARIATEGUI")</f>
        <v>JOSE CARLOS MARIATEGUI</v>
      </c>
      <c r="AE138" s="42" t="str">
        <f>IFERROR(__xludf.DUMMYFUNCTION("""COMPUTED_VALUE"""),"JOSE CARLOS MARIATEGUI")</f>
        <v>JOSE CARLOS MARIATEGUI</v>
      </c>
      <c r="AF138" s="24" t="str">
        <f>IFERROR(__xludf.DUMMYFUNCTION("""COMPUTED_VALUE"""),"79. Huancavelica")</f>
        <v>79. Huancavelica</v>
      </c>
    </row>
    <row r="139">
      <c r="A139" s="25"/>
      <c r="AC139" s="42"/>
      <c r="AD139" s="42" t="str">
        <f>IFERROR(__xludf.DUMMYFUNCTION("""COMPUTED_VALUE"""),"RAMON CASTILLA MARQUEZADO")</f>
        <v>RAMON CASTILLA MARQUEZADO</v>
      </c>
      <c r="AE139" s="42" t="str">
        <f>IFERROR(__xludf.DUMMYFUNCTION("""COMPUTED_VALUE"""),"RAMON CASTILLA MARQUEZADO")</f>
        <v>RAMON CASTILLA MARQUEZADO</v>
      </c>
      <c r="AF139" s="24" t="str">
        <f>IFERROR(__xludf.DUMMYFUNCTION("""COMPUTED_VALUE"""),"79. Huancavelica")</f>
        <v>79. Huancavelica</v>
      </c>
    </row>
    <row r="140">
      <c r="A140" s="25"/>
      <c r="AC140" s="42"/>
      <c r="AD140" s="42" t="str">
        <f>IFERROR(__xludf.DUMMYFUNCTION("""COMPUTED_VALUE"""),"Jorge Chávez")</f>
        <v>Jorge Chávez</v>
      </c>
      <c r="AE140" s="42" t="str">
        <f>IFERROR(__xludf.DUMMYFUNCTION("""COMPUTED_VALUE"""),"JORGE CHAVEZ")</f>
        <v>JORGE CHAVEZ</v>
      </c>
      <c r="AF140" s="24" t="str">
        <f>IFERROR(__xludf.DUMMYFUNCTION("""COMPUTED_VALUE"""),"79. Huancavelica")</f>
        <v>79. Huancavelica</v>
      </c>
    </row>
    <row r="141">
      <c r="A141" s="25"/>
      <c r="AC141" s="42"/>
      <c r="AD141" s="42" t="str">
        <f>IFERROR(__xludf.DUMMYFUNCTION("""COMPUTED_VALUE"""),"José Carlos Mariategui")</f>
        <v>José Carlos Mariategui</v>
      </c>
      <c r="AE141" s="42" t="str">
        <f>IFERROR(__xludf.DUMMYFUNCTION("""COMPUTED_VALUE"""),"JOSE CARLOS MARIATEGUI")</f>
        <v>JOSE CARLOS MARIATEGUI</v>
      </c>
      <c r="AF141" s="24" t="str">
        <f>IFERROR(__xludf.DUMMYFUNCTION("""COMPUTED_VALUE"""),"79. Huancavelica")</f>
        <v>79. Huancavelica</v>
      </c>
    </row>
    <row r="142">
      <c r="A142" s="25"/>
      <c r="AC142" s="42"/>
      <c r="AD142" s="42" t="str">
        <f>IFERROR(__xludf.DUMMYFUNCTION("""COMPUTED_VALUE"""),"Ramón Castilla M.")</f>
        <v>Ramón Castilla M.</v>
      </c>
      <c r="AE142" s="42" t="str">
        <f>IFERROR(__xludf.DUMMYFUNCTION("""COMPUTED_VALUE"""),"RAMON CASTILLA MARQUEZADO")</f>
        <v>RAMON CASTILLA MARQUEZADO</v>
      </c>
      <c r="AF142" s="24" t="str">
        <f>IFERROR(__xludf.DUMMYFUNCTION("""COMPUTED_VALUE"""),"79. Huancavelica")</f>
        <v>79. Huancavelica</v>
      </c>
    </row>
    <row r="143">
      <c r="A143" s="25"/>
      <c r="AC143" s="42"/>
      <c r="AD143" s="24" t="str">
        <f>IFERROR(__xludf.DUMMYFUNCTION("""COMPUTED_VALUE"""),"60146 MORALILLO")</f>
        <v>60146 MORALILLO</v>
      </c>
      <c r="AE143" s="42" t="str">
        <f>IFERROR(__xludf.DUMMYFUNCTION("""COMPUTED_VALUE"""),"60136")</f>
        <v>60136</v>
      </c>
      <c r="AF143" s="24" t="str">
        <f>IFERROR(__xludf.DUMMYFUNCTION("""COMPUTED_VALUE"""),"47. Loreto")</f>
        <v>47. Loreto</v>
      </c>
    </row>
    <row r="144">
      <c r="A144" s="25"/>
      <c r="AC144" s="42"/>
      <c r="AD144" s="24" t="str">
        <f>IFERROR(__xludf.DUMMYFUNCTION("""COMPUTED_VALUE"""),"601514 EL DORADO")</f>
        <v>601514 EL DORADO</v>
      </c>
      <c r="AE144" s="42" t="str">
        <f>IFERROR(__xludf.DUMMYFUNCTION("""COMPUTED_VALUE"""),"601514")</f>
        <v>601514</v>
      </c>
      <c r="AF144" s="24" t="str">
        <f>IFERROR(__xludf.DUMMYFUNCTION("""COMPUTED_VALUE"""),"47. Loreto")</f>
        <v>47. Loreto</v>
      </c>
    </row>
    <row r="145">
      <c r="A145" s="25"/>
      <c r="AC145" s="42"/>
      <c r="AD145" s="42" t="str">
        <f>IFERROR(__xludf.DUMMYFUNCTION("""COMPUTED_VALUE"""),"50492 CORAZON DE JESUS")</f>
        <v>50492 CORAZON DE JESUS</v>
      </c>
      <c r="AE145" s="42" t="str">
        <f>IFERROR(__xludf.DUMMYFUNCTION("""COMPUTED_VALUE"""),"50492 CORAZON DE JESUS")</f>
        <v>50492 CORAZON DE JESUS</v>
      </c>
      <c r="AF145" s="24" t="str">
        <f>IFERROR(__xludf.DUMMYFUNCTION("""COMPUTED_VALUE"""),"44. Cusco")</f>
        <v>44. Cusco</v>
      </c>
    </row>
    <row r="146">
      <c r="A146" s="25"/>
      <c r="AC146" s="42"/>
      <c r="AD146" s="42" t="str">
        <f>IFERROR(__xludf.DUMMYFUNCTION("""COMPUTED_VALUE"""),"50495")</f>
        <v>50495</v>
      </c>
      <c r="AE146" s="42" t="str">
        <f>IFERROR(__xludf.DUMMYFUNCTION("""COMPUTED_VALUE"""),"50495")</f>
        <v>50495</v>
      </c>
      <c r="AF146" s="24" t="str">
        <f>IFERROR(__xludf.DUMMYFUNCTION("""COMPUTED_VALUE"""),"44. Cusco")</f>
        <v>44. Cusco</v>
      </c>
    </row>
    <row r="147">
      <c r="A147" s="25"/>
      <c r="AC147" s="42"/>
      <c r="AD147" s="42" t="str">
        <f>IFERROR(__xludf.DUMMYFUNCTION("""COMPUTED_VALUE"""),"50547")</f>
        <v>50547</v>
      </c>
      <c r="AE147" s="42" t="str">
        <f>IFERROR(__xludf.DUMMYFUNCTION("""COMPUTED_VALUE"""),"50547")</f>
        <v>50547</v>
      </c>
      <c r="AF147" s="24" t="str">
        <f>IFERROR(__xludf.DUMMYFUNCTION("""COMPUTED_VALUE"""),"44. Cusco")</f>
        <v>44. Cusco</v>
      </c>
    </row>
    <row r="148">
      <c r="A148" s="25"/>
      <c r="AC148" s="42"/>
      <c r="AD148" s="42" t="str">
        <f>IFERROR(__xludf.DUMMYFUNCTION("""COMPUTED_VALUE"""),"50550")</f>
        <v>50550</v>
      </c>
      <c r="AE148" s="42" t="str">
        <f>IFERROR(__xludf.DUMMYFUNCTION("""COMPUTED_VALUE"""),"50550")</f>
        <v>50550</v>
      </c>
      <c r="AF148" s="24" t="str">
        <f>IFERROR(__xludf.DUMMYFUNCTION("""COMPUTED_VALUE"""),"44. Cusco")</f>
        <v>44. Cusco</v>
      </c>
    </row>
    <row r="149">
      <c r="A149" s="25"/>
      <c r="AC149" s="42"/>
      <c r="AD149" s="42" t="str">
        <f>IFERROR(__xludf.DUMMYFUNCTION("""COMPUTED_VALUE"""),"50552 TUPAC AMARU II")</f>
        <v>50552 TUPAC AMARU II</v>
      </c>
      <c r="AE149" s="42" t="str">
        <f>IFERROR(__xludf.DUMMYFUNCTION("""COMPUTED_VALUE"""),"50552 TUPAC AMARU II")</f>
        <v>50552 TUPAC AMARU II</v>
      </c>
      <c r="AF149" s="24" t="str">
        <f>IFERROR(__xludf.DUMMYFUNCTION("""COMPUTED_VALUE"""),"44. Cusco")</f>
        <v>44. Cusco</v>
      </c>
    </row>
    <row r="150">
      <c r="A150" s="25"/>
      <c r="AC150" s="42"/>
      <c r="AD150" s="42" t="str">
        <f>IFERROR(__xludf.DUMMYFUNCTION("""COMPUTED_VALUE"""),"50553")</f>
        <v>50553</v>
      </c>
      <c r="AE150" s="42" t="str">
        <f>IFERROR(__xludf.DUMMYFUNCTION("""COMPUTED_VALUE"""),"50553")</f>
        <v>50553</v>
      </c>
      <c r="AF150" s="24" t="str">
        <f>IFERROR(__xludf.DUMMYFUNCTION("""COMPUTED_VALUE"""),"44. Cusco")</f>
        <v>44. Cusco</v>
      </c>
    </row>
    <row r="151">
      <c r="A151" s="25"/>
      <c r="AC151" s="42"/>
      <c r="AD151" s="42" t="str">
        <f>IFERROR(__xludf.DUMMYFUNCTION("""COMPUTED_VALUE"""),"50558")</f>
        <v>50558</v>
      </c>
      <c r="AE151" s="42" t="str">
        <f>IFERROR(__xludf.DUMMYFUNCTION("""COMPUTED_VALUE"""),"50558")</f>
        <v>50558</v>
      </c>
      <c r="AF151" s="24" t="str">
        <f>IFERROR(__xludf.DUMMYFUNCTION("""COMPUTED_VALUE"""),"44. Cusco")</f>
        <v>44. Cusco</v>
      </c>
    </row>
    <row r="152">
      <c r="A152" s="25"/>
      <c r="AC152" s="42"/>
      <c r="AD152" s="42" t="str">
        <f>IFERROR(__xludf.DUMMYFUNCTION("""COMPUTED_VALUE"""),"50715")</f>
        <v>50715</v>
      </c>
      <c r="AE152" s="42" t="str">
        <f>IFERROR(__xludf.DUMMYFUNCTION("""COMPUTED_VALUE"""),"50715")</f>
        <v>50715</v>
      </c>
      <c r="AF152" s="24" t="str">
        <f>IFERROR(__xludf.DUMMYFUNCTION("""COMPUTED_VALUE"""),"44. Cusco")</f>
        <v>44. Cusco</v>
      </c>
    </row>
    <row r="153">
      <c r="A153" s="25"/>
      <c r="AC153" s="42"/>
      <c r="AD153" s="42" t="str">
        <f>IFERROR(__xludf.DUMMYFUNCTION("""COMPUTED_VALUE"""),"50719 VIRGEN DEL CARMEN")</f>
        <v>50719 VIRGEN DEL CARMEN</v>
      </c>
      <c r="AE153" s="42" t="str">
        <f>IFERROR(__xludf.DUMMYFUNCTION("""COMPUTED_VALUE"""),"50719 VIRGEN DEL CARMEN")</f>
        <v>50719 VIRGEN DEL CARMEN</v>
      </c>
      <c r="AF153" s="24" t="str">
        <f>IFERROR(__xludf.DUMMYFUNCTION("""COMPUTED_VALUE"""),"44. Cusco")</f>
        <v>44. Cusco</v>
      </c>
    </row>
    <row r="154">
      <c r="A154" s="25"/>
      <c r="AC154" s="42"/>
      <c r="AD154" s="42" t="str">
        <f>IFERROR(__xludf.DUMMYFUNCTION("""COMPUTED_VALUE"""),"50765")</f>
        <v>50765</v>
      </c>
      <c r="AE154" s="42" t="str">
        <f>IFERROR(__xludf.DUMMYFUNCTION("""COMPUTED_VALUE"""),"50765")</f>
        <v>50765</v>
      </c>
      <c r="AF154" s="24" t="str">
        <f>IFERROR(__xludf.DUMMYFUNCTION("""COMPUTED_VALUE"""),"44. Cusco")</f>
        <v>44. Cusco</v>
      </c>
    </row>
    <row r="155">
      <c r="A155" s="25"/>
      <c r="AC155" s="42"/>
      <c r="AD155" s="42" t="str">
        <f>IFERROR(__xludf.DUMMYFUNCTION("""COMPUTED_VALUE"""),"50854")</f>
        <v>50854</v>
      </c>
      <c r="AE155" s="42" t="str">
        <f>IFERROR(__xludf.DUMMYFUNCTION("""COMPUTED_VALUE"""),"50854")</f>
        <v>50854</v>
      </c>
      <c r="AF155" s="24" t="str">
        <f>IFERROR(__xludf.DUMMYFUNCTION("""COMPUTED_VALUE"""),"44. Cusco")</f>
        <v>44. Cusco</v>
      </c>
    </row>
    <row r="156">
      <c r="A156" s="25"/>
      <c r="AC156" s="42"/>
      <c r="AD156" s="42" t="str">
        <f>IFERROR(__xludf.DUMMYFUNCTION("""COMPUTED_VALUE"""),"50977")</f>
        <v>50977</v>
      </c>
      <c r="AE156" s="42" t="str">
        <f>IFERROR(__xludf.DUMMYFUNCTION("""COMPUTED_VALUE"""),"50977")</f>
        <v>50977</v>
      </c>
      <c r="AF156" s="24" t="str">
        <f>IFERROR(__xludf.DUMMYFUNCTION("""COMPUTED_VALUE"""),"44. Cusco")</f>
        <v>44. Cusco</v>
      </c>
    </row>
    <row r="157">
      <c r="A157" s="25"/>
      <c r="AC157" s="42"/>
      <c r="AD157" s="42" t="str">
        <f>IFERROR(__xludf.DUMMYFUNCTION("""COMPUTED_VALUE"""),"501344")</f>
        <v>501344</v>
      </c>
      <c r="AE157" s="42" t="str">
        <f>IFERROR(__xludf.DUMMYFUNCTION("""COMPUTED_VALUE"""),"501344")</f>
        <v>501344</v>
      </c>
      <c r="AF157" s="24" t="str">
        <f>IFERROR(__xludf.DUMMYFUNCTION("""COMPUTED_VALUE"""),"44. Cusco")</f>
        <v>44. Cusco</v>
      </c>
    </row>
    <row r="158">
      <c r="A158" s="25"/>
      <c r="AC158" s="42"/>
      <c r="AD158" s="42" t="str">
        <f>IFERROR(__xludf.DUMMYFUNCTION("""COMPUTED_VALUE"""),"501432 PAPA FRANCISCO I")</f>
        <v>501432 PAPA FRANCISCO I</v>
      </c>
      <c r="AE158" s="42" t="str">
        <f>IFERROR(__xludf.DUMMYFUNCTION("""COMPUTED_VALUE"""),"501432 PAPA FRANCISCO I")</f>
        <v>501432 PAPA FRANCISCO I</v>
      </c>
      <c r="AF158" s="24" t="str">
        <f>IFERROR(__xludf.DUMMYFUNCTION("""COMPUTED_VALUE"""),"44. Cusco")</f>
        <v>44. Cusco</v>
      </c>
    </row>
    <row r="159">
      <c r="A159" s="25"/>
      <c r="AC159" s="42"/>
      <c r="AD159" s="42" t="str">
        <f>IFERROR(__xludf.DUMMYFUNCTION("""COMPUTED_VALUE"""),"501455 CRISTO REY TTIKARIY")</f>
        <v>501455 CRISTO REY TTIKARIY</v>
      </c>
      <c r="AE159" s="42" t="str">
        <f>IFERROR(__xludf.DUMMYFUNCTION("""COMPUTED_VALUE"""),"501455 CRISTO REY TTIKARIY")</f>
        <v>501455 CRISTO REY TTIKARIY</v>
      </c>
      <c r="AF159" s="24" t="str">
        <f>IFERROR(__xludf.DUMMYFUNCTION("""COMPUTED_VALUE"""),"44. Cusco")</f>
        <v>44. Cusco</v>
      </c>
    </row>
    <row r="160">
      <c r="A160" s="25"/>
      <c r="AC160" s="42"/>
      <c r="AD160" s="42" t="str">
        <f>IFERROR(__xludf.DUMMYFUNCTION("""COMPUTED_VALUE"""),"501532 Kumuncancha")</f>
        <v>501532 Kumuncancha</v>
      </c>
      <c r="AE160" s="42" t="str">
        <f>IFERROR(__xludf.DUMMYFUNCTION("""COMPUTED_VALUE"""),"501432 PAPA FRANCISCO I")</f>
        <v>501432 PAPA FRANCISCO I</v>
      </c>
      <c r="AF160" s="24" t="str">
        <f>IFERROR(__xludf.DUMMYFUNCTION("""COMPUTED_VALUE"""),"44. Cusco")</f>
        <v>44. Cusco</v>
      </c>
    </row>
    <row r="161">
      <c r="A161" s="25"/>
      <c r="AC161" s="42"/>
      <c r="AD161" s="42" t="str">
        <f>IFERROR(__xludf.DUMMYFUNCTION("""COMPUTED_VALUE"""),"VILLA ESTHER 64830")</f>
        <v>VILLA ESTHER 64830</v>
      </c>
      <c r="AE161" s="42" t="str">
        <f>IFERROR(__xludf.DUMMYFUNCTION("""COMPUTED_VALUE"""),"64829")</f>
        <v>64829</v>
      </c>
      <c r="AF161" s="24" t="str">
        <f>IFERROR(__xludf.DUMMYFUNCTION("""COMPUTED_VALUE"""),"72. Ucayali")</f>
        <v>72. Ucayali</v>
      </c>
    </row>
    <row r="162">
      <c r="A162" s="25"/>
      <c r="AC162" s="42"/>
      <c r="AD162" s="42" t="str">
        <f>IFERROR(__xludf.DUMMYFUNCTION("""COMPUTED_VALUE"""),"VILLA ESTHER 64836")</f>
        <v>VILLA ESTHER 64836</v>
      </c>
      <c r="AE162" s="42" t="str">
        <f>IFERROR(__xludf.DUMMYFUNCTION("""COMPUTED_VALUE"""),"64829")</f>
        <v>64829</v>
      </c>
      <c r="AF162" s="24" t="str">
        <f>IFERROR(__xludf.DUMMYFUNCTION("""COMPUTED_VALUE"""),"72. Ucayali")</f>
        <v>72. Ucayali</v>
      </c>
    </row>
    <row r="163">
      <c r="A163" s="25"/>
      <c r="AC163" s="42"/>
      <c r="AD163" s="42" t="str">
        <f>IFERROR(__xludf.DUMMYFUNCTION("""COMPUTED_VALUE"""),"VILLA ESTHER 64837")</f>
        <v>VILLA ESTHER 64837</v>
      </c>
      <c r="AE163" s="42" t="str">
        <f>IFERROR(__xludf.DUMMYFUNCTION("""COMPUTED_VALUE"""),"64829")</f>
        <v>64829</v>
      </c>
      <c r="AF163" s="24" t="str">
        <f>IFERROR(__xludf.DUMMYFUNCTION("""COMPUTED_VALUE"""),"72. Ucayali")</f>
        <v>72. Ucayali</v>
      </c>
    </row>
    <row r="164">
      <c r="A164" s="25"/>
      <c r="AC164" s="42"/>
      <c r="AD164" s="42" t="str">
        <f>IFERROR(__xludf.DUMMYFUNCTION("""COMPUTED_VALUE"""),"VILLA ESTHER 64838")</f>
        <v>VILLA ESTHER 64838</v>
      </c>
      <c r="AE164" s="42" t="str">
        <f>IFERROR(__xludf.DUMMYFUNCTION("""COMPUTED_VALUE"""),"64829")</f>
        <v>64829</v>
      </c>
      <c r="AF164" s="24" t="str">
        <f>IFERROR(__xludf.DUMMYFUNCTION("""COMPUTED_VALUE"""),"72. Ucayali")</f>
        <v>72. Ucayali</v>
      </c>
    </row>
    <row r="165">
      <c r="A165" s="25"/>
      <c r="AC165" s="42"/>
      <c r="AD165" s="42" t="str">
        <f>IFERROR(__xludf.DUMMYFUNCTION("""COMPUTED_VALUE"""),"VILLA ESTHER 64839")</f>
        <v>VILLA ESTHER 64839</v>
      </c>
      <c r="AE165" s="42" t="str">
        <f>IFERROR(__xludf.DUMMYFUNCTION("""COMPUTED_VALUE"""),"64829")</f>
        <v>64829</v>
      </c>
      <c r="AF165" s="24" t="str">
        <f>IFERROR(__xludf.DUMMYFUNCTION("""COMPUTED_VALUE"""),"72. Ucayali")</f>
        <v>72. Ucayali</v>
      </c>
    </row>
    <row r="166">
      <c r="A166" s="25"/>
      <c r="AC166" s="42"/>
      <c r="AD166" s="42" t="str">
        <f>IFERROR(__xludf.DUMMYFUNCTION("""COMPUTED_VALUE"""),"José Carlos Mariátegui")</f>
        <v>José Carlos Mariátegui</v>
      </c>
      <c r="AE166" s="42" t="str">
        <f>IFERROR(__xludf.DUMMYFUNCTION("""COMPUTED_VALUE"""),"JOSE CARLOS MARIATEGUI")</f>
        <v>JOSE CARLOS MARIATEGUI</v>
      </c>
      <c r="AF166" s="24" t="str">
        <f>IFERROR(__xludf.DUMMYFUNCTION("""COMPUTED_VALUE"""),"72. Ucayali")</f>
        <v>72. Ucayali</v>
      </c>
    </row>
    <row r="167">
      <c r="A167" s="25"/>
      <c r="AC167" s="42"/>
      <c r="AD167" s="42" t="str">
        <f>IFERROR(__xludf.DUMMYFUNCTION("""COMPUTED_VALUE"""),"RAMON CASTILLA MARQUESADO")</f>
        <v>RAMON CASTILLA MARQUESADO</v>
      </c>
      <c r="AE167" s="42" t="str">
        <f>IFERROR(__xludf.DUMMYFUNCTION("""COMPUTED_VALUE"""),"RAMON CASTILLA MARQUEZADO")</f>
        <v>RAMON CASTILLA MARQUEZADO</v>
      </c>
      <c r="AF167" s="24" t="str">
        <f>IFERROR(__xludf.DUMMYFUNCTION("""COMPUTED_VALUE"""),"79. Huancavelica")</f>
        <v>79. Huancavelica</v>
      </c>
    </row>
    <row r="168">
      <c r="A168" s="25"/>
      <c r="AC168" s="42"/>
      <c r="AD168" s="42" t="str">
        <f>IFERROR(__xludf.DUMMYFUNCTION("""COMPUTED_VALUE"""),"Ramón Castilla Marquezado")</f>
        <v>Ramón Castilla Marquezado</v>
      </c>
      <c r="AE168" s="42" t="str">
        <f>IFERROR(__xludf.DUMMYFUNCTION("""COMPUTED_VALUE"""),"RAMON CASTILLA MARQUEZADO")</f>
        <v>RAMON CASTILLA MARQUEZADO</v>
      </c>
      <c r="AF168" s="24" t="str">
        <f>IFERROR(__xludf.DUMMYFUNCTION("""COMPUTED_VALUE"""),"79. Huancavelica")</f>
        <v>79. Huancavelica</v>
      </c>
    </row>
    <row r="169">
      <c r="A169" s="25"/>
      <c r="AC169" s="42"/>
      <c r="AD169" s="42" t="str">
        <f>IFERROR(__xludf.DUMMYFUNCTION("""COMPUTED_VALUE"""),"SAGRADO CORAZON DE JESÚS")</f>
        <v>SAGRADO CORAZON DE JESÚS</v>
      </c>
      <c r="AE169" s="42" t="str">
        <f>IFERROR(__xludf.DUMMYFUNCTION("""COMPUTED_VALUE"""),"15374")</f>
        <v>15374</v>
      </c>
      <c r="AF169" s="24" t="str">
        <f>IFERROR(__xludf.DUMMYFUNCTION("""COMPUTED_VALUE"""),"48. Piura")</f>
        <v>48. Piura</v>
      </c>
    </row>
    <row r="170">
      <c r="A170" s="25"/>
      <c r="AC170" s="42"/>
      <c r="AD170" s="42" t="str">
        <f>IFERROR(__xludf.DUMMYFUNCTION("""COMPUTED_VALUE"""),"14144 SantaRosa-Palominos")</f>
        <v>14144 SantaRosa-Palominos</v>
      </c>
      <c r="AE170" s="42" t="str">
        <f>IFERROR(__xludf.DUMMYFUNCTION("""COMPUTED_VALUE"""),"14144 SANTA ROSA")</f>
        <v>14144 SANTA ROSA</v>
      </c>
      <c r="AF170" s="24" t="str">
        <f>IFERROR(__xludf.DUMMYFUNCTION("""COMPUTED_VALUE"""),"48. Piura")</f>
        <v>48. Piura</v>
      </c>
    </row>
    <row r="171">
      <c r="A171" s="25"/>
      <c r="AC171" s="42"/>
      <c r="AD171" s="24" t="str">
        <f>IFERROR(__xludf.DUMMYFUNCTION("""COMPUTED_VALUE"""),"I.E. N° 50765 SALLICANCHA")</f>
        <v>I.E. N° 50765 SALLICANCHA</v>
      </c>
      <c r="AE171" s="42" t="str">
        <f>IFERROR(__xludf.DUMMYFUNCTION("""COMPUTED_VALUE"""),"50765")</f>
        <v>50765</v>
      </c>
      <c r="AF171" s="24" t="str">
        <f>IFERROR(__xludf.DUMMYFUNCTION("""COMPUTED_VALUE"""),"44. Cusco")</f>
        <v>44. Cusco</v>
      </c>
    </row>
    <row r="172">
      <c r="A172" s="25"/>
      <c r="AC172" s="42"/>
      <c r="AD172" s="24" t="str">
        <f>IFERROR(__xludf.DUMMYFUNCTION("""COMPUTED_VALUE"""),"I.E. N° 50796 Yanacancha")</f>
        <v>I.E. N° 50796 Yanacancha</v>
      </c>
      <c r="AE172" s="42" t="str">
        <f>IFERROR(__xludf.DUMMYFUNCTION("""COMPUTED_VALUE"""),"50796")</f>
        <v>50796</v>
      </c>
      <c r="AF172" s="24" t="str">
        <f>IFERROR(__xludf.DUMMYFUNCTION("""COMPUTED_VALUE"""),"44. Cusco")</f>
        <v>44. Cusco</v>
      </c>
    </row>
    <row r="173">
      <c r="A173" s="25"/>
      <c r="AC173" s="42"/>
      <c r="AD173" s="42" t="str">
        <f>IFERROR(__xludf.DUMMYFUNCTION("""COMPUTED_VALUE"""),"IE. N° 50547 ACCOCUNCA")</f>
        <v>IE. N° 50547 ACCOCUNCA</v>
      </c>
      <c r="AE173" s="42" t="str">
        <f>IFERROR(__xludf.DUMMYFUNCTION("""COMPUTED_VALUE"""),"50547")</f>
        <v>50547</v>
      </c>
      <c r="AF173" s="24" t="str">
        <f>IFERROR(__xludf.DUMMYFUNCTION("""COMPUTED_VALUE"""),"44. Cusco")</f>
        <v>44. Cusco</v>
      </c>
    </row>
    <row r="174">
      <c r="A174" s="25"/>
      <c r="AC174" s="42"/>
      <c r="AD174" s="42" t="str">
        <f>IFERROR(__xludf.DUMMYFUNCTION("""COMPUTED_VALUE"""),"I.E. N° 50495 Ccapana")</f>
        <v>I.E. N° 50495 Ccapana</v>
      </c>
      <c r="AE174" s="42" t="str">
        <f>IFERROR(__xludf.DUMMYFUNCTION("""COMPUTED_VALUE"""),"50495")</f>
        <v>50495</v>
      </c>
      <c r="AF174" s="24" t="str">
        <f>IFERROR(__xludf.DUMMYFUNCTION("""COMPUTED_VALUE"""),"44. Cusco")</f>
        <v>44. Cusco</v>
      </c>
    </row>
    <row r="175">
      <c r="A175" s="25"/>
      <c r="AC175" s="42"/>
      <c r="AD175" s="42" t="str">
        <f>IFERROR(__xludf.DUMMYFUNCTION("""COMPUTED_VALUE"""),"501455")</f>
        <v>501455</v>
      </c>
      <c r="AE175" s="42" t="str">
        <f>IFERROR(__xludf.DUMMYFUNCTION("""COMPUTED_VALUE"""),"501455 CRISTO REY TTIKARIY")</f>
        <v>501455 CRISTO REY TTIKARIY</v>
      </c>
      <c r="AF175" s="24" t="str">
        <f>IFERROR(__xludf.DUMMYFUNCTION("""COMPUTED_VALUE"""),"44. Cusco")</f>
        <v>44. Cusco</v>
      </c>
    </row>
    <row r="176">
      <c r="A176" s="25"/>
      <c r="AC176" s="42"/>
      <c r="AD176" s="42" t="str">
        <f>IFERROR(__xludf.DUMMYFUNCTION("""COMPUTED_VALUE"""),"IE. N° 501532 Kumuncancha")</f>
        <v>IE. N° 501532 Kumuncancha</v>
      </c>
      <c r="AE176" s="42" t="str">
        <f>IFERROR(__xludf.DUMMYFUNCTION("""COMPUTED_VALUE"""),"501432 PAPA FRANCISCO I")</f>
        <v>501432 PAPA FRANCISCO I</v>
      </c>
      <c r="AF176" s="24" t="str">
        <f>IFERROR(__xludf.DUMMYFUNCTION("""COMPUTED_VALUE"""),"44. Cusco")</f>
        <v>44. Cusco</v>
      </c>
    </row>
    <row r="177">
      <c r="A177" s="25"/>
      <c r="AC177" s="42"/>
      <c r="AD177" s="42" t="str">
        <f>IFERROR(__xludf.DUMMYFUNCTION("""COMPUTED_VALUE"""),"LLACHI1")</f>
        <v>LLACHI1</v>
      </c>
      <c r="AE177" s="42" t="str">
        <f>IFERROR(__xludf.DUMMYFUNCTION("""COMPUTED_VALUE"""),"50715")</f>
        <v>50715</v>
      </c>
      <c r="AF177" s="24" t="str">
        <f>IFERROR(__xludf.DUMMYFUNCTION("""COMPUTED_VALUE"""),"44. Cusco")</f>
        <v>44. Cusco</v>
      </c>
    </row>
    <row r="178">
      <c r="A178" s="25"/>
      <c r="AC178" s="42"/>
      <c r="AD178" s="42" t="str">
        <f>IFERROR(__xludf.DUMMYFUNCTION("""COMPUTED_VALUE"""),"I.E. N° 50492 CORAZON DE JESUS OCONGATE")</f>
        <v>I.E. N° 50492 CORAZON DE JESUS OCONGATE</v>
      </c>
      <c r="AE178" s="42" t="str">
        <f>IFERROR(__xludf.DUMMYFUNCTION("""COMPUTED_VALUE"""),"50492 CORAZON DE JESUS")</f>
        <v>50492 CORAZON DE JESUS</v>
      </c>
      <c r="AF178" s="24" t="str">
        <f>IFERROR(__xludf.DUMMYFUNCTION("""COMPUTED_VALUE"""),"44. Cusco")</f>
        <v>44. Cusco</v>
      </c>
    </row>
    <row r="179">
      <c r="A179" s="25"/>
      <c r="AC179" s="42"/>
      <c r="AD179" s="42" t="str">
        <f>IFERROR(__xludf.DUMMYFUNCTION("""COMPUTED_VALUE"""),"Accocunca Nº 50547")</f>
        <v>Accocunca Nº 50547</v>
      </c>
      <c r="AE179" s="42" t="str">
        <f>IFERROR(__xludf.DUMMYFUNCTION("""COMPUTED_VALUE"""),"50547")</f>
        <v>50547</v>
      </c>
      <c r="AF179" s="24" t="str">
        <f>IFERROR(__xludf.DUMMYFUNCTION("""COMPUTED_VALUE"""),"44. Cusco")</f>
        <v>44. Cusco</v>
      </c>
    </row>
    <row r="180">
      <c r="A180" s="25"/>
      <c r="AC180" s="42"/>
      <c r="AD180" s="42" t="str">
        <f>IFERROR(__xludf.DUMMYFUNCTION("""COMPUTED_VALUE"""),"Andamayo Nº 50977")</f>
        <v>Andamayo Nº 50977</v>
      </c>
      <c r="AE180" s="42" t="str">
        <f>IFERROR(__xludf.DUMMYFUNCTION("""COMPUTED_VALUE"""),"50977")</f>
        <v>50977</v>
      </c>
      <c r="AF180" s="24" t="str">
        <f>IFERROR(__xludf.DUMMYFUNCTION("""COMPUTED_VALUE"""),"44. Cusco")</f>
        <v>44. Cusco</v>
      </c>
    </row>
    <row r="181">
      <c r="A181" s="25"/>
      <c r="AC181" s="42"/>
      <c r="AD181" s="42" t="str">
        <f>IFERROR(__xludf.DUMMYFUNCTION("""COMPUTED_VALUE"""),"Ccasapata Nº 501344")</f>
        <v>Ccasapata Nº 501344</v>
      </c>
      <c r="AE181" s="42" t="str">
        <f>IFERROR(__xludf.DUMMYFUNCTION("""COMPUTED_VALUE"""),"501344")</f>
        <v>501344</v>
      </c>
      <c r="AF181" s="24" t="str">
        <f>IFERROR(__xludf.DUMMYFUNCTION("""COMPUTED_VALUE"""),"44. Cusco")</f>
        <v>44. Cusco</v>
      </c>
    </row>
    <row r="182">
      <c r="A182" s="25"/>
      <c r="AC182" s="42"/>
      <c r="AD182" s="42" t="str">
        <f>IFERROR(__xludf.DUMMYFUNCTION("""COMPUTED_VALUE"""),"Ccapana Nº 50495")</f>
        <v>Ccapana Nº 50495</v>
      </c>
      <c r="AE182" s="42" t="str">
        <f>IFERROR(__xludf.DUMMYFUNCTION("""COMPUTED_VALUE"""),"50495")</f>
        <v>50495</v>
      </c>
      <c r="AF182" s="24" t="str">
        <f>IFERROR(__xludf.DUMMYFUNCTION("""COMPUTED_VALUE"""),"44. Cusco")</f>
        <v>44. Cusco</v>
      </c>
    </row>
    <row r="183">
      <c r="A183" s="25"/>
      <c r="AC183" s="42"/>
      <c r="AD183" s="42" t="str">
        <f>IFERROR(__xludf.DUMMYFUNCTION("""COMPUTED_VALUE"""),"Ccoñamuro Nº 50536")</f>
        <v>Ccoñamuro Nº 50536</v>
      </c>
      <c r="AE183" s="42" t="str">
        <f>IFERROR(__xludf.DUMMYFUNCTION("""COMPUTED_VALUE"""),"50536")</f>
        <v>50536</v>
      </c>
      <c r="AF183" s="24" t="str">
        <f>IFERROR(__xludf.DUMMYFUNCTION("""COMPUTED_VALUE"""),"44. Cusco")</f>
        <v>44. Cusco</v>
      </c>
    </row>
    <row r="184">
      <c r="A184" s="25"/>
      <c r="AC184" s="42"/>
      <c r="AD184" s="42" t="str">
        <f>IFERROR(__xludf.DUMMYFUNCTION("""COMPUTED_VALUE"""),"Cuyuni Nº 50912")</f>
        <v>Cuyuni Nº 50912</v>
      </c>
      <c r="AE184" s="42" t="str">
        <f>IFERROR(__xludf.DUMMYFUNCTION("""COMPUTED_VALUE"""),"50912")</f>
        <v>50912</v>
      </c>
      <c r="AF184" s="24" t="str">
        <f>IFERROR(__xludf.DUMMYFUNCTION("""COMPUTED_VALUE"""),"44. Cusco")</f>
        <v>44. Cusco</v>
      </c>
    </row>
    <row r="185">
      <c r="A185" s="25"/>
      <c r="AC185" s="42"/>
      <c r="AD185" s="42" t="str">
        <f>IFERROR(__xludf.DUMMYFUNCTION("""COMPUTED_VALUE"""),"Huacatinco Nº 50552")</f>
        <v>Huacatinco Nº 50552</v>
      </c>
      <c r="AE185" s="42" t="str">
        <f>IFERROR(__xludf.DUMMYFUNCTION("""COMPUTED_VALUE"""),"50552 TUPAC AMARU II")</f>
        <v>50552 TUPAC AMARU II</v>
      </c>
      <c r="AF185" s="24" t="str">
        <f>IFERROR(__xludf.DUMMYFUNCTION("""COMPUTED_VALUE"""),"44. Cusco")</f>
        <v>44. Cusco</v>
      </c>
    </row>
    <row r="186">
      <c r="A186" s="25"/>
      <c r="AC186" s="42"/>
      <c r="AD186" s="42" t="str">
        <f>IFERROR(__xludf.DUMMYFUNCTION("""COMPUTED_VALUE"""),"Huarahuara Nº 50535")</f>
        <v>Huarahuara Nº 50535</v>
      </c>
      <c r="AE186" s="42" t="str">
        <f>IFERROR(__xludf.DUMMYFUNCTION("""COMPUTED_VALUE"""),"50535")</f>
        <v>50535</v>
      </c>
      <c r="AF186" s="24" t="str">
        <f>IFERROR(__xludf.DUMMYFUNCTION("""COMPUTED_VALUE"""),"44. Cusco")</f>
        <v>44. Cusco</v>
      </c>
    </row>
    <row r="187">
      <c r="A187" s="25"/>
      <c r="AC187" s="42"/>
      <c r="AD187" s="42" t="str">
        <f>IFERROR(__xludf.DUMMYFUNCTION("""COMPUTED_VALUE"""),"Lloqueta Nº 50976")</f>
        <v>Lloqueta Nº 50976</v>
      </c>
      <c r="AE187" s="42" t="str">
        <f>IFERROR(__xludf.DUMMYFUNCTION("""COMPUTED_VALUE"""),"50976")</f>
        <v>50976</v>
      </c>
      <c r="AF187" s="24" t="str">
        <f>IFERROR(__xludf.DUMMYFUNCTION("""COMPUTED_VALUE"""),"44. Cusco")</f>
        <v>44. Cusco</v>
      </c>
    </row>
    <row r="188">
      <c r="A188" s="25"/>
      <c r="AC188" s="42"/>
      <c r="AD188" s="42" t="str">
        <f>IFERROR(__xludf.DUMMYFUNCTION("""COMPUTED_VALUE"""),"Llachi Nº 50715")</f>
        <v>Llachi Nº 50715</v>
      </c>
      <c r="AE188" s="42" t="str">
        <f>IFERROR(__xludf.DUMMYFUNCTION("""COMPUTED_VALUE"""),"50715")</f>
        <v>50715</v>
      </c>
      <c r="AF188" s="24" t="str">
        <f>IFERROR(__xludf.DUMMYFUNCTION("""COMPUTED_VALUE"""),"44. Cusco")</f>
        <v>44. Cusco</v>
      </c>
    </row>
    <row r="189">
      <c r="A189" s="25"/>
      <c r="AC189" s="42"/>
      <c r="AD189" s="42" t="str">
        <f>IFERROR(__xludf.DUMMYFUNCTION("""COMPUTED_VALUE"""),"Kumuncancha N° 501432")</f>
        <v>Kumuncancha N° 501432</v>
      </c>
      <c r="AE189" s="42" t="str">
        <f>IFERROR(__xludf.DUMMYFUNCTION("""COMPUTED_VALUE"""),"501432 PAPA FRANCISCO I")</f>
        <v>501432 PAPA FRANCISCO I</v>
      </c>
      <c r="AF189" s="24" t="str">
        <f>IFERROR(__xludf.DUMMYFUNCTION("""COMPUTED_VALUE"""),"44. Cusco")</f>
        <v>44. Cusco</v>
      </c>
    </row>
    <row r="190">
      <c r="A190" s="25"/>
      <c r="AC190" s="42"/>
      <c r="AD190" s="42" t="str">
        <f>IFERROR(__xludf.DUMMYFUNCTION("""COMPUTED_VALUE"""),"Marampaqui Nº 50553")</f>
        <v>Marampaqui Nº 50553</v>
      </c>
      <c r="AE190" s="42" t="str">
        <f>IFERROR(__xludf.DUMMYFUNCTION("""COMPUTED_VALUE"""),"50553")</f>
        <v>50553</v>
      </c>
      <c r="AF190" s="24" t="str">
        <f>IFERROR(__xludf.DUMMYFUNCTION("""COMPUTED_VALUE"""),"44. Cusco")</f>
        <v>44. Cusco</v>
      </c>
    </row>
    <row r="191">
      <c r="A191" s="25"/>
      <c r="AC191" s="42"/>
      <c r="AD191" s="42" t="str">
        <f>IFERROR(__xludf.DUMMYFUNCTION("""COMPUTED_VALUE"""),"Ocongate – Corazón de Jesús")</f>
        <v>Ocongate – Corazón de Jesús</v>
      </c>
      <c r="AE191" s="42" t="str">
        <f>IFERROR(__xludf.DUMMYFUNCTION("""COMPUTED_VALUE"""),"50492 CORAZON DE JESUS")</f>
        <v>50492 CORAZON DE JESUS</v>
      </c>
      <c r="AF191" s="24" t="str">
        <f>IFERROR(__xludf.DUMMYFUNCTION("""COMPUTED_VALUE"""),"44. Cusco")</f>
        <v>44. Cusco</v>
      </c>
    </row>
    <row r="192">
      <c r="A192" s="25"/>
      <c r="AC192" s="42"/>
      <c r="AD192" s="42" t="str">
        <f>IFERROR(__xludf.DUMMYFUNCTION("""COMPUTED_VALUE"""),"Pacchanta Baja N° 501455")</f>
        <v>Pacchanta Baja N° 501455</v>
      </c>
      <c r="AE192" s="42" t="str">
        <f>IFERROR(__xludf.DUMMYFUNCTION("""COMPUTED_VALUE"""),"501455 CRISTO REY TTIKARIY")</f>
        <v>501455 CRISTO REY TTIKARIY</v>
      </c>
      <c r="AF192" s="24" t="str">
        <f>IFERROR(__xludf.DUMMYFUNCTION("""COMPUTED_VALUE"""),"44. Cusco")</f>
        <v>44. Cusco</v>
      </c>
    </row>
    <row r="193">
      <c r="A193" s="25"/>
      <c r="AC193" s="42"/>
      <c r="AD193" s="42" t="str">
        <f>IFERROR(__xludf.DUMMYFUNCTION("""COMPUTED_VALUE"""),"Pampacancha Nº 50550")</f>
        <v>Pampacancha Nº 50550</v>
      </c>
      <c r="AE193" s="42" t="str">
        <f>IFERROR(__xludf.DUMMYFUNCTION("""COMPUTED_VALUE"""),"50550")</f>
        <v>50550</v>
      </c>
      <c r="AF193" s="24" t="str">
        <f>IFERROR(__xludf.DUMMYFUNCTION("""COMPUTED_VALUE"""),"44. Cusco")</f>
        <v>44. Cusco</v>
      </c>
    </row>
    <row r="194">
      <c r="A194" s="25"/>
      <c r="AC194" s="42"/>
      <c r="AD194" s="42" t="str">
        <f>IFERROR(__xludf.DUMMYFUNCTION("""COMPUTED_VALUE"""),"Parccocalla N° 50558")</f>
        <v>Parccocalla N° 50558</v>
      </c>
      <c r="AE194" s="42" t="str">
        <f>IFERROR(__xludf.DUMMYFUNCTION("""COMPUTED_VALUE"""),"50558")</f>
        <v>50558</v>
      </c>
      <c r="AF194" s="24" t="str">
        <f>IFERROR(__xludf.DUMMYFUNCTION("""COMPUTED_VALUE"""),"44. Cusco")</f>
        <v>44. Cusco</v>
      </c>
    </row>
    <row r="195">
      <c r="A195" s="25"/>
      <c r="AC195" s="42"/>
      <c r="AD195" s="42" t="str">
        <f>IFERROR(__xludf.DUMMYFUNCTION("""COMPUTED_VALUE"""),"Patapallpa Alto Nº 50854")</f>
        <v>Patapallpa Alto Nº 50854</v>
      </c>
      <c r="AE195" s="42" t="str">
        <f>IFERROR(__xludf.DUMMYFUNCTION("""COMPUTED_VALUE"""),"50854")</f>
        <v>50854</v>
      </c>
      <c r="AF195" s="24" t="str">
        <f>IFERROR(__xludf.DUMMYFUNCTION("""COMPUTED_VALUE"""),"44. Cusco")</f>
        <v>44. Cusco</v>
      </c>
    </row>
    <row r="196">
      <c r="A196" s="25"/>
      <c r="AC196" s="42"/>
      <c r="AD196" s="42" t="str">
        <f>IFERROR(__xludf.DUMMYFUNCTION("""COMPUTED_VALUE"""),"Sallicancha Nº 50765")</f>
        <v>Sallicancha Nº 50765</v>
      </c>
      <c r="AE196" s="42" t="str">
        <f>IFERROR(__xludf.DUMMYFUNCTION("""COMPUTED_VALUE"""),"50765")</f>
        <v>50765</v>
      </c>
      <c r="AF196" s="24" t="str">
        <f>IFERROR(__xludf.DUMMYFUNCTION("""COMPUTED_VALUE"""),"44. Cusco")</f>
        <v>44. Cusco</v>
      </c>
    </row>
    <row r="197">
      <c r="A197" s="25"/>
      <c r="AC197" s="42"/>
      <c r="AD197" s="42" t="str">
        <f>IFERROR(__xludf.DUMMYFUNCTION("""COMPUTED_VALUE"""),"TINKE N° 50719")</f>
        <v>TINKE N° 50719</v>
      </c>
      <c r="AE197" s="42" t="str">
        <f>IFERROR(__xludf.DUMMYFUNCTION("""COMPUTED_VALUE"""),"50719 VIRGEN DEL CARMEN")</f>
        <v>50719 VIRGEN DEL CARMEN</v>
      </c>
      <c r="AF197" s="24" t="str">
        <f>IFERROR(__xludf.DUMMYFUNCTION("""COMPUTED_VALUE"""),"44. Cusco")</f>
        <v>44. Cusco</v>
      </c>
    </row>
    <row r="198">
      <c r="A198" s="25"/>
      <c r="AC198" s="42"/>
      <c r="AD198" s="42" t="str">
        <f>IFERROR(__xludf.DUMMYFUNCTION("""COMPUTED_VALUE"""),"Umuto N° 50504")</f>
        <v>Umuto N° 50504</v>
      </c>
      <c r="AE198" s="42" t="str">
        <f>IFERROR(__xludf.DUMMYFUNCTION("""COMPUTED_VALUE"""),"50504")</f>
        <v>50504</v>
      </c>
      <c r="AF198" s="24" t="str">
        <f>IFERROR(__xludf.DUMMYFUNCTION("""COMPUTED_VALUE"""),"44. Cusco")</f>
        <v>44. Cusco</v>
      </c>
    </row>
    <row r="199">
      <c r="A199" s="25"/>
      <c r="AC199" s="42"/>
      <c r="AD199" s="42" t="str">
        <f>IFERROR(__xludf.DUMMYFUNCTION("""COMPUTED_VALUE"""),"Yanacancha Nº 50796")</f>
        <v>Yanacancha Nº 50796</v>
      </c>
      <c r="AE199" s="42" t="str">
        <f>IFERROR(__xludf.DUMMYFUNCTION("""COMPUTED_VALUE"""),"50796")</f>
        <v>50796</v>
      </c>
      <c r="AF199" s="24" t="str">
        <f>IFERROR(__xludf.DUMMYFUNCTION("""COMPUTED_VALUE"""),"44. Cusco")</f>
        <v>44. Cusco</v>
      </c>
    </row>
    <row r="200">
      <c r="A200" s="25"/>
      <c r="AC200" s="42"/>
      <c r="AD200" s="42" t="str">
        <f>IFERROR(__xludf.DUMMYFUNCTION("""COMPUTED_VALUE"""),"Parcocalla Sec. Almirante Miguel Grau")</f>
        <v>Parcocalla Sec. Almirante Miguel Grau</v>
      </c>
      <c r="AE200" s="42" t="str">
        <f>IFERROR(__xludf.DUMMYFUNCTION("""COMPUTED_VALUE"""),"ALMIRANTE MIGUEL GRAU SEMINARIO")</f>
        <v>ALMIRANTE MIGUEL GRAU SEMINARIO</v>
      </c>
      <c r="AF200" s="24" t="str">
        <f>IFERROR(__xludf.DUMMYFUNCTION("""COMPUTED_VALUE"""),"44. Cusco")</f>
        <v>44. Cusco</v>
      </c>
    </row>
    <row r="201">
      <c r="A201" s="25"/>
      <c r="AC201" s="42"/>
      <c r="AD201" s="42" t="str">
        <f>IFERROR(__xludf.DUMMYFUNCTION("""COMPUTED_VALUE"""),"Ccoya Sec. Los Rittis del Alto Andino")</f>
        <v>Ccoya Sec. Los Rittis del Alto Andino</v>
      </c>
      <c r="AE201" s="42" t="str">
        <f>IFERROR(__xludf.DUMMYFUNCTION("""COMPUTED_VALUE"""),"1457365 LOS RIT'S DEL ALTO ANDINO")</f>
        <v>1457365 LOS RIT'S DEL ALTO ANDINO</v>
      </c>
      <c r="AF201" s="24" t="str">
        <f>IFERROR(__xludf.DUMMYFUNCTION("""COMPUTED_VALUE"""),"44. Cusco")</f>
        <v>44. Cusco</v>
      </c>
    </row>
    <row r="202">
      <c r="A202" s="25"/>
      <c r="AC202" s="42"/>
      <c r="AD202" s="42" t="str">
        <f>IFERROR(__xludf.DUMMYFUNCTION("""COMPUTED_VALUE"""),"Kumuncancha Sec. 501432 Papa Francisco I")</f>
        <v>Kumuncancha Sec. 501432 Papa Francisco I</v>
      </c>
      <c r="AE202" s="42" t="str">
        <f>IFERROR(__xludf.DUMMYFUNCTION("""COMPUTED_VALUE"""),"501432 PAPA FRANCISCO I")</f>
        <v>501432 PAPA FRANCISCO I</v>
      </c>
      <c r="AF202" s="24" t="str">
        <f>IFERROR(__xludf.DUMMYFUNCTION("""COMPUTED_VALUE"""),"44. Cusco")</f>
        <v>44. Cusco</v>
      </c>
    </row>
    <row r="203">
      <c r="A203" s="25"/>
      <c r="AC203" s="42"/>
      <c r="AD203" s="24" t="str">
        <f>IFERROR(__xludf.DUMMYFUNCTION("""COMPUTED_VALUE"""),"501344 Ccasapata")</f>
        <v>501344 Ccasapata</v>
      </c>
      <c r="AE203" s="42" t="str">
        <f>IFERROR(__xludf.DUMMYFUNCTION("""COMPUTED_VALUE"""),"501344")</f>
        <v>501344</v>
      </c>
      <c r="AF203" s="42" t="str">
        <f>IFERROR(__xludf.DUMMYFUNCTION("""COMPUTED_VALUE"""),"44. Cusco")</f>
        <v>44. Cusco</v>
      </c>
    </row>
    <row r="204">
      <c r="A204" s="25"/>
      <c r="AC204" s="42"/>
      <c r="AD204" s="24" t="str">
        <f>IFERROR(__xludf.DUMMYFUNCTION("""COMPUTED_VALUE"""),"501455 Cristo Rey Ttikariy- Pacchanta Baja")</f>
        <v>501455 Cristo Rey Ttikariy- Pacchanta Baja</v>
      </c>
      <c r="AE204" s="42" t="str">
        <f>IFERROR(__xludf.DUMMYFUNCTION("""COMPUTED_VALUE"""),"501455 CRISTO REY TTIKARIY")</f>
        <v>501455 CRISTO REY TTIKARIY</v>
      </c>
      <c r="AF204" s="42" t="str">
        <f>IFERROR(__xludf.DUMMYFUNCTION("""COMPUTED_VALUE"""),"44. Cusco")</f>
        <v>44. Cusco</v>
      </c>
    </row>
    <row r="205">
      <c r="A205" s="25"/>
      <c r="AC205" s="42"/>
      <c r="AD205" s="24" t="str">
        <f>IFERROR(__xludf.DUMMYFUNCTION("""COMPUTED_VALUE"""),"50492 ""Corazón de Jesús"" Ocongate")</f>
        <v>50492 "Corazón de Jesús" Ocongate</v>
      </c>
      <c r="AE205" s="42" t="str">
        <f>IFERROR(__xludf.DUMMYFUNCTION("""COMPUTED_VALUE"""),"50492 CORAZON DE JESUS")</f>
        <v>50492 CORAZON DE JESUS</v>
      </c>
      <c r="AF205" s="42" t="str">
        <f>IFERROR(__xludf.DUMMYFUNCTION("""COMPUTED_VALUE"""),"44. Cusco")</f>
        <v>44. Cusco</v>
      </c>
    </row>
    <row r="206">
      <c r="A206" s="25"/>
      <c r="AC206" s="42"/>
      <c r="AD206" s="24" t="str">
        <f>IFERROR(__xludf.DUMMYFUNCTION("""COMPUTED_VALUE"""),"50552 Tupac Amaru II - Huacatinco")</f>
        <v>50552 Tupac Amaru II - Huacatinco</v>
      </c>
      <c r="AE206" s="42" t="str">
        <f>IFERROR(__xludf.DUMMYFUNCTION("""COMPUTED_VALUE"""),"50552 TUPAC AMARU II")</f>
        <v>50552 TUPAC AMARU II</v>
      </c>
      <c r="AF206" s="42" t="str">
        <f>IFERROR(__xludf.DUMMYFUNCTION("""COMPUTED_VALUE"""),"44. Cusco")</f>
        <v>44. Cusco</v>
      </c>
    </row>
    <row r="207">
      <c r="A207" s="25"/>
      <c r="AC207" s="42"/>
      <c r="AD207" s="24" t="str">
        <f>IFERROR(__xludf.DUMMYFUNCTION("""COMPUTED_VALUE"""),"50719 Virgen del Carmen de Tinke")</f>
        <v>50719 Virgen del Carmen de Tinke</v>
      </c>
      <c r="AE207" s="42" t="str">
        <f>IFERROR(__xludf.DUMMYFUNCTION("""COMPUTED_VALUE"""),"50719 VIRGEN DEL CARMEN")</f>
        <v>50719 VIRGEN DEL CARMEN</v>
      </c>
      <c r="AF207" s="42" t="str">
        <f>IFERROR(__xludf.DUMMYFUNCTION("""COMPUTED_VALUE"""),"44. Cusco")</f>
        <v>44. Cusco</v>
      </c>
    </row>
    <row r="208">
      <c r="A208" s="25"/>
      <c r="AC208" s="42"/>
      <c r="AD208" s="24" t="str">
        <f>IFERROR(__xludf.DUMMYFUNCTION("""COMPUTED_VALUE"""),"50854 Patapallpa Alta")</f>
        <v>50854 Patapallpa Alta</v>
      </c>
      <c r="AE208" s="42" t="str">
        <f>IFERROR(__xludf.DUMMYFUNCTION("""COMPUTED_VALUE"""),"50854")</f>
        <v>50854</v>
      </c>
      <c r="AF208" s="42" t="str">
        <f>IFERROR(__xludf.DUMMYFUNCTION("""COMPUTED_VALUE"""),"44. Cusco")</f>
        <v>44. Cusco</v>
      </c>
    </row>
    <row r="209">
      <c r="A209" s="25"/>
      <c r="AC209" s="42"/>
      <c r="AD209" s="42" t="str">
        <f>IFERROR(__xludf.DUMMYFUNCTION("""COMPUTED_VALUE"""),"50715 Llachi")</f>
        <v>50715 Llachi</v>
      </c>
      <c r="AE209" s="42" t="str">
        <f>IFERROR(__xludf.DUMMYFUNCTION("""COMPUTED_VALUE"""),"50715")</f>
        <v>50715</v>
      </c>
      <c r="AF209" s="42" t="str">
        <f>IFERROR(__xludf.DUMMYFUNCTION("""COMPUTED_VALUE"""),"44. Cusco")</f>
        <v>44. Cusco</v>
      </c>
    </row>
    <row r="210">
      <c r="A210" s="25"/>
      <c r="AC210" s="42"/>
      <c r="AD210" s="42" t="str">
        <f>IFERROR(__xludf.DUMMYFUNCTION("""COMPUTED_VALUE"""),"50765 Sallicancha")</f>
        <v>50765 Sallicancha</v>
      </c>
      <c r="AE210" s="42" t="str">
        <f>IFERROR(__xludf.DUMMYFUNCTION("""COMPUTED_VALUE"""),"50765")</f>
        <v>50765</v>
      </c>
      <c r="AF210" s="42" t="str">
        <f>IFERROR(__xludf.DUMMYFUNCTION("""COMPUTED_VALUE"""),"44. Cusco")</f>
        <v>44. Cusco</v>
      </c>
    </row>
    <row r="211">
      <c r="A211" s="25"/>
      <c r="AC211" s="42"/>
      <c r="AD211" s="42" t="str">
        <f>IFERROR(__xludf.DUMMYFUNCTION("""COMPUTED_VALUE"""),"50796 Yanacancha")</f>
        <v>50796 Yanacancha</v>
      </c>
      <c r="AE211" s="42" t="str">
        <f>IFERROR(__xludf.DUMMYFUNCTION("""COMPUTED_VALUE"""),"50796")</f>
        <v>50796</v>
      </c>
      <c r="AF211" s="42" t="str">
        <f>IFERROR(__xludf.DUMMYFUNCTION("""COMPUTED_VALUE"""),"44. Cusco")</f>
        <v>44. Cusco</v>
      </c>
    </row>
    <row r="212">
      <c r="A212" s="25"/>
      <c r="AC212" s="42"/>
      <c r="AD212" s="42" t="str">
        <f>IFERROR(__xludf.DUMMYFUNCTION("""COMPUTED_VALUE"""),"50495 Ccapana ")</f>
        <v>50495 Ccapana </v>
      </c>
      <c r="AE212" s="42" t="str">
        <f>IFERROR(__xludf.DUMMYFUNCTION("""COMPUTED_VALUE"""),"50495")</f>
        <v>50495</v>
      </c>
      <c r="AF212" s="42" t="str">
        <f>IFERROR(__xludf.DUMMYFUNCTION("""COMPUTED_VALUE"""),"44. Cusco")</f>
        <v>44. Cusco</v>
      </c>
    </row>
    <row r="213">
      <c r="A213" s="25"/>
      <c r="AC213" s="42"/>
      <c r="AD213" s="42" t="str">
        <f>IFERROR(__xludf.DUMMYFUNCTION("""COMPUTED_VALUE"""),"50504 Umuto")</f>
        <v>50504 Umuto</v>
      </c>
      <c r="AE213" s="42" t="str">
        <f>IFERROR(__xludf.DUMMYFUNCTION("""COMPUTED_VALUE"""),"50504")</f>
        <v>50504</v>
      </c>
      <c r="AF213" s="42" t="str">
        <f>IFERROR(__xludf.DUMMYFUNCTION("""COMPUTED_VALUE"""),"44. Cusco")</f>
        <v>44. Cusco</v>
      </c>
    </row>
    <row r="214">
      <c r="A214" s="25"/>
      <c r="AC214" s="42"/>
      <c r="AD214" s="42" t="str">
        <f>IFERROR(__xludf.DUMMYFUNCTION("""COMPUTED_VALUE"""),"50535 Huarahuara")</f>
        <v>50535 Huarahuara</v>
      </c>
      <c r="AE214" s="42" t="str">
        <f>IFERROR(__xludf.DUMMYFUNCTION("""COMPUTED_VALUE"""),"50535")</f>
        <v>50535</v>
      </c>
      <c r="AF214" s="42" t="str">
        <f>IFERROR(__xludf.DUMMYFUNCTION("""COMPUTED_VALUE"""),"44. Cusco")</f>
        <v>44. Cusco</v>
      </c>
    </row>
    <row r="215">
      <c r="A215" s="25"/>
      <c r="AC215" s="42"/>
      <c r="AD215" s="42" t="str">
        <f>IFERROR(__xludf.DUMMYFUNCTION("""COMPUTED_VALUE"""),"50536 Ccoñamuro")</f>
        <v>50536 Ccoñamuro</v>
      </c>
      <c r="AE215" s="42" t="str">
        <f>IFERROR(__xludf.DUMMYFUNCTION("""COMPUTED_VALUE"""),"50536")</f>
        <v>50536</v>
      </c>
      <c r="AF215" s="42" t="str">
        <f>IFERROR(__xludf.DUMMYFUNCTION("""COMPUTED_VALUE"""),"44. Cusco")</f>
        <v>44. Cusco</v>
      </c>
    </row>
    <row r="216">
      <c r="A216" s="25"/>
      <c r="AC216" s="42"/>
      <c r="AD216" s="42" t="str">
        <f>IFERROR(__xludf.DUMMYFUNCTION("""COMPUTED_VALUE"""),"50553 Marampaqui ")</f>
        <v>50553 Marampaqui </v>
      </c>
      <c r="AE216" s="42" t="str">
        <f>IFERROR(__xludf.DUMMYFUNCTION("""COMPUTED_VALUE"""),"50553")</f>
        <v>50553</v>
      </c>
      <c r="AF216" s="42" t="str">
        <f>IFERROR(__xludf.DUMMYFUNCTION("""COMPUTED_VALUE"""),"44. Cusco")</f>
        <v>44. Cusco</v>
      </c>
    </row>
    <row r="217">
      <c r="A217" s="25"/>
      <c r="AC217" s="42"/>
      <c r="AD217" s="42" t="str">
        <f>IFERROR(__xludf.DUMMYFUNCTION("""COMPUTED_VALUE"""),"50912 Cuyuni")</f>
        <v>50912 Cuyuni</v>
      </c>
      <c r="AE217" s="42" t="str">
        <f>IFERROR(__xludf.DUMMYFUNCTION("""COMPUTED_VALUE"""),"50912")</f>
        <v>50912</v>
      </c>
      <c r="AF217" s="42" t="str">
        <f>IFERROR(__xludf.DUMMYFUNCTION("""COMPUTED_VALUE"""),"44. Cusco")</f>
        <v>44. Cusco</v>
      </c>
    </row>
    <row r="218">
      <c r="A218" s="25"/>
      <c r="AC218" s="42"/>
      <c r="AD218" s="42" t="str">
        <f>IFERROR(__xludf.DUMMYFUNCTION("""COMPUTED_VALUE"""),"50976 Lloqueta")</f>
        <v>50976 Lloqueta</v>
      </c>
      <c r="AE218" s="42" t="str">
        <f>IFERROR(__xludf.DUMMYFUNCTION("""COMPUTED_VALUE"""),"50976")</f>
        <v>50976</v>
      </c>
      <c r="AF218" s="42" t="str">
        <f>IFERROR(__xludf.DUMMYFUNCTION("""COMPUTED_VALUE"""),"44. Cusco")</f>
        <v>44. Cusco</v>
      </c>
    </row>
    <row r="219">
      <c r="A219" s="25"/>
      <c r="AC219" s="42"/>
      <c r="AD219" s="42" t="str">
        <f>IFERROR(__xludf.DUMMYFUNCTION("""COMPUTED_VALUE"""),"501432 PAPA FRANCISCO I - Kumuncancha ")</f>
        <v>501432 PAPA FRANCISCO I - Kumuncancha </v>
      </c>
      <c r="AE219" s="42" t="str">
        <f>IFERROR(__xludf.DUMMYFUNCTION("""COMPUTED_VALUE"""),"501432 PAPA FRANCISCO I")</f>
        <v>501432 PAPA FRANCISCO I</v>
      </c>
      <c r="AF219" s="42" t="str">
        <f>IFERROR(__xludf.DUMMYFUNCTION("""COMPUTED_VALUE"""),"44. Cusco")</f>
        <v>44. Cusco</v>
      </c>
    </row>
    <row r="220">
      <c r="A220" s="25"/>
      <c r="AC220" s="42"/>
      <c r="AD220" s="42" t="str">
        <f>IFERROR(__xludf.DUMMYFUNCTION("""COMPUTED_VALUE"""),"ALMIRANTE MIGUEL GRAU SEMINARIO")</f>
        <v>ALMIRANTE MIGUEL GRAU SEMINARIO</v>
      </c>
      <c r="AE220" s="42" t="str">
        <f>IFERROR(__xludf.DUMMYFUNCTION("""COMPUTED_VALUE"""),"ALMIRANTE MIGUEL GRAU SEMINARIO")</f>
        <v>ALMIRANTE MIGUEL GRAU SEMINARIO</v>
      </c>
      <c r="AF220" s="42" t="str">
        <f>IFERROR(__xludf.DUMMYFUNCTION("""COMPUTED_VALUE"""),"44. Cusco")</f>
        <v>44. Cusco</v>
      </c>
    </row>
    <row r="221">
      <c r="A221" s="25"/>
      <c r="AC221" s="42"/>
      <c r="AD221" s="42" t="str">
        <f>IFERROR(__xludf.DUMMYFUNCTION("""COMPUTED_VALUE"""),"LOS RIT'S DEL ALTO ANDINO")</f>
        <v>LOS RIT'S DEL ALTO ANDINO</v>
      </c>
      <c r="AE221" s="42" t="str">
        <f>IFERROR(__xludf.DUMMYFUNCTION("""COMPUTED_VALUE"""),"1457365 LOS RIT'S DEL ALTO ANDINO")</f>
        <v>1457365 LOS RIT'S DEL ALTO ANDINO</v>
      </c>
      <c r="AF221" s="42" t="str">
        <f>IFERROR(__xludf.DUMMYFUNCTION("""COMPUTED_VALUE"""),"44. Cusco")</f>
        <v>44. Cusco</v>
      </c>
    </row>
    <row r="222">
      <c r="A222" s="25"/>
      <c r="AC222" s="42"/>
      <c r="AD222" s="42" t="str">
        <f>IFERROR(__xludf.DUMMYFUNCTION("""COMPUTED_VALUE"""),"6010230 BARBARA D'ACHILLE")</f>
        <v>6010230 BARBARA D'ACHILLE</v>
      </c>
      <c r="AE222" s="42" t="str">
        <f>IFERROR(__xludf.DUMMYFUNCTION("""COMPUTED_VALUE"""),"6010230 BARBARA D'ACHILLE")</f>
        <v>6010230 BARBARA D'ACHILLE</v>
      </c>
      <c r="AF222" s="42" t="str">
        <f>IFERROR(__xludf.DUMMYFUNCTION("""COMPUTED_VALUE"""),"47. Loreto")</f>
        <v>47. Loreto</v>
      </c>
    </row>
    <row r="223">
      <c r="A223" s="25"/>
      <c r="AC223" s="42"/>
      <c r="AD223" s="42" t="str">
        <f>IFERROR(__xludf.DUMMYFUNCTION("""COMPUTED_VALUE"""),"60136")</f>
        <v>60136</v>
      </c>
      <c r="AE223" s="42" t="str">
        <f>IFERROR(__xludf.DUMMYFUNCTION("""COMPUTED_VALUE"""),"60136")</f>
        <v>60136</v>
      </c>
      <c r="AF223" s="42" t="str">
        <f>IFERROR(__xludf.DUMMYFUNCTION("""COMPUTED_VALUE"""),"47. Loreto")</f>
        <v>47. Loreto</v>
      </c>
    </row>
    <row r="224">
      <c r="A224" s="25"/>
      <c r="AC224" s="42"/>
      <c r="AD224" s="42" t="str">
        <f>IFERROR(__xludf.DUMMYFUNCTION("""COMPUTED_VALUE"""),"60181")</f>
        <v>60181</v>
      </c>
      <c r="AE224" s="42" t="str">
        <f>IFERROR(__xludf.DUMMYFUNCTION("""COMPUTED_VALUE"""),"60181")</f>
        <v>60181</v>
      </c>
      <c r="AF224" s="42" t="str">
        <f>IFERROR(__xludf.DUMMYFUNCTION("""COMPUTED_VALUE"""),"47. Loreto")</f>
        <v>47. Loreto</v>
      </c>
    </row>
    <row r="225">
      <c r="A225" s="25"/>
      <c r="AC225" s="42"/>
      <c r="AD225" s="42" t="str">
        <f>IFERROR(__xludf.DUMMYFUNCTION("""COMPUTED_VALUE"""),"601330")</f>
        <v>601330</v>
      </c>
      <c r="AE225" s="42" t="str">
        <f>IFERROR(__xludf.DUMMYFUNCTION("""COMPUTED_VALUE"""),"601330")</f>
        <v>601330</v>
      </c>
      <c r="AF225" s="42" t="str">
        <f>IFERROR(__xludf.DUMMYFUNCTION("""COMPUTED_VALUE"""),"47. Loreto")</f>
        <v>47. Loreto</v>
      </c>
    </row>
    <row r="226">
      <c r="A226" s="25"/>
      <c r="AC226" s="42"/>
      <c r="AD226" s="42" t="str">
        <f>IFERROR(__xludf.DUMMYFUNCTION("""COMPUTED_VALUE"""),"601391")</f>
        <v>601391</v>
      </c>
      <c r="AE226" s="42" t="str">
        <f>IFERROR(__xludf.DUMMYFUNCTION("""COMPUTED_VALUE"""),"601391")</f>
        <v>601391</v>
      </c>
      <c r="AF226" s="42" t="str">
        <f>IFERROR(__xludf.DUMMYFUNCTION("""COMPUTED_VALUE"""),"47. Loreto")</f>
        <v>47. Loreto</v>
      </c>
    </row>
    <row r="227">
      <c r="A227" s="25"/>
      <c r="AC227" s="42"/>
      <c r="AD227" s="42" t="str">
        <f>IFERROR(__xludf.DUMMYFUNCTION("""COMPUTED_VALUE"""),"601444")</f>
        <v>601444</v>
      </c>
      <c r="AE227" s="42" t="str">
        <f>IFERROR(__xludf.DUMMYFUNCTION("""COMPUTED_VALUE"""),"601444")</f>
        <v>601444</v>
      </c>
      <c r="AF227" s="42" t="str">
        <f>IFERROR(__xludf.DUMMYFUNCTION("""COMPUTED_VALUE"""),"47. Loreto")</f>
        <v>47. Loreto</v>
      </c>
    </row>
    <row r="228">
      <c r="A228" s="25"/>
      <c r="AC228" s="42"/>
      <c r="AD228" s="42" t="str">
        <f>IFERROR(__xludf.DUMMYFUNCTION("""COMPUTED_VALUE"""),"601511")</f>
        <v>601511</v>
      </c>
      <c r="AE228" s="42" t="str">
        <f>IFERROR(__xludf.DUMMYFUNCTION("""COMPUTED_VALUE"""),"601511")</f>
        <v>601511</v>
      </c>
      <c r="AF228" s="42" t="str">
        <f>IFERROR(__xludf.DUMMYFUNCTION("""COMPUTED_VALUE"""),"47. Loreto")</f>
        <v>47. Loreto</v>
      </c>
    </row>
    <row r="229">
      <c r="A229" s="25"/>
      <c r="AC229" s="42"/>
      <c r="AD229" s="42" t="str">
        <f>IFERROR(__xludf.DUMMYFUNCTION("""COMPUTED_VALUE"""),"601563")</f>
        <v>601563</v>
      </c>
      <c r="AE229" s="42" t="str">
        <f>IFERROR(__xludf.DUMMYFUNCTION("""COMPUTED_VALUE"""),"601563")</f>
        <v>601563</v>
      </c>
      <c r="AF229" s="42" t="str">
        <f>IFERROR(__xludf.DUMMYFUNCTION("""COMPUTED_VALUE"""),"47. Loreto")</f>
        <v>47. Loreto</v>
      </c>
    </row>
    <row r="230">
      <c r="A230" s="25"/>
      <c r="AC230" s="42"/>
      <c r="AD230" s="42" t="str">
        <f>IFERROR(__xludf.DUMMYFUNCTION("""COMPUTED_VALUE"""),"601570")</f>
        <v>601570</v>
      </c>
      <c r="AE230" s="42" t="str">
        <f>IFERROR(__xludf.DUMMYFUNCTION("""COMPUTED_VALUE"""),"601570")</f>
        <v>601570</v>
      </c>
      <c r="AF230" s="42" t="str">
        <f>IFERROR(__xludf.DUMMYFUNCTION("""COMPUTED_VALUE"""),"47. Loreto")</f>
        <v>47. Loreto</v>
      </c>
    </row>
    <row r="231">
      <c r="A231" s="25"/>
      <c r="AC231" s="42"/>
      <c r="AD231" s="42" t="str">
        <f>IFERROR(__xludf.DUMMYFUNCTION("""COMPUTED_VALUE"""),"601571")</f>
        <v>601571</v>
      </c>
      <c r="AE231" s="42" t="str">
        <f>IFERROR(__xludf.DUMMYFUNCTION("""COMPUTED_VALUE"""),"601571")</f>
        <v>601571</v>
      </c>
      <c r="AF231" s="42" t="str">
        <f>IFERROR(__xludf.DUMMYFUNCTION("""COMPUTED_VALUE"""),"47. Loreto")</f>
        <v>47. Loreto</v>
      </c>
    </row>
    <row r="232">
      <c r="A232" s="25"/>
      <c r="AC232" s="42"/>
      <c r="AD232" s="42" t="str">
        <f>IFERROR(__xludf.DUMMYFUNCTION("""COMPUTED_VALUE"""),"601580")</f>
        <v>601580</v>
      </c>
      <c r="AE232" s="42" t="str">
        <f>IFERROR(__xludf.DUMMYFUNCTION("""COMPUTED_VALUE"""),"601580")</f>
        <v>601580</v>
      </c>
      <c r="AF232" s="42" t="str">
        <f>IFERROR(__xludf.DUMMYFUNCTION("""COMPUTED_VALUE"""),"47. Loreto")</f>
        <v>47. Loreto</v>
      </c>
    </row>
    <row r="233">
      <c r="A233" s="25"/>
      <c r="AC233" s="42"/>
      <c r="AD233" s="42" t="str">
        <f>IFERROR(__xludf.DUMMYFUNCTION("""COMPUTED_VALUE"""),"601678")</f>
        <v>601678</v>
      </c>
      <c r="AE233" s="42" t="str">
        <f>IFERROR(__xludf.DUMMYFUNCTION("""COMPUTED_VALUE"""),"601678")</f>
        <v>601678</v>
      </c>
      <c r="AF233" s="42" t="str">
        <f>IFERROR(__xludf.DUMMYFUNCTION("""COMPUTED_VALUE"""),"47. Loreto")</f>
        <v>47. Loreto</v>
      </c>
    </row>
    <row r="234">
      <c r="A234" s="25"/>
      <c r="AC234" s="42"/>
      <c r="AD234" s="42" t="str">
        <f>IFERROR(__xludf.DUMMYFUNCTION("""COMPUTED_VALUE"""),"6010102")</f>
        <v>6010102</v>
      </c>
      <c r="AE234" s="42" t="str">
        <f>IFERROR(__xludf.DUMMYFUNCTION("""COMPUTED_VALUE"""),"6010102")</f>
        <v>6010102</v>
      </c>
      <c r="AF234" s="42" t="str">
        <f>IFERROR(__xludf.DUMMYFUNCTION("""COMPUTED_VALUE"""),"47. Loreto")</f>
        <v>47. Loreto</v>
      </c>
    </row>
    <row r="235">
      <c r="A235" s="25"/>
      <c r="AC235" s="42"/>
      <c r="AD235" s="42" t="str">
        <f>IFERROR(__xludf.DUMMYFUNCTION("""COMPUTED_VALUE"""),"6010178")</f>
        <v>6010178</v>
      </c>
      <c r="AE235" s="42" t="str">
        <f>IFERROR(__xludf.DUMMYFUNCTION("""COMPUTED_VALUE"""),"6010178")</f>
        <v>6010178</v>
      </c>
      <c r="AF235" s="42" t="str">
        <f>IFERROR(__xludf.DUMMYFUNCTION("""COMPUTED_VALUE"""),"47. Loreto")</f>
        <v>47. Loreto</v>
      </c>
    </row>
    <row r="236">
      <c r="A236" s="25"/>
      <c r="AC236" s="42"/>
      <c r="AD236" s="42" t="str">
        <f>IFERROR(__xludf.DUMMYFUNCTION("""COMPUTED_VALUE"""),"6010231")</f>
        <v>6010231</v>
      </c>
      <c r="AE236" s="42" t="str">
        <f>IFERROR(__xludf.DUMMYFUNCTION("""COMPUTED_VALUE"""),"6010231")</f>
        <v>6010231</v>
      </c>
      <c r="AF236" s="42" t="str">
        <f>IFERROR(__xludf.DUMMYFUNCTION("""COMPUTED_VALUE"""),"47. Loreto")</f>
        <v>47. Loreto</v>
      </c>
    </row>
    <row r="237">
      <c r="A237" s="25"/>
      <c r="AC237" s="42"/>
      <c r="AD237" s="42" t="str">
        <f>IFERROR(__xludf.DUMMYFUNCTION("""COMPUTED_VALUE"""),"475")</f>
        <v>475</v>
      </c>
      <c r="AE237" s="42" t="str">
        <f>IFERROR(__xludf.DUMMYFUNCTION("""COMPUTED_VALUE"""),"475")</f>
        <v>475</v>
      </c>
      <c r="AF237" s="42" t="str">
        <f>IFERROR(__xludf.DUMMYFUNCTION("""COMPUTED_VALUE"""),"47. Loreto")</f>
        <v>47. Loreto</v>
      </c>
    </row>
    <row r="238">
      <c r="A238" s="25"/>
      <c r="AC238" s="42"/>
      <c r="AD238" s="42" t="str">
        <f>IFERROR(__xludf.DUMMYFUNCTION("""COMPUTED_VALUE"""),"404")</f>
        <v>404</v>
      </c>
      <c r="AE238" s="42" t="str">
        <f>IFERROR(__xludf.DUMMYFUNCTION("""COMPUTED_VALUE"""),"404")</f>
        <v>404</v>
      </c>
      <c r="AF238" s="42" t="str">
        <f>IFERROR(__xludf.DUMMYFUNCTION("""COMPUTED_VALUE"""),"47. Loreto")</f>
        <v>47. Loreto</v>
      </c>
    </row>
    <row r="239">
      <c r="A239" s="25"/>
      <c r="AC239" s="42"/>
      <c r="AD239" s="42" t="str">
        <f>IFERROR(__xludf.DUMMYFUNCTION("""COMPUTED_VALUE"""),"405")</f>
        <v>405</v>
      </c>
      <c r="AE239" s="42" t="str">
        <f>IFERROR(__xludf.DUMMYFUNCTION("""COMPUTED_VALUE"""),"405")</f>
        <v>405</v>
      </c>
      <c r="AF239" s="42" t="str">
        <f>IFERROR(__xludf.DUMMYFUNCTION("""COMPUTED_VALUE"""),"47. Loreto")</f>
        <v>47. Loreto</v>
      </c>
    </row>
    <row r="240">
      <c r="A240" s="25"/>
      <c r="AC240" s="42"/>
      <c r="AD240" s="42" t="str">
        <f>IFERROR(__xludf.DUMMYFUNCTION("""COMPUTED_VALUE"""),"536 MI CASITA DEL SABER")</f>
        <v>536 MI CASITA DEL SABER</v>
      </c>
      <c r="AE240" s="42" t="str">
        <f>IFERROR(__xludf.DUMMYFUNCTION("""COMPUTED_VALUE"""),"536")</f>
        <v>536</v>
      </c>
      <c r="AF240" s="42" t="str">
        <f>IFERROR(__xludf.DUMMYFUNCTION("""COMPUTED_VALUE"""),"47. Loreto")</f>
        <v>47. Loreto</v>
      </c>
    </row>
    <row r="241">
      <c r="A241" s="25"/>
      <c r="AC241" s="42"/>
      <c r="AD241" s="42" t="str">
        <f>IFERROR(__xludf.DUMMYFUNCTION("""COMPUTED_VALUE"""),"538")</f>
        <v>538</v>
      </c>
      <c r="AE241" s="42" t="str">
        <f>IFERROR(__xludf.DUMMYFUNCTION("""COMPUTED_VALUE"""),"538")</f>
        <v>538</v>
      </c>
      <c r="AF241" s="42" t="str">
        <f>IFERROR(__xludf.DUMMYFUNCTION("""COMPUTED_VALUE"""),"47. Loreto")</f>
        <v>47. Loreto</v>
      </c>
    </row>
    <row r="242">
      <c r="A242" s="25"/>
      <c r="AC242" s="42"/>
      <c r="AD242" s="42" t="str">
        <f>IFERROR(__xludf.DUMMYFUNCTION("""COMPUTED_VALUE"""),"573")</f>
        <v>573</v>
      </c>
      <c r="AE242" s="42" t="str">
        <f>IFERROR(__xludf.DUMMYFUNCTION("""COMPUTED_VALUE"""),"573")</f>
        <v>573</v>
      </c>
      <c r="AF242" s="42" t="str">
        <f>IFERROR(__xludf.DUMMYFUNCTION("""COMPUTED_VALUE"""),"47. Loreto")</f>
        <v>47. Loreto</v>
      </c>
    </row>
    <row r="243">
      <c r="A243" s="25"/>
      <c r="AC243" s="42"/>
      <c r="AD243" s="42" t="str">
        <f>IFERROR(__xludf.DUMMYFUNCTION("""COMPUTED_VALUE"""),"604")</f>
        <v>604</v>
      </c>
      <c r="AE243" s="42" t="str">
        <f>IFERROR(__xludf.DUMMYFUNCTION("""COMPUTED_VALUE"""),"604")</f>
        <v>604</v>
      </c>
      <c r="AF243" s="42" t="str">
        <f>IFERROR(__xludf.DUMMYFUNCTION("""COMPUTED_VALUE"""),"47. Loreto")</f>
        <v>47. Loreto</v>
      </c>
    </row>
    <row r="244">
      <c r="A244" s="25"/>
      <c r="AC244" s="42"/>
      <c r="AD244" s="42" t="str">
        <f>IFERROR(__xludf.DUMMYFUNCTION("""COMPUTED_VALUE"""),"656")</f>
        <v>656</v>
      </c>
      <c r="AE244" s="42" t="str">
        <f>IFERROR(__xludf.DUMMYFUNCTION("""COMPUTED_VALUE"""),"656")</f>
        <v>656</v>
      </c>
      <c r="AF244" s="42" t="str">
        <f>IFERROR(__xludf.DUMMYFUNCTION("""COMPUTED_VALUE"""),"47. Loreto")</f>
        <v>47. Loreto</v>
      </c>
    </row>
    <row r="245">
      <c r="A245" s="25"/>
      <c r="AC245" s="42"/>
      <c r="AD245" s="42" t="str">
        <f>IFERROR(__xludf.DUMMYFUNCTION("""COMPUTED_VALUE"""),"678")</f>
        <v>678</v>
      </c>
      <c r="AE245" s="42" t="str">
        <f>IFERROR(__xludf.DUMMYFUNCTION("""COMPUTED_VALUE"""),"678")</f>
        <v>678</v>
      </c>
      <c r="AF245" s="42" t="str">
        <f>IFERROR(__xludf.DUMMYFUNCTION("""COMPUTED_VALUE"""),"47. Loreto")</f>
        <v>47. Loreto</v>
      </c>
    </row>
    <row r="246">
      <c r="A246" s="25"/>
      <c r="AC246" s="42"/>
      <c r="AD246" s="42" t="str">
        <f>IFERROR(__xludf.DUMMYFUNCTION("""COMPUTED_VALUE"""),"852")</f>
        <v>852</v>
      </c>
      <c r="AE246" s="42" t="str">
        <f>IFERROR(__xludf.DUMMYFUNCTION("""COMPUTED_VALUE"""),"852")</f>
        <v>852</v>
      </c>
      <c r="AF246" s="42" t="str">
        <f>IFERROR(__xludf.DUMMYFUNCTION("""COMPUTED_VALUE"""),"47. Loreto")</f>
        <v>47. Loreto</v>
      </c>
    </row>
    <row r="247">
      <c r="A247" s="25"/>
      <c r="AC247" s="42"/>
      <c r="AD247" s="42" t="str">
        <f>IFERROR(__xludf.DUMMYFUNCTION("""COMPUTED_VALUE"""),"809")</f>
        <v>809</v>
      </c>
      <c r="AE247" s="42" t="str">
        <f>IFERROR(__xludf.DUMMYFUNCTION("""COMPUTED_VALUE"""),"809")</f>
        <v>809</v>
      </c>
      <c r="AF247" s="42" t="str">
        <f>IFERROR(__xludf.DUMMYFUNCTION("""COMPUTED_VALUE"""),"47. Loreto")</f>
        <v>47. Loreto</v>
      </c>
    </row>
    <row r="248">
      <c r="A248" s="25"/>
      <c r="AC248" s="42"/>
      <c r="AD248" s="42" t="str">
        <f>IFERROR(__xludf.DUMMYFUNCTION("""COMPUTED_VALUE"""),"808")</f>
        <v>808</v>
      </c>
      <c r="AE248" s="42" t="str">
        <f>IFERROR(__xludf.DUMMYFUNCTION("""COMPUTED_VALUE"""),"808")</f>
        <v>808</v>
      </c>
      <c r="AF248" s="42" t="str">
        <f>IFERROR(__xludf.DUMMYFUNCTION("""COMPUTED_VALUE"""),"47. Loreto")</f>
        <v>47. Loreto</v>
      </c>
    </row>
    <row r="249">
      <c r="A249" s="25"/>
      <c r="AC249" s="42"/>
      <c r="AD249" s="42" t="str">
        <f>IFERROR(__xludf.DUMMYFUNCTION("""COMPUTED_VALUE"""),"812")</f>
        <v>812</v>
      </c>
      <c r="AE249" s="42" t="str">
        <f>IFERROR(__xludf.DUMMYFUNCTION("""COMPUTED_VALUE"""),"812")</f>
        <v>812</v>
      </c>
      <c r="AF249" s="42" t="str">
        <f>IFERROR(__xludf.DUMMYFUNCTION("""COMPUTED_VALUE"""),"47. Loreto")</f>
        <v>47. Loreto</v>
      </c>
    </row>
    <row r="250">
      <c r="A250" s="25"/>
      <c r="AC250" s="42"/>
      <c r="AD250" s="42" t="str">
        <f>IFERROR(__xludf.DUMMYFUNCTION("""COMPUTED_VALUE"""),"810")</f>
        <v>810</v>
      </c>
      <c r="AE250" s="42" t="str">
        <f>IFERROR(__xludf.DUMMYFUNCTION("""COMPUTED_VALUE"""),"810")</f>
        <v>810</v>
      </c>
      <c r="AF250" s="42" t="str">
        <f>IFERROR(__xludf.DUMMYFUNCTION("""COMPUTED_VALUE"""),"47. Loreto")</f>
        <v>47. Loreto</v>
      </c>
    </row>
    <row r="251">
      <c r="A251" s="25"/>
      <c r="AC251" s="42"/>
      <c r="AD251" s="42" t="str">
        <f>IFERROR(__xludf.DUMMYFUNCTION("""COMPUTED_VALUE"""),"811")</f>
        <v>811</v>
      </c>
      <c r="AE251" s="42" t="str">
        <f>IFERROR(__xludf.DUMMYFUNCTION("""COMPUTED_VALUE"""),"811")</f>
        <v>811</v>
      </c>
      <c r="AF251" s="42" t="str">
        <f>IFERROR(__xludf.DUMMYFUNCTION("""COMPUTED_VALUE"""),"47. Loreto")</f>
        <v>47. Loreto</v>
      </c>
    </row>
    <row r="252">
      <c r="A252" s="25"/>
      <c r="AC252" s="42"/>
      <c r="AD252" s="42" t="str">
        <f>IFERROR(__xludf.DUMMYFUNCTION("""COMPUTED_VALUE"""),"601496")</f>
        <v>601496</v>
      </c>
      <c r="AE252" s="42" t="str">
        <f>IFERROR(__xludf.DUMMYFUNCTION("""COMPUTED_VALUE"""),"601496")</f>
        <v>601496</v>
      </c>
      <c r="AF252" s="42" t="str">
        <f>IFERROR(__xludf.DUMMYFUNCTION("""COMPUTED_VALUE"""),"47. Loreto")</f>
        <v>47. Loreto</v>
      </c>
    </row>
    <row r="253">
      <c r="A253" s="25"/>
      <c r="AC253" s="42"/>
      <c r="AD253" s="42" t="str">
        <f>IFERROR(__xludf.DUMMYFUNCTION("""COMPUTED_VALUE"""),"601528")</f>
        <v>601528</v>
      </c>
      <c r="AE253" s="42" t="str">
        <f>IFERROR(__xludf.DUMMYFUNCTION("""COMPUTED_VALUE"""),"601528")</f>
        <v>601528</v>
      </c>
      <c r="AF253" s="42" t="str">
        <f>IFERROR(__xludf.DUMMYFUNCTION("""COMPUTED_VALUE"""),"47. Loreto")</f>
        <v>47. Loreto</v>
      </c>
    </row>
    <row r="254">
      <c r="A254" s="25"/>
      <c r="AC254" s="42"/>
      <c r="AD254" s="42" t="str">
        <f>IFERROR(__xludf.DUMMYFUNCTION("""COMPUTED_VALUE"""),"IE 15374 Sagrado Corazón de Jesús - Pueblo libre")</f>
        <v>IE 15374 Sagrado Corazón de Jesús - Pueblo libre</v>
      </c>
      <c r="AE254" s="42" t="str">
        <f>IFERROR(__xludf.DUMMYFUNCTION("""COMPUTED_VALUE"""),"15374")</f>
        <v>15374</v>
      </c>
      <c r="AF254" s="42" t="str">
        <f>IFERROR(__xludf.DUMMYFUNCTION("""COMPUTED_VALUE"""),"48. Piura")</f>
        <v>48. Piura</v>
      </c>
    </row>
    <row r="255">
      <c r="A255" s="25"/>
      <c r="AC255" s="42"/>
      <c r="AD255" s="42" t="str">
        <f>IFERROR(__xludf.DUMMYFUNCTION("""COMPUTED_VALUE"""),"IE 14145 Santa Julia Billiart")</f>
        <v>IE 14145 Santa Julia Billiart</v>
      </c>
      <c r="AE255" s="42" t="str">
        <f>IFERROR(__xludf.DUMMYFUNCTION("""COMPUTED_VALUE"""),"14145 SANTA JULIA BILLIART")</f>
        <v>14145 SANTA JULIA BILLIART</v>
      </c>
      <c r="AF255" s="42" t="str">
        <f>IFERROR(__xludf.DUMMYFUNCTION("""COMPUTED_VALUE"""),"48. Piura")</f>
        <v>48. Piura</v>
      </c>
    </row>
    <row r="256">
      <c r="A256" s="25"/>
      <c r="AC256" s="42"/>
      <c r="AD256" s="42" t="str">
        <f>IFERROR(__xludf.DUMMYFUNCTION("""COMPUTED_VALUE"""),"IE 14144 Santa Rosa")</f>
        <v>IE 14144 Santa Rosa</v>
      </c>
      <c r="AE256" s="42" t="str">
        <f>IFERROR(__xludf.DUMMYFUNCTION("""COMPUTED_VALUE"""),"14144 SANTA ROSA")</f>
        <v>14144 SANTA ROSA</v>
      </c>
      <c r="AF256" s="42" t="str">
        <f>IFERROR(__xludf.DUMMYFUNCTION("""COMPUTED_VALUE"""),"48. Piura")</f>
        <v>48. Piura</v>
      </c>
    </row>
    <row r="257">
      <c r="A257" s="25"/>
      <c r="AC257" s="42"/>
      <c r="AD257" s="42" t="str">
        <f>IFERROR(__xludf.DUMMYFUNCTION("""COMPUTED_VALUE"""),"I.E.N° 14894 - TOTORAL ALTO")</f>
        <v>I.E.N° 14894 - TOTORAL ALTO</v>
      </c>
      <c r="AE257" s="42" t="str">
        <f>IFERROR(__xludf.DUMMYFUNCTION("""COMPUTED_VALUE"""),"14894")</f>
        <v>14894</v>
      </c>
      <c r="AF257" s="42" t="str">
        <f>IFERROR(__xludf.DUMMYFUNCTION("""COMPUTED_VALUE"""),"48. Piura")</f>
        <v>48. Piura</v>
      </c>
    </row>
    <row r="258">
      <c r="A258" s="25"/>
      <c r="AC258" s="42"/>
      <c r="AD258" s="42" t="str">
        <f>IFERROR(__xludf.DUMMYFUNCTION("""COMPUTED_VALUE"""),"14975  - EL CARBÓN")</f>
        <v>14975  - EL CARBÓN</v>
      </c>
      <c r="AE258" s="42" t="str">
        <f>IFERROR(__xludf.DUMMYFUNCTION("""COMPUTED_VALUE"""),"14975")</f>
        <v>14975</v>
      </c>
      <c r="AF258" s="42" t="str">
        <f>IFERROR(__xludf.DUMMYFUNCTION("""COMPUTED_VALUE"""),"48. Piura")</f>
        <v>48. Piura</v>
      </c>
    </row>
    <row r="259">
      <c r="A259" s="25"/>
      <c r="AC259" s="42"/>
      <c r="AD259" s="42" t="str">
        <f>IFERROR(__xludf.DUMMYFUNCTION("""COMPUTED_VALUE"""),"20104 CP-8 ""Esperanza de Mi Cautivo""")</f>
        <v>20104 CP-8 "Esperanza de Mi Cautivo"</v>
      </c>
      <c r="AE259" s="42" t="str">
        <f>IFERROR(__xludf.DUMMYFUNCTION("""COMPUTED_VALUE"""),"20104")</f>
        <v>20104</v>
      </c>
      <c r="AF259" s="42" t="str">
        <f>IFERROR(__xludf.DUMMYFUNCTION("""COMPUTED_VALUE"""),"48. Piura")</f>
        <v>48. Piura</v>
      </c>
    </row>
    <row r="260">
      <c r="A260" s="25"/>
      <c r="AC260" s="42"/>
      <c r="AD260" s="42" t="str">
        <f>IFERROR(__xludf.DUMMYFUNCTION("""COMPUTED_VALUE"""),"15304 Guaraguaos B")</f>
        <v>15304 Guaraguaos B</v>
      </c>
      <c r="AE260" s="42" t="str">
        <f>IFERROR(__xludf.DUMMYFUNCTION("""COMPUTED_VALUE"""),"15304")</f>
        <v>15304</v>
      </c>
      <c r="AF260" s="42" t="str">
        <f>IFERROR(__xludf.DUMMYFUNCTION("""COMPUTED_VALUE"""),"48. Piura")</f>
        <v>48. Piura</v>
      </c>
    </row>
    <row r="261">
      <c r="A261" s="25"/>
      <c r="AC261" s="42"/>
      <c r="AD261" s="42" t="str">
        <f>IFERROR(__xludf.DUMMYFUNCTION("""COMPUTED_VALUE"""),"14924 - DANIEL ALCIDES CARRIÓN")</f>
        <v>14924 - DANIEL ALCIDES CARRIÓN</v>
      </c>
      <c r="AE261" s="42" t="str">
        <f>IFERROR(__xludf.DUMMYFUNCTION("""COMPUTED_VALUE"""),"14924 DANIEL ALCIDES CARRION")</f>
        <v>14924 DANIEL ALCIDES CARRION</v>
      </c>
      <c r="AF261" s="42" t="str">
        <f>IFERROR(__xludf.DUMMYFUNCTION("""COMPUTED_VALUE"""),"48. Piura")</f>
        <v>48. Piura</v>
      </c>
    </row>
    <row r="262">
      <c r="A262" s="25"/>
      <c r="AC262" s="42"/>
      <c r="AD262" s="42" t="str">
        <f>IFERROR(__xludf.DUMMYFUNCTION("""COMPUTED_VALUE"""),"I.E. 910 LOS ZAPATAS")</f>
        <v>I.E. 910 LOS ZAPATAS</v>
      </c>
      <c r="AE262" s="42" t="str">
        <f>IFERROR(__xludf.DUMMYFUNCTION("""COMPUTED_VALUE"""),"910")</f>
        <v>910</v>
      </c>
      <c r="AF262" s="42" t="str">
        <f>IFERROR(__xludf.DUMMYFUNCTION("""COMPUTED_VALUE"""),"48. Piura")</f>
        <v>48. Piura</v>
      </c>
    </row>
    <row r="263">
      <c r="A263" s="25"/>
      <c r="AC263" s="42"/>
      <c r="AD263" s="42" t="str">
        <f>IFERROR(__xludf.DUMMYFUNCTION("""COMPUTED_VALUE"""),"I.E. N° 058 - PUEBLO LIBRE")</f>
        <v>I.E. N° 058 - PUEBLO LIBRE</v>
      </c>
      <c r="AE263" s="42" t="str">
        <f>IFERROR(__xludf.DUMMYFUNCTION("""COMPUTED_VALUE"""),"058")</f>
        <v>058</v>
      </c>
      <c r="AF263" s="42" t="str">
        <f>IFERROR(__xludf.DUMMYFUNCTION("""COMPUTED_VALUE"""),"48. Piura")</f>
        <v>48. Piura</v>
      </c>
    </row>
    <row r="264">
      <c r="A264" s="25"/>
      <c r="AC264" s="42"/>
      <c r="AD264" s="42" t="str">
        <f>IFERROR(__xludf.DUMMYFUNCTION("""COMPUTED_VALUE"""),"I.E. N° 1419 - CRUCE DE VEGA")</f>
        <v>I.E. N° 1419 - CRUCE DE VEGA</v>
      </c>
      <c r="AE264" s="42" t="str">
        <f>IFERROR(__xludf.DUMMYFUNCTION("""COMPUTED_VALUE"""),"1419")</f>
        <v>1419</v>
      </c>
      <c r="AF264" s="42" t="str">
        <f>IFERROR(__xludf.DUMMYFUNCTION("""COMPUTED_VALUE"""),"48. Piura")</f>
        <v>48. Piura</v>
      </c>
    </row>
    <row r="265">
      <c r="A265" s="25"/>
      <c r="AC265" s="42"/>
      <c r="AD265" s="42" t="str">
        <f>IFERROR(__xludf.DUMMYFUNCTION("""COMPUTED_VALUE"""),"I.E. N° 1559 - MANCO CÁPAC")</f>
        <v>I.E. N° 1559 - MANCO CÁPAC</v>
      </c>
      <c r="AE265" s="42" t="str">
        <f>IFERROR(__xludf.DUMMYFUNCTION("""COMPUTED_VALUE"""),"1559")</f>
        <v>1559</v>
      </c>
      <c r="AF265" s="42" t="str">
        <f>IFERROR(__xludf.DUMMYFUNCTION("""COMPUTED_VALUE"""),"48. Piura")</f>
        <v>48. Piura</v>
      </c>
    </row>
    <row r="266">
      <c r="A266" s="25"/>
      <c r="AC266" s="42"/>
      <c r="AD266" s="42" t="str">
        <f>IFERROR(__xludf.DUMMYFUNCTION("""COMPUTED_VALUE"""),"I.E. N° 489 - JOSÉ MARÍA VELAZ - GUARAGUAOS BAJO")</f>
        <v>I.E. N° 489 - JOSÉ MARÍA VELAZ - GUARAGUAOS BAJO</v>
      </c>
      <c r="AE266" s="42" t="str">
        <f>IFERROR(__xludf.DUMMYFUNCTION("""COMPUTED_VALUE"""),"489")</f>
        <v>489</v>
      </c>
      <c r="AF266" s="42" t="str">
        <f>IFERROR(__xludf.DUMMYFUNCTION("""COMPUTED_VALUE"""),"48. Piura")</f>
        <v>48. Piura</v>
      </c>
    </row>
    <row r="267">
      <c r="A267" s="25"/>
      <c r="AC267" s="42"/>
      <c r="AD267" s="42" t="str">
        <f>IFERROR(__xludf.DUMMYFUNCTION("""COMPUTED_VALUE"""),"I.E. N° 732 VIRGEN DE MONSERRAT - PALOMINOS")</f>
        <v>I.E. N° 732 VIRGEN DE MONSERRAT - PALOMINOS</v>
      </c>
      <c r="AE267" s="42" t="str">
        <f>IFERROR(__xludf.DUMMYFUNCTION("""COMPUTED_VALUE"""),"732")</f>
        <v>732</v>
      </c>
      <c r="AF267" s="42" t="str">
        <f>IFERROR(__xludf.DUMMYFUNCTION("""COMPUTED_VALUE"""),"48. Piura")</f>
        <v>48. Piura</v>
      </c>
    </row>
    <row r="268">
      <c r="A268" s="25"/>
      <c r="AC268" s="42"/>
      <c r="AD268" s="42" t="str">
        <f>IFERROR(__xludf.DUMMYFUNCTION("""COMPUTED_VALUE"""),"I.E. N°1341 - CP-8")</f>
        <v>I.E. N°1341 - CP-8</v>
      </c>
      <c r="AE268" s="42" t="str">
        <f>IFERROR(__xludf.DUMMYFUNCTION("""COMPUTED_VALUE"""),"1341")</f>
        <v>1341</v>
      </c>
      <c r="AF268" s="42" t="str">
        <f>IFERROR(__xludf.DUMMYFUNCTION("""COMPUTED_VALUE"""),"48. Piura")</f>
        <v>48. Piura</v>
      </c>
    </row>
    <row r="269">
      <c r="A269" s="25"/>
      <c r="AC269" s="42"/>
      <c r="AD269" s="42" t="str">
        <f>IFERROR(__xludf.DUMMYFUNCTION("""COMPUTED_VALUE"""),"I.E.N° 469 - TEJEDORES BAJO")</f>
        <v>I.E.N° 469 - TEJEDORES BAJO</v>
      </c>
      <c r="AE269" s="42" t="str">
        <f>IFERROR(__xludf.DUMMYFUNCTION("""COMPUTED_VALUE"""),"469")</f>
        <v>469</v>
      </c>
      <c r="AF269" s="42" t="str">
        <f>IFERROR(__xludf.DUMMYFUNCTION("""COMPUTED_VALUE"""),"48. Piura")</f>
        <v>48. Piura</v>
      </c>
    </row>
    <row r="270">
      <c r="A270" s="25"/>
      <c r="AC270" s="42"/>
      <c r="AD270" s="42" t="str">
        <f>IFERROR(__xludf.DUMMYFUNCTION("""COMPUTED_VALUE"""),"I.E.N° 909 - BELLO HORIZONTE")</f>
        <v>I.E.N° 909 - BELLO HORIZONTE</v>
      </c>
      <c r="AE270" s="42" t="str">
        <f>IFERROR(__xludf.DUMMYFUNCTION("""COMPUTED_VALUE"""),"909 - BELLO HORIZONTE")</f>
        <v>909 - BELLO HORIZONTE</v>
      </c>
      <c r="AF270" s="42" t="str">
        <f>IFERROR(__xludf.DUMMYFUNCTION("""COMPUTED_VALUE"""),"48. Piura")</f>
        <v>48. Piura</v>
      </c>
    </row>
    <row r="271">
      <c r="A271" s="25"/>
      <c r="AC271" s="42"/>
      <c r="AD271" s="42" t="str">
        <f>IFERROR(__xludf.DUMMYFUNCTION("""COMPUTED_VALUE"""),"I.E.N°1558 - MONTEVERDE ALTO")</f>
        <v>I.E.N°1558 - MONTEVERDE ALTO</v>
      </c>
      <c r="AE271" s="42" t="str">
        <f>IFERROR(__xludf.DUMMYFUNCTION("""COMPUTED_VALUE"""),"1558 - MONTEVERDE ALTO")</f>
        <v>1558 - MONTEVERDE ALTO</v>
      </c>
      <c r="AF271" s="42" t="str">
        <f>IFERROR(__xludf.DUMMYFUNCTION("""COMPUTED_VALUE"""),"48. Piura")</f>
        <v>48. Piura</v>
      </c>
    </row>
    <row r="272">
      <c r="A272" s="25"/>
      <c r="AC272" s="42"/>
      <c r="AD272" s="42" t="str">
        <f>IFERROR(__xludf.DUMMYFUNCTION("""COMPUTED_VALUE"""),"I.E.N°731 - EL CARBÓN")</f>
        <v>I.E.N°731 - EL CARBÓN</v>
      </c>
      <c r="AE272" s="42" t="str">
        <f>IFERROR(__xludf.DUMMYFUNCTION("""COMPUTED_VALUE"""),"731 - EL CARBÓN")</f>
        <v>731 - EL CARBÓN</v>
      </c>
      <c r="AF272" s="42" t="str">
        <f>IFERROR(__xludf.DUMMYFUNCTION("""COMPUTED_VALUE"""),"48. Piura")</f>
        <v>48. Piura</v>
      </c>
    </row>
    <row r="273">
      <c r="A273" s="25"/>
      <c r="AC273" s="42"/>
      <c r="AD273" s="42" t="str">
        <f>IFERROR(__xludf.DUMMYFUNCTION("""COMPUTED_VALUE"""),"1416")</f>
        <v>1416</v>
      </c>
      <c r="AE273" s="42" t="str">
        <f>IFERROR(__xludf.DUMMYFUNCTION("""COMPUTED_VALUE"""),"1416")</f>
        <v>1416</v>
      </c>
      <c r="AF273" s="42" t="str">
        <f>IFERROR(__xludf.DUMMYFUNCTION("""COMPUTED_VALUE"""),"48. Piura")</f>
        <v>48. Piura</v>
      </c>
    </row>
    <row r="274">
      <c r="A274" s="25"/>
      <c r="AC274" s="42"/>
      <c r="AD274" s="42" t="str">
        <f>IFERROR(__xludf.DUMMYFUNCTION("""COMPUTED_VALUE"""),"1417")</f>
        <v>1417</v>
      </c>
      <c r="AE274" s="42" t="str">
        <f>IFERROR(__xludf.DUMMYFUNCTION("""COMPUTED_VALUE"""),"1417")</f>
        <v>1417</v>
      </c>
      <c r="AF274" s="42" t="str">
        <f>IFERROR(__xludf.DUMMYFUNCTION("""COMPUTED_VALUE"""),"48. Piura")</f>
        <v>48. Piura</v>
      </c>
    </row>
    <row r="275">
      <c r="A275" s="25"/>
      <c r="AC275" s="42"/>
      <c r="AD275" s="42" t="str">
        <f>IFERROR(__xludf.DUMMYFUNCTION("""COMPUTED_VALUE"""),"467 PUEBLO NUEVO")</f>
        <v>467 PUEBLO NUEVO</v>
      </c>
      <c r="AE275" s="42" t="str">
        <f>IFERROR(__xludf.DUMMYFUNCTION("""COMPUTED_VALUE"""),"467 PUEBLO NUEVO")</f>
        <v>467 PUEBLO NUEVO</v>
      </c>
      <c r="AF275" s="42" t="str">
        <f>IFERROR(__xludf.DUMMYFUNCTION("""COMPUTED_VALUE"""),"48. Piura")</f>
        <v>48. Piura</v>
      </c>
    </row>
    <row r="276">
      <c r="A276" s="25"/>
      <c r="AC276" s="42"/>
      <c r="AD276" s="42" t="str">
        <f>IFERROR(__xludf.DUMMYFUNCTION("""COMPUTED_VALUE"""),"NIÑO JESUS DE PRAGA")</f>
        <v>NIÑO JESUS DE PRAGA</v>
      </c>
      <c r="AE276" s="42" t="str">
        <f>IFERROR(__xludf.DUMMYFUNCTION("""COMPUTED_VALUE"""),"NIÑO JESUS DE PRAGA")</f>
        <v>NIÑO JESUS DE PRAGA</v>
      </c>
      <c r="AF276" s="42" t="str">
        <f>IFERROR(__xludf.DUMMYFUNCTION("""COMPUTED_VALUE"""),"48. Piura")</f>
        <v>48. Piura</v>
      </c>
    </row>
    <row r="277">
      <c r="A277" s="25"/>
      <c r="AC277" s="42"/>
      <c r="AD277" s="42" t="str">
        <f>IFERROR(__xludf.DUMMYFUNCTION("""COMPUTED_VALUE"""),"MARIA AUXILIADORA")</f>
        <v>MARIA AUXILIADORA</v>
      </c>
      <c r="AE277" s="42" t="str">
        <f>IFERROR(__xludf.DUMMYFUNCTION("""COMPUTED_VALUE"""),"MARIA AUXILIADORA")</f>
        <v>MARIA AUXILIADORA</v>
      </c>
      <c r="AF277" s="42" t="str">
        <f>IFERROR(__xludf.DUMMYFUNCTION("""COMPUTED_VALUE"""),"48. Piura")</f>
        <v>48. Piura</v>
      </c>
    </row>
    <row r="278">
      <c r="A278" s="25"/>
      <c r="AC278" s="42"/>
      <c r="AD278" s="42" t="str">
        <f>IFERROR(__xludf.DUMMYFUNCTION("""COMPUTED_VALUE"""),"VIRGEN DE LAS MERCEDES")</f>
        <v>VIRGEN DE LAS MERCEDES</v>
      </c>
      <c r="AE278" s="42" t="str">
        <f>IFERROR(__xludf.DUMMYFUNCTION("""COMPUTED_VALUE"""),"VIRGEN DE LAS MERCEDES")</f>
        <v>VIRGEN DE LAS MERCEDES</v>
      </c>
      <c r="AF278" s="42" t="str">
        <f>IFERROR(__xludf.DUMMYFUNCTION("""COMPUTED_VALUE"""),"48. Piura")</f>
        <v>48. Piura</v>
      </c>
    </row>
    <row r="279">
      <c r="A279" s="25"/>
      <c r="AC279" s="42"/>
      <c r="AD279" s="42" t="str">
        <f>IFERROR(__xludf.DUMMYFUNCTION("""COMPUTED_VALUE"""),"15314")</f>
        <v>15314</v>
      </c>
      <c r="AE279" s="42" t="str">
        <f>IFERROR(__xludf.DUMMYFUNCTION("""COMPUTED_VALUE"""),"15314")</f>
        <v>15314</v>
      </c>
      <c r="AF279" s="42" t="str">
        <f>IFERROR(__xludf.DUMMYFUNCTION("""COMPUTED_VALUE"""),"48. Piura")</f>
        <v>48. Piura</v>
      </c>
    </row>
    <row r="280">
      <c r="A280" s="25"/>
      <c r="AC280" s="42"/>
      <c r="AD280" s="42" t="str">
        <f>IFERROR(__xludf.DUMMYFUNCTION("""COMPUTED_VALUE"""),"15055 Sesteadero")</f>
        <v>15055 Sesteadero</v>
      </c>
      <c r="AE280" s="42" t="str">
        <f>IFERROR(__xludf.DUMMYFUNCTION("""COMPUTED_VALUE"""),"15055 Sesteadero")</f>
        <v>15055 Sesteadero</v>
      </c>
      <c r="AF280" s="42" t="str">
        <f>IFERROR(__xludf.DUMMYFUNCTION("""COMPUTED_VALUE"""),"48. Piura")</f>
        <v>48. Piura</v>
      </c>
    </row>
    <row r="281">
      <c r="A281" s="25"/>
      <c r="AC281" s="42"/>
      <c r="AD281" s="42" t="str">
        <f>IFERROR(__xludf.DUMMYFUNCTION("""COMPUTED_VALUE"""),"TECNICO MARIA TERESA DE JESUS GERHARDINGER")</f>
        <v>TECNICO MARIA TERESA DE JESUS GERHARDINGER</v>
      </c>
      <c r="AE281" s="42" t="str">
        <f>IFERROR(__xludf.DUMMYFUNCTION("""COMPUTED_VALUE"""),"TECNICO MARIA TERESA DE JESUS GERHARDINGER")</f>
        <v>TECNICO MARIA TERESA DE JESUS GERHARDINGER</v>
      </c>
      <c r="AF281" s="42" t="str">
        <f>IFERROR(__xludf.DUMMYFUNCTION("""COMPUTED_VALUE"""),"48. Piura")</f>
        <v>48. Piura</v>
      </c>
    </row>
    <row r="282">
      <c r="A282" s="25"/>
      <c r="AC282" s="42"/>
      <c r="AD282" s="42" t="str">
        <f>IFERROR(__xludf.DUMMYFUNCTION("""COMPUTED_VALUE"""),"692 - Cajay")</f>
        <v>692 - Cajay</v>
      </c>
      <c r="AE282" s="42" t="str">
        <f>IFERROR(__xludf.DUMMYFUNCTION("""COMPUTED_VALUE"""),"692 - Cajay")</f>
        <v>692 - Cajay</v>
      </c>
      <c r="AF282" s="42" t="str">
        <f>IFERROR(__xludf.DUMMYFUNCTION("""COMPUTED_VALUE"""),"54. Ancash")</f>
        <v>54. Ancash</v>
      </c>
    </row>
    <row r="283">
      <c r="A283" s="25"/>
      <c r="AC283" s="42"/>
      <c r="AD283" s="42" t="str">
        <f>IFERROR(__xludf.DUMMYFUNCTION("""COMPUTED_VALUE"""),"86548 ""José María Velaz"" Pichiu")</f>
        <v>86548 "José María Velaz" Pichiu</v>
      </c>
      <c r="AE283" s="42" t="str">
        <f>IFERROR(__xludf.DUMMYFUNCTION("""COMPUTED_VALUE"""),"86548 JOSE MARIA VELAZ")</f>
        <v>86548 JOSE MARIA VELAZ</v>
      </c>
      <c r="AF283" s="42" t="str">
        <f>IFERROR(__xludf.DUMMYFUNCTION("""COMPUTED_VALUE"""),"54. Ancash")</f>
        <v>54. Ancash</v>
      </c>
    </row>
    <row r="284">
      <c r="A284" s="25"/>
      <c r="AC284" s="42"/>
      <c r="AD284" s="42" t="str">
        <f>IFERROR(__xludf.DUMMYFUNCTION("""COMPUTED_VALUE"""),"86769 ""Abraham Valdelomar"" Huáscar")</f>
        <v>86769 "Abraham Valdelomar" Huáscar</v>
      </c>
      <c r="AE284" s="42" t="str">
        <f>IFERROR(__xludf.DUMMYFUNCTION("""COMPUTED_VALUE"""),"86769 ABRAHAM VALDELOMAR")</f>
        <v>86769 ABRAHAM VALDELOMAR</v>
      </c>
      <c r="AF284" s="42" t="str">
        <f>IFERROR(__xludf.DUMMYFUNCTION("""COMPUTED_VALUE"""),"54. Ancash")</f>
        <v>54. Ancash</v>
      </c>
    </row>
    <row r="285">
      <c r="A285" s="25"/>
      <c r="AC285" s="42"/>
      <c r="AD285" s="42" t="str">
        <f>IFERROR(__xludf.DUMMYFUNCTION("""COMPUTED_VALUE"""),"87009-01 Huanchuy")</f>
        <v>87009-01 Huanchuy</v>
      </c>
      <c r="AE285" s="42" t="str">
        <f>IFERROR(__xludf.DUMMYFUNCTION("""COMPUTED_VALUE"""),"87009-01")</f>
        <v>87009-01</v>
      </c>
      <c r="AF285" s="42" t="str">
        <f>IFERROR(__xludf.DUMMYFUNCTION("""COMPUTED_VALUE"""),"54. Ancash")</f>
        <v>54. Ancash</v>
      </c>
    </row>
    <row r="286">
      <c r="A286" s="25"/>
      <c r="AC286" s="42"/>
      <c r="AD286" s="42" t="str">
        <f>IFERROR(__xludf.DUMMYFUNCTION("""COMPUTED_VALUE"""),"88247 San Enrique de Capan")</f>
        <v>88247 San Enrique de Capan</v>
      </c>
      <c r="AE286" s="42" t="str">
        <f>IFERROR(__xludf.DUMMYFUNCTION("""COMPUTED_VALUE"""),"88247 SAN ENRIQUE")</f>
        <v>88247 SAN ENRIQUE</v>
      </c>
      <c r="AF286" s="42" t="str">
        <f>IFERROR(__xludf.DUMMYFUNCTION("""COMPUTED_VALUE"""),"54. Ancash")</f>
        <v>54. Ancash</v>
      </c>
    </row>
    <row r="287">
      <c r="A287" s="25"/>
      <c r="AC287" s="42"/>
      <c r="AD287" s="42" t="str">
        <f>IFERROR(__xludf.DUMMYFUNCTION("""COMPUTED_VALUE"""),"88327 Carap")</f>
        <v>88327 Carap</v>
      </c>
      <c r="AE287" s="42" t="str">
        <f>IFERROR(__xludf.DUMMYFUNCTION("""COMPUTED_VALUE"""),"88327")</f>
        <v>88327</v>
      </c>
      <c r="AF287" s="42" t="str">
        <f>IFERROR(__xludf.DUMMYFUNCTION("""COMPUTED_VALUE"""),"54. Ancash")</f>
        <v>54. Ancash</v>
      </c>
    </row>
    <row r="288">
      <c r="A288" s="25"/>
      <c r="AC288" s="42"/>
      <c r="AD288" s="42" t="str">
        <f>IFERROR(__xludf.DUMMYFUNCTION("""COMPUTED_VALUE"""),"86809 Huarac- huarán")</f>
        <v>86809 Huarac- huarán</v>
      </c>
      <c r="AE288" s="42" t="str">
        <f>IFERROR(__xludf.DUMMYFUNCTION("""COMPUTED_VALUE"""),"86809")</f>
        <v>86809</v>
      </c>
      <c r="AF288" s="42" t="str">
        <f>IFERROR(__xludf.DUMMYFUNCTION("""COMPUTED_VALUE"""),"54. Ancash")</f>
        <v>54. Ancash</v>
      </c>
    </row>
    <row r="289">
      <c r="A289" s="25"/>
      <c r="AC289" s="42"/>
      <c r="AD289" s="42" t="str">
        <f>IFERROR(__xludf.DUMMYFUNCTION("""COMPUTED_VALUE"""),"693")</f>
        <v>693</v>
      </c>
      <c r="AE289" s="42" t="str">
        <f>IFERROR(__xludf.DUMMYFUNCTION("""COMPUTED_VALUE"""),"693")</f>
        <v>693</v>
      </c>
      <c r="AF289" s="42" t="str">
        <f>IFERROR(__xludf.DUMMYFUNCTION("""COMPUTED_VALUE"""),"54. Ancash")</f>
        <v>54. Ancash</v>
      </c>
    </row>
    <row r="290">
      <c r="A290" s="25"/>
      <c r="AC290" s="42"/>
      <c r="AD290" s="42" t="str">
        <f>IFERROR(__xludf.DUMMYFUNCTION("""COMPUTED_VALUE"""),"86731")</f>
        <v>86731</v>
      </c>
      <c r="AE290" s="42" t="str">
        <f>IFERROR(__xludf.DUMMYFUNCTION("""COMPUTED_VALUE"""),"86731")</f>
        <v>86731</v>
      </c>
      <c r="AF290" s="42" t="str">
        <f>IFERROR(__xludf.DUMMYFUNCTION("""COMPUTED_VALUE"""),"54. Ancash")</f>
        <v>54. Ancash</v>
      </c>
    </row>
    <row r="291">
      <c r="A291" s="25"/>
      <c r="AC291" s="42"/>
      <c r="AD291" s="42" t="str">
        <f>IFERROR(__xludf.DUMMYFUNCTION("""COMPUTED_VALUE"""),"86783 CARLOS EDUARDO ZAVALETA")</f>
        <v>86783 CARLOS EDUARDO ZAVALETA</v>
      </c>
      <c r="AE291" s="42" t="str">
        <f>IFERROR(__xludf.DUMMYFUNCTION("""COMPUTED_VALUE"""),"86783 CARLOS EDUARDO ZAVALETA")</f>
        <v>86783 CARLOS EDUARDO ZAVALETA</v>
      </c>
      <c r="AF291" s="42" t="str">
        <f>IFERROR(__xludf.DUMMYFUNCTION("""COMPUTED_VALUE"""),"54. Ancash")</f>
        <v>54. Ancash</v>
      </c>
    </row>
    <row r="292">
      <c r="A292" s="25"/>
      <c r="AC292" s="42"/>
      <c r="AD292" s="42" t="str">
        <f>IFERROR(__xludf.DUMMYFUNCTION("""COMPUTED_VALUE"""),"64048 Nueva Barranca")</f>
        <v>64048 Nueva Barranca</v>
      </c>
      <c r="AE292" s="42" t="str">
        <f>IFERROR(__xludf.DUMMYFUNCTION("""COMPUTED_VALUE"""),"64048")</f>
        <v>64048</v>
      </c>
      <c r="AF292" s="42" t="str">
        <f>IFERROR(__xludf.DUMMYFUNCTION("""COMPUTED_VALUE"""),"72. Ucayali")</f>
        <v>72. Ucayali</v>
      </c>
    </row>
    <row r="293">
      <c r="A293" s="25"/>
      <c r="AC293" s="42"/>
      <c r="AD293" s="42" t="str">
        <f>IFERROR(__xludf.DUMMYFUNCTION("""COMPUTED_VALUE"""),"64508-B Santa Isabel de Bahuanisho")</f>
        <v>64508-B Santa Isabel de Bahuanisho</v>
      </c>
      <c r="AE293" s="42" t="str">
        <f>IFERROR(__xludf.DUMMYFUNCTION("""COMPUTED_VALUE"""),"64508-B")</f>
        <v>64508-B</v>
      </c>
      <c r="AF293" s="42" t="str">
        <f>IFERROR(__xludf.DUMMYFUNCTION("""COMPUTED_VALUE"""),"72. Ucayali")</f>
        <v>72. Ucayali</v>
      </c>
    </row>
    <row r="294">
      <c r="A294" s="25"/>
      <c r="AC294" s="42"/>
      <c r="AD294" s="42" t="str">
        <f>IFERROR(__xludf.DUMMYFUNCTION("""COMPUTED_VALUE"""),"65199 3 de Mayo")</f>
        <v>65199 3 de Mayo</v>
      </c>
      <c r="AE294" s="42" t="str">
        <f>IFERROR(__xludf.DUMMYFUNCTION("""COMPUTED_VALUE"""),"65199")</f>
        <v>65199</v>
      </c>
      <c r="AF294" s="42" t="str">
        <f>IFERROR(__xludf.DUMMYFUNCTION("""COMPUTED_VALUE"""),"72. Ucayali")</f>
        <v>72. Ucayali</v>
      </c>
    </row>
    <row r="295">
      <c r="A295" s="25"/>
      <c r="AC295" s="42"/>
      <c r="AD295" s="42" t="str">
        <f>IFERROR(__xludf.DUMMYFUNCTION("""COMPUTED_VALUE"""),"525-B Santa Elisa")</f>
        <v>525-B Santa Elisa</v>
      </c>
      <c r="AE295" s="42" t="str">
        <f>IFERROR(__xludf.DUMMYFUNCTION("""COMPUTED_VALUE"""),"525-B Santa Elisa")</f>
        <v>525-B Santa Elisa</v>
      </c>
      <c r="AF295" s="42" t="str">
        <f>IFERROR(__xludf.DUMMYFUNCTION("""COMPUTED_VALUE"""),"72. Ucayali")</f>
        <v>72. Ucayali</v>
      </c>
    </row>
    <row r="296">
      <c r="A296" s="25"/>
      <c r="AC296" s="42"/>
      <c r="AD296" s="42" t="str">
        <f>IFERROR(__xludf.DUMMYFUNCTION("""COMPUTED_VALUE"""),"555-B Santa Martha")</f>
        <v>555-B Santa Martha</v>
      </c>
      <c r="AE296" s="42" t="str">
        <f>IFERROR(__xludf.DUMMYFUNCTION("""COMPUTED_VALUE"""),"555-B ")</f>
        <v>555-B </v>
      </c>
      <c r="AF296" s="42" t="str">
        <f>IFERROR(__xludf.DUMMYFUNCTION("""COMPUTED_VALUE"""),"72. Ucayali")</f>
        <v>72. Ucayali</v>
      </c>
    </row>
    <row r="297">
      <c r="A297" s="25"/>
      <c r="AC297" s="42"/>
      <c r="AD297" s="42" t="str">
        <f>IFERROR(__xludf.DUMMYFUNCTION("""COMPUTED_VALUE"""),"559  3 de Mayo")</f>
        <v>559  3 de Mayo</v>
      </c>
      <c r="AE297" s="42" t="str">
        <f>IFERROR(__xludf.DUMMYFUNCTION("""COMPUTED_VALUE"""),"559  3 de Mayo")</f>
        <v>559  3 de Mayo</v>
      </c>
      <c r="AF297" s="42" t="str">
        <f>IFERROR(__xludf.DUMMYFUNCTION("""COMPUTED_VALUE"""),"72. Ucayali")</f>
        <v>72. Ucayali</v>
      </c>
    </row>
    <row r="298">
      <c r="A298" s="25"/>
      <c r="AC298" s="42"/>
      <c r="AD298" s="42" t="str">
        <f>IFERROR(__xludf.DUMMYFUNCTION("""COMPUTED_VALUE"""),"564 Nueva Barranca")</f>
        <v>564 Nueva Barranca</v>
      </c>
      <c r="AE298" s="42" t="str">
        <f>IFERROR(__xludf.DUMMYFUNCTION("""COMPUTED_VALUE"""),"564 Nueva Barranca")</f>
        <v>564 Nueva Barranca</v>
      </c>
      <c r="AF298" s="42" t="str">
        <f>IFERROR(__xludf.DUMMYFUNCTION("""COMPUTED_VALUE"""),"72. Ucayali")</f>
        <v>72. Ucayali</v>
      </c>
    </row>
    <row r="299">
      <c r="A299" s="25"/>
      <c r="AC299" s="42"/>
      <c r="AD299" s="42" t="str">
        <f>IFERROR(__xludf.DUMMYFUNCTION("""COMPUTED_VALUE"""),"566 Isla Primavera")</f>
        <v>566 Isla Primavera</v>
      </c>
      <c r="AE299" s="42" t="str">
        <f>IFERROR(__xludf.DUMMYFUNCTION("""COMPUTED_VALUE"""),"566")</f>
        <v>566</v>
      </c>
      <c r="AF299" s="42" t="str">
        <f>IFERROR(__xludf.DUMMYFUNCTION("""COMPUTED_VALUE"""),"72. Ucayali")</f>
        <v>72. Ucayali</v>
      </c>
    </row>
    <row r="300">
      <c r="A300" s="25"/>
      <c r="AC300" s="42"/>
      <c r="AD300" s="42" t="str">
        <f>IFERROR(__xludf.DUMMYFUNCTION("""COMPUTED_VALUE"""),"295 Nuevo Bagazan")</f>
        <v>295 Nuevo Bagazan</v>
      </c>
      <c r="AE300" s="42" t="str">
        <f>IFERROR(__xludf.DUMMYFUNCTION("""COMPUTED_VALUE"""),"295 Nuevo Bagazan")</f>
        <v>295 Nuevo Bagazan</v>
      </c>
      <c r="AF300" s="42" t="str">
        <f>IFERROR(__xludf.DUMMYFUNCTION("""COMPUTED_VALUE"""),"72. Ucayali")</f>
        <v>72. Ucayali</v>
      </c>
    </row>
    <row r="301">
      <c r="A301" s="25"/>
      <c r="AC301" s="42"/>
      <c r="AD301" s="42" t="str">
        <f>IFERROR(__xludf.DUMMYFUNCTION("""COMPUTED_VALUE"""),"333-B Santa Isabel de Bahuanisho")</f>
        <v>333-B Santa Isabel de Bahuanisho</v>
      </c>
      <c r="AE301" s="42" t="str">
        <f>IFERROR(__xludf.DUMMYFUNCTION("""COMPUTED_VALUE"""),"333-B ")</f>
        <v>333-B </v>
      </c>
      <c r="AF301" s="42" t="str">
        <f>IFERROR(__xludf.DUMMYFUNCTION("""COMPUTED_VALUE"""),"72. Ucayali")</f>
        <v>72. Ucayali</v>
      </c>
    </row>
    <row r="302">
      <c r="A302" s="25"/>
      <c r="AC302" s="42"/>
      <c r="AD302" s="42" t="str">
        <f>IFERROR(__xludf.DUMMYFUNCTION("""COMPUTED_VALUE"""),"294 Mazaray")</f>
        <v>294 Mazaray</v>
      </c>
      <c r="AE302" s="42" t="str">
        <f>IFERROR(__xludf.DUMMYFUNCTION("""COMPUTED_VALUE"""),"294 Mazaray")</f>
        <v>294 Mazaray</v>
      </c>
      <c r="AF302" s="42" t="str">
        <f>IFERROR(__xludf.DUMMYFUNCTION("""COMPUTED_VALUE"""),"72. Ucayali")</f>
        <v>72. Ucayali</v>
      </c>
    </row>
    <row r="303">
      <c r="A303" s="25"/>
      <c r="AC303" s="42"/>
      <c r="AD303" s="42" t="str">
        <f>IFERROR(__xludf.DUMMYFUNCTION("""COMPUTED_VALUE"""),"64115 Nuevo Bagazan")</f>
        <v>64115 Nuevo Bagazan</v>
      </c>
      <c r="AE303" s="42" t="str">
        <f>IFERROR(__xludf.DUMMYFUNCTION("""COMPUTED_VALUE"""),"64115")</f>
        <v>64115</v>
      </c>
      <c r="AF303" s="42" t="str">
        <f>IFERROR(__xludf.DUMMYFUNCTION("""COMPUTED_VALUE"""),"72. Ucayali")</f>
        <v>72. Ucayali</v>
      </c>
    </row>
    <row r="304">
      <c r="A304" s="25"/>
      <c r="AC304" s="42"/>
      <c r="AD304" s="42" t="str">
        <f>IFERROR(__xludf.DUMMYFUNCTION("""COMPUTED_VALUE"""),"64798 Nuevo Ancash")</f>
        <v>64798 Nuevo Ancash</v>
      </c>
      <c r="AE304" s="42" t="str">
        <f>IFERROR(__xludf.DUMMYFUNCTION("""COMPUTED_VALUE"""),"64798 Nuevo Ancash")</f>
        <v>64798 Nuevo Ancash</v>
      </c>
      <c r="AF304" s="42" t="str">
        <f>IFERROR(__xludf.DUMMYFUNCTION("""COMPUTED_VALUE"""),"72. Ucayali")</f>
        <v>72. Ucayali</v>
      </c>
    </row>
    <row r="305">
      <c r="A305" s="25"/>
      <c r="AC305" s="42"/>
      <c r="AD305" s="42" t="str">
        <f>IFERROR(__xludf.DUMMYFUNCTION("""COMPUTED_VALUE"""),"846 Huanccallaco")</f>
        <v>846 Huanccallaco</v>
      </c>
      <c r="AE305" s="42" t="str">
        <f>IFERROR(__xludf.DUMMYFUNCTION("""COMPUTED_VALUE"""),"846 Huanccallaco")</f>
        <v>846 Huanccallaco</v>
      </c>
      <c r="AF305" s="42" t="str">
        <f>IFERROR(__xludf.DUMMYFUNCTION("""COMPUTED_VALUE"""),"79. Huancavelica")</f>
        <v>79. Huancavelica</v>
      </c>
    </row>
    <row r="306">
      <c r="A306" s="25"/>
      <c r="AC306" s="42"/>
      <c r="AD306" s="42" t="str">
        <f>IFERROR(__xludf.DUMMYFUNCTION("""COMPUTED_VALUE"""),"130")</f>
        <v>130</v>
      </c>
      <c r="AE306" s="42" t="str">
        <f>IFERROR(__xludf.DUMMYFUNCTION("""COMPUTED_VALUE"""),"130")</f>
        <v>130</v>
      </c>
      <c r="AF306" s="42" t="str">
        <f>IFERROR(__xludf.DUMMYFUNCTION("""COMPUTED_VALUE"""),"79. Huancavelica")</f>
        <v>79. Huancavelica</v>
      </c>
    </row>
    <row r="307">
      <c r="A307" s="25"/>
      <c r="AC307" s="42"/>
      <c r="AD307" s="42" t="str">
        <f>IFERROR(__xludf.DUMMYFUNCTION("""COMPUTED_VALUE"""),"156")</f>
        <v>156</v>
      </c>
      <c r="AE307" s="42" t="str">
        <f>IFERROR(__xludf.DUMMYFUNCTION("""COMPUTED_VALUE"""),"156")</f>
        <v>156</v>
      </c>
      <c r="AF307" s="42" t="str">
        <f>IFERROR(__xludf.DUMMYFUNCTION("""COMPUTED_VALUE"""),"79. Huancavelica")</f>
        <v>79. Huancavelica</v>
      </c>
    </row>
    <row r="308">
      <c r="A308" s="25"/>
      <c r="AC308" s="42"/>
      <c r="AD308" s="42" t="str">
        <f>IFERROR(__xludf.DUMMYFUNCTION("""COMPUTED_VALUE"""),"843")</f>
        <v>843</v>
      </c>
      <c r="AE308" s="42" t="str">
        <f>IFERROR(__xludf.DUMMYFUNCTION("""COMPUTED_VALUE"""),"843")</f>
        <v>843</v>
      </c>
      <c r="AF308" s="42" t="str">
        <f>IFERROR(__xludf.DUMMYFUNCTION("""COMPUTED_VALUE"""),"79. Huancavelica")</f>
        <v>79. Huancavelica</v>
      </c>
    </row>
    <row r="309">
      <c r="A309" s="25"/>
      <c r="AC309" s="42"/>
      <c r="AD309" s="42" t="str">
        <f>IFERROR(__xludf.DUMMYFUNCTION("""COMPUTED_VALUE"""),"36167")</f>
        <v>36167</v>
      </c>
      <c r="AE309" s="42" t="str">
        <f>IFERROR(__xludf.DUMMYFUNCTION("""COMPUTED_VALUE"""),"36167")</f>
        <v>36167</v>
      </c>
      <c r="AF309" s="42" t="str">
        <f>IFERROR(__xludf.DUMMYFUNCTION("""COMPUTED_VALUE"""),"79. Huancavelica")</f>
        <v>79. Huancavelica</v>
      </c>
    </row>
    <row r="310">
      <c r="A310" s="25"/>
      <c r="AC310" s="42"/>
      <c r="AD310" s="42" t="str">
        <f>IFERROR(__xludf.DUMMYFUNCTION("""COMPUTED_VALUE"""),"36831")</f>
        <v>36831</v>
      </c>
      <c r="AE310" s="42" t="str">
        <f>IFERROR(__xludf.DUMMYFUNCTION("""COMPUTED_VALUE"""),"36831")</f>
        <v>36831</v>
      </c>
      <c r="AF310" s="42" t="str">
        <f>IFERROR(__xludf.DUMMYFUNCTION("""COMPUTED_VALUE"""),"79. Huancavelica")</f>
        <v>79. Huancavelica</v>
      </c>
    </row>
    <row r="311">
      <c r="A311" s="25"/>
      <c r="AC311" s="42"/>
      <c r="AD311" s="42" t="str">
        <f>IFERROR(__xludf.DUMMYFUNCTION("""COMPUTED_VALUE"""),"Marcas")</f>
        <v>Marcas</v>
      </c>
      <c r="AE311" s="42" t="str">
        <f>IFERROR(__xludf.DUMMYFUNCTION("""COMPUTED_VALUE"""),"Marcas")</f>
        <v>Marcas</v>
      </c>
      <c r="AF311" s="42" t="str">
        <f>IFERROR(__xludf.DUMMYFUNCTION("""COMPUTED_VALUE"""),"79. Huancavelica")</f>
        <v>79. Huancavelica</v>
      </c>
    </row>
    <row r="312">
      <c r="A312" s="25"/>
      <c r="AC312" s="42"/>
      <c r="AD312" s="42" t="str">
        <f>IFERROR(__xludf.DUMMYFUNCTION("""COMPUTED_VALUE"""),"177")</f>
        <v>177</v>
      </c>
      <c r="AE312" s="42" t="str">
        <f>IFERROR(__xludf.DUMMYFUNCTION("""COMPUTED_VALUE"""),"177")</f>
        <v>177</v>
      </c>
      <c r="AF312" s="42" t="str">
        <f>IFERROR(__xludf.DUMMYFUNCTION("""COMPUTED_VALUE"""),"79. Huancavelica")</f>
        <v>79. Huancavelica</v>
      </c>
    </row>
    <row r="313">
      <c r="A313" s="25"/>
      <c r="AC313" s="42"/>
      <c r="AD313" s="42" t="str">
        <f>IFERROR(__xludf.DUMMYFUNCTION("""COMPUTED_VALUE"""),"592")</f>
        <v>592</v>
      </c>
      <c r="AE313" s="42" t="str">
        <f>IFERROR(__xludf.DUMMYFUNCTION("""COMPUTED_VALUE"""),"592")</f>
        <v>592</v>
      </c>
      <c r="AF313" s="42" t="str">
        <f>IFERROR(__xludf.DUMMYFUNCTION("""COMPUTED_VALUE"""),"79. Huancavelica")</f>
        <v>79. Huancavelica</v>
      </c>
    </row>
    <row r="314">
      <c r="A314" s="25"/>
      <c r="AC314" s="42"/>
      <c r="AD314" s="42" t="str">
        <f>IFERROR(__xludf.DUMMYFUNCTION("""COMPUTED_VALUE"""),"36163")</f>
        <v>36163</v>
      </c>
      <c r="AE314" s="42" t="str">
        <f>IFERROR(__xludf.DUMMYFUNCTION("""COMPUTED_VALUE"""),"36163 JAVIER HERAUD PEREZ")</f>
        <v>36163 JAVIER HERAUD PEREZ</v>
      </c>
      <c r="AF314" s="42" t="str">
        <f>IFERROR(__xludf.DUMMYFUNCTION("""COMPUTED_VALUE"""),"79. Huancavelica")</f>
        <v>79. Huancavelica</v>
      </c>
    </row>
    <row r="315">
      <c r="A315" s="25"/>
      <c r="AC315" s="42"/>
      <c r="AD315" s="42" t="str">
        <f>IFERROR(__xludf.DUMMYFUNCTION("""COMPUTED_VALUE"""),"36153")</f>
        <v>36153</v>
      </c>
      <c r="AE315" s="42" t="str">
        <f>IFERROR(__xludf.DUMMYFUNCTION("""COMPUTED_VALUE"""),"36153 SAYRI TUPAC")</f>
        <v>36153 SAYRI TUPAC</v>
      </c>
      <c r="AF315" s="42" t="str">
        <f>IFERROR(__xludf.DUMMYFUNCTION("""COMPUTED_VALUE"""),"79. Huancavelica")</f>
        <v>79. Huancavelica</v>
      </c>
    </row>
    <row r="316">
      <c r="A316" s="25"/>
      <c r="AC316" s="42"/>
      <c r="AD316" s="42" t="str">
        <f>IFERROR(__xludf.DUMMYFUNCTION("""COMPUTED_VALUE"""),"36201")</f>
        <v>36201</v>
      </c>
      <c r="AE316" s="42" t="str">
        <f>IFERROR(__xludf.DUMMYFUNCTION("""COMPUTED_VALUE"""),"36201")</f>
        <v>36201</v>
      </c>
      <c r="AF316" s="42" t="str">
        <f>IFERROR(__xludf.DUMMYFUNCTION("""COMPUTED_VALUE"""),"79. Huancavelica")</f>
        <v>79. Huancavelica</v>
      </c>
    </row>
    <row r="317">
      <c r="A317" s="25"/>
      <c r="AC317" s="42"/>
      <c r="AD317" s="24"/>
      <c r="AE317" s="24"/>
      <c r="AF317" s="24"/>
    </row>
    <row r="318">
      <c r="A318" s="25"/>
      <c r="AD318" s="42" t="str">
        <f>IFERROR(__xludf.DUMMYFUNCTION("""COMPUTED_VALUE"""),"86769 ABRAHAM VALDELOMAR")</f>
        <v>86769 ABRAHAM VALDELOMAR</v>
      </c>
      <c r="AE318" s="42" t="str">
        <f>IFERROR(__xludf.DUMMYFUNCTION("""COMPUTED_VALUE"""),"86769 ABRAHAM VALDELOMAR")</f>
        <v>86769 ABRAHAM VALDELOMAR</v>
      </c>
      <c r="AF318" s="24"/>
    </row>
    <row r="319">
      <c r="A319" s="25"/>
      <c r="AC319" s="42"/>
      <c r="AD319" s="42" t="str">
        <f>IFERROR(__xludf.DUMMYFUNCTION("""COMPUTED_VALUE"""),"86548 JOSE MARIA VELAZ")</f>
        <v>86548 JOSE MARIA VELAZ</v>
      </c>
      <c r="AE319" s="42" t="str">
        <f>IFERROR(__xludf.DUMMYFUNCTION("""COMPUTED_VALUE"""),"86548 JOSE MARIA VELAZ")</f>
        <v>86548 JOSE MARIA VELAZ</v>
      </c>
      <c r="AF319" s="24"/>
    </row>
    <row r="320">
      <c r="A320" s="25"/>
      <c r="AC320" s="42"/>
      <c r="AD320" s="42" t="str">
        <f>IFERROR(__xludf.DUMMYFUNCTION("""COMPUTED_VALUE"""),"86809")</f>
        <v>86809</v>
      </c>
      <c r="AE320" s="42" t="str">
        <f>IFERROR(__xludf.DUMMYFUNCTION("""COMPUTED_VALUE"""),"86809")</f>
        <v>86809</v>
      </c>
      <c r="AF320" s="24"/>
    </row>
    <row r="321">
      <c r="A321" s="25"/>
      <c r="AC321" s="42"/>
      <c r="AD321" s="42" t="str">
        <f>IFERROR(__xludf.DUMMYFUNCTION("""COMPUTED_VALUE"""),"88327")</f>
        <v>88327</v>
      </c>
      <c r="AE321" s="42" t="str">
        <f>IFERROR(__xludf.DUMMYFUNCTION("""COMPUTED_VALUE"""),"88327")</f>
        <v>88327</v>
      </c>
      <c r="AF321" s="24"/>
    </row>
    <row r="322">
      <c r="A322" s="25"/>
      <c r="AC322" s="42"/>
      <c r="AD322" s="42" t="str">
        <f>IFERROR(__xludf.DUMMYFUNCTION("""COMPUTED_VALUE"""),"88247 SAN ENRIQUE")</f>
        <v>88247 SAN ENRIQUE</v>
      </c>
      <c r="AE322" s="42" t="str">
        <f>IFERROR(__xludf.DUMMYFUNCTION("""COMPUTED_VALUE"""),"88247 SAN ENRIQUE")</f>
        <v>88247 SAN ENRIQUE</v>
      </c>
      <c r="AF322" s="24"/>
    </row>
    <row r="323">
      <c r="A323" s="25"/>
      <c r="AC323" s="42"/>
      <c r="AD323" s="42" t="str">
        <f>IFERROR(__xludf.DUMMYFUNCTION("""COMPUTED_VALUE"""),"50912")</f>
        <v>50912</v>
      </c>
      <c r="AE323" s="42" t="str">
        <f>IFERROR(__xludf.DUMMYFUNCTION("""COMPUTED_VALUE"""),"50912")</f>
        <v>50912</v>
      </c>
      <c r="AF323" s="24"/>
    </row>
    <row r="324">
      <c r="A324" s="25"/>
      <c r="AC324" s="42"/>
      <c r="AD324" s="42" t="str">
        <f>IFERROR(__xludf.DUMMYFUNCTION("""COMPUTED_VALUE"""),"50536")</f>
        <v>50536</v>
      </c>
      <c r="AE324" s="42" t="str">
        <f>IFERROR(__xludf.DUMMYFUNCTION("""COMPUTED_VALUE"""),"50536")</f>
        <v>50536</v>
      </c>
      <c r="AF324" s="24"/>
    </row>
    <row r="325">
      <c r="A325" s="25"/>
      <c r="AC325" s="42"/>
      <c r="AD325" s="42" t="str">
        <f>IFERROR(__xludf.DUMMYFUNCTION("""COMPUTED_VALUE"""),"501432")</f>
        <v>501432</v>
      </c>
      <c r="AE325" s="42" t="str">
        <f>IFERROR(__xludf.DUMMYFUNCTION("""COMPUTED_VALUE"""),"501432 PAPA FRANCISCO I")</f>
        <v>501432 PAPA FRANCISCO I</v>
      </c>
      <c r="AF325" s="24"/>
    </row>
    <row r="326">
      <c r="A326" s="25"/>
      <c r="AC326" s="42"/>
      <c r="AD326" s="42" t="str">
        <f>IFERROR(__xludf.DUMMYFUNCTION("""COMPUTED_VALUE"""),"64115")</f>
        <v>64115</v>
      </c>
      <c r="AE326" s="42" t="str">
        <f>IFERROR(__xludf.DUMMYFUNCTION("""COMPUTED_VALUE"""),"64115")</f>
        <v>64115</v>
      </c>
      <c r="AF326" s="24"/>
    </row>
    <row r="327">
      <c r="A327" s="25"/>
      <c r="AC327" s="42"/>
      <c r="AD327" s="42" t="str">
        <f>IFERROR(__xludf.DUMMYFUNCTION("""COMPUTED_VALUE"""),"64028")</f>
        <v>64028</v>
      </c>
      <c r="AE327" s="42" t="str">
        <f>IFERROR(__xludf.DUMMYFUNCTION("""COMPUTED_VALUE"""),"64028")</f>
        <v>64028</v>
      </c>
      <c r="AF327" s="24"/>
    </row>
    <row r="328">
      <c r="A328" s="25"/>
      <c r="AC328" s="42"/>
      <c r="AD328" s="42" t="str">
        <f>IFERROR(__xludf.DUMMYFUNCTION("""COMPUTED_VALUE"""),"65199")</f>
        <v>65199</v>
      </c>
      <c r="AE328" s="42" t="str">
        <f>IFERROR(__xludf.DUMMYFUNCTION("""COMPUTED_VALUE"""),"65199")</f>
        <v>65199</v>
      </c>
      <c r="AF328" s="24"/>
    </row>
    <row r="329">
      <c r="A329" s="25"/>
      <c r="AC329" s="42"/>
      <c r="AD329" s="42" t="str">
        <f>IFERROR(__xludf.DUMMYFUNCTION("""COMPUTED_VALUE"""),"64346")</f>
        <v>64346</v>
      </c>
      <c r="AE329" s="42" t="str">
        <f>IFERROR(__xludf.DUMMYFUNCTION("""COMPUTED_VALUE"""),"64346")</f>
        <v>64346</v>
      </c>
      <c r="AF329" s="24"/>
    </row>
    <row r="330">
      <c r="A330" s="25"/>
      <c r="AC330" s="42"/>
      <c r="AD330" s="42" t="str">
        <f>IFERROR(__xludf.DUMMYFUNCTION("""COMPUTED_VALUE"""),"64829")</f>
        <v>64829</v>
      </c>
      <c r="AE330" s="42" t="str">
        <f>IFERROR(__xludf.DUMMYFUNCTION("""COMPUTED_VALUE"""),"64829")</f>
        <v>64829</v>
      </c>
      <c r="AF330" s="24"/>
    </row>
    <row r="331">
      <c r="A331" s="25"/>
      <c r="AC331" s="42"/>
      <c r="AD331" s="42" t="str">
        <f>IFERROR(__xludf.DUMMYFUNCTION("""COMPUTED_VALUE"""),"36173 SANTIAGO ANTUNEZ DE MAYOLO")</f>
        <v>36173 SANTIAGO ANTUNEZ DE MAYOLO</v>
      </c>
      <c r="AE331" s="42" t="str">
        <f>IFERROR(__xludf.DUMMYFUNCTION("""COMPUTED_VALUE"""),"SANTIAGO ANTUNEZ DE MAYOLO")</f>
        <v>SANTIAGO ANTUNEZ DE MAYOLO</v>
      </c>
      <c r="AF331" s="24"/>
    </row>
    <row r="332">
      <c r="A332" s="25"/>
      <c r="AC332" s="42"/>
      <c r="AD332" s="42" t="str">
        <f>IFERROR(__xludf.DUMMYFUNCTION("""COMPUTED_VALUE"""),"36789 NUESTRA SEÑORA DEL CARMEN")</f>
        <v>36789 NUESTRA SEÑORA DEL CARMEN</v>
      </c>
      <c r="AE332" s="42" t="str">
        <f>IFERROR(__xludf.DUMMYFUNCTION("""COMPUTED_VALUE"""),"36789 NUESTRA SEÑORA DEL CARMEN")</f>
        <v>36789 NUESTRA SEÑORA DEL CARMEN</v>
      </c>
      <c r="AF332" s="24"/>
    </row>
    <row r="333">
      <c r="A333" s="25"/>
      <c r="AC333" s="42"/>
      <c r="AD333" s="24"/>
      <c r="AE333" s="24"/>
      <c r="AF333" s="24"/>
    </row>
    <row r="334">
      <c r="A334" s="25"/>
      <c r="AD334" s="24"/>
      <c r="AE334" s="24"/>
      <c r="AF334" s="24"/>
    </row>
    <row r="335">
      <c r="A335" s="25"/>
      <c r="AD335" s="24"/>
      <c r="AE335" s="24"/>
      <c r="AF335" s="24"/>
    </row>
    <row r="336">
      <c r="A336" s="25"/>
      <c r="AD336" s="24"/>
      <c r="AE336" s="24"/>
      <c r="AF336" s="24"/>
    </row>
    <row r="337">
      <c r="A337" s="25"/>
      <c r="AD337" s="24"/>
      <c r="AE337" s="24"/>
      <c r="AF337" s="24"/>
    </row>
    <row r="338">
      <c r="A338" s="25"/>
      <c r="AD338" s="24"/>
      <c r="AE338" s="24"/>
      <c r="AF338" s="24"/>
    </row>
    <row r="339">
      <c r="A339" s="25"/>
      <c r="AD339" s="24"/>
      <c r="AE339" s="24"/>
      <c r="AF339" s="24"/>
    </row>
    <row r="340">
      <c r="A340" s="25"/>
      <c r="AD340" s="24"/>
      <c r="AE340" s="24"/>
      <c r="AF340" s="24"/>
    </row>
    <row r="341">
      <c r="A341" s="25"/>
      <c r="AD341" s="24"/>
      <c r="AE341" s="24"/>
      <c r="AF341" s="24"/>
    </row>
    <row r="342">
      <c r="A342" s="25"/>
      <c r="AD342" s="24"/>
      <c r="AE342" s="24"/>
      <c r="AF342" s="24"/>
    </row>
    <row r="343">
      <c r="A343" s="25"/>
      <c r="AD343" s="24"/>
      <c r="AE343" s="24"/>
      <c r="AF343" s="24"/>
    </row>
    <row r="344">
      <c r="A344" s="25"/>
      <c r="AD344" s="24"/>
      <c r="AE344" s="24"/>
      <c r="AF344" s="24"/>
    </row>
    <row r="345">
      <c r="A345" s="25"/>
      <c r="AD345" s="24"/>
      <c r="AE345" s="24"/>
      <c r="AF345" s="24"/>
    </row>
    <row r="346">
      <c r="A346" s="25"/>
      <c r="AD346" s="24"/>
      <c r="AE346" s="24"/>
      <c r="AF346" s="24"/>
    </row>
    <row r="347">
      <c r="A347" s="25"/>
      <c r="AD347" s="24"/>
      <c r="AE347" s="24"/>
      <c r="AF347" s="24"/>
    </row>
    <row r="348">
      <c r="A348" s="25"/>
      <c r="AD348" s="24"/>
      <c r="AE348" s="24"/>
      <c r="AF348" s="24"/>
    </row>
    <row r="349">
      <c r="A349" s="25"/>
      <c r="AD349" s="24"/>
      <c r="AE349" s="24"/>
      <c r="AF349" s="24"/>
    </row>
    <row r="350">
      <c r="A350" s="25"/>
      <c r="AD350" s="24"/>
      <c r="AE350" s="24"/>
      <c r="AF350" s="24"/>
    </row>
    <row r="351">
      <c r="A351" s="25"/>
      <c r="AD351" s="24"/>
      <c r="AE351" s="24"/>
      <c r="AF351" s="24"/>
    </row>
    <row r="352">
      <c r="A352" s="25"/>
      <c r="AD352" s="24"/>
      <c r="AE352" s="24"/>
      <c r="AF352" s="24"/>
    </row>
    <row r="353">
      <c r="A353" s="25"/>
      <c r="AD353" s="24"/>
      <c r="AE353" s="24"/>
      <c r="AF353" s="24"/>
    </row>
    <row r="354">
      <c r="A354" s="25"/>
    </row>
    <row r="355">
      <c r="A355" s="25"/>
    </row>
    <row r="356">
      <c r="A356" s="25"/>
    </row>
    <row r="357">
      <c r="A357" s="25"/>
    </row>
    <row r="358">
      <c r="A358" s="25"/>
    </row>
    <row r="359">
      <c r="A359" s="25"/>
    </row>
    <row r="360">
      <c r="A360" s="25"/>
    </row>
    <row r="361">
      <c r="A361" s="25"/>
    </row>
    <row r="362">
      <c r="A362" s="25"/>
    </row>
    <row r="363">
      <c r="A363" s="25"/>
    </row>
    <row r="364">
      <c r="A364" s="25"/>
    </row>
    <row r="365">
      <c r="A365" s="25"/>
    </row>
    <row r="366">
      <c r="A366" s="25"/>
    </row>
    <row r="367">
      <c r="A367" s="25"/>
    </row>
    <row r="368">
      <c r="A368" s="25"/>
    </row>
    <row r="369">
      <c r="A369" s="25"/>
    </row>
    <row r="370">
      <c r="A370" s="25"/>
    </row>
    <row r="371">
      <c r="A371" s="25"/>
    </row>
    <row r="372">
      <c r="A372" s="25"/>
    </row>
    <row r="373">
      <c r="A373" s="25"/>
    </row>
    <row r="374">
      <c r="A374" s="25"/>
    </row>
    <row r="375">
      <c r="A375" s="25"/>
    </row>
    <row r="376">
      <c r="A376" s="25"/>
    </row>
    <row r="377">
      <c r="A377" s="25"/>
    </row>
    <row r="378">
      <c r="A378" s="25"/>
    </row>
    <row r="379">
      <c r="A379" s="25"/>
    </row>
    <row r="380">
      <c r="A380" s="25"/>
    </row>
    <row r="381">
      <c r="A381" s="25"/>
    </row>
    <row r="382">
      <c r="A382" s="25"/>
    </row>
    <row r="383">
      <c r="A383" s="25"/>
    </row>
    <row r="384">
      <c r="A384" s="25"/>
    </row>
    <row r="385">
      <c r="A385" s="25"/>
    </row>
    <row r="386">
      <c r="A386" s="25"/>
    </row>
    <row r="387">
      <c r="A387" s="25"/>
    </row>
    <row r="388">
      <c r="A388" s="25"/>
    </row>
    <row r="389">
      <c r="A389" s="25"/>
    </row>
    <row r="390">
      <c r="A390" s="25"/>
    </row>
    <row r="391">
      <c r="A391" s="25"/>
    </row>
    <row r="392">
      <c r="A392" s="25"/>
    </row>
    <row r="393">
      <c r="A393" s="25"/>
    </row>
    <row r="394">
      <c r="A394" s="25"/>
    </row>
    <row r="395">
      <c r="A395" s="25"/>
    </row>
    <row r="396">
      <c r="A396" s="25"/>
    </row>
    <row r="397">
      <c r="A397" s="25"/>
    </row>
    <row r="398">
      <c r="A398" s="25"/>
    </row>
    <row r="399">
      <c r="A399" s="25"/>
    </row>
    <row r="400">
      <c r="A400" s="25"/>
    </row>
    <row r="401">
      <c r="A401" s="25"/>
    </row>
    <row r="402">
      <c r="A402" s="25"/>
    </row>
    <row r="403">
      <c r="A403" s="25"/>
    </row>
    <row r="404">
      <c r="A404" s="25"/>
    </row>
    <row r="405">
      <c r="A405" s="25"/>
    </row>
    <row r="406">
      <c r="A406" s="25"/>
    </row>
    <row r="407">
      <c r="A407" s="25"/>
    </row>
    <row r="408">
      <c r="A408" s="25"/>
    </row>
    <row r="409">
      <c r="A409" s="25"/>
    </row>
    <row r="410">
      <c r="A410" s="25"/>
    </row>
    <row r="411">
      <c r="A411" s="25"/>
    </row>
    <row r="412">
      <c r="A412" s="25"/>
    </row>
    <row r="413">
      <c r="A413" s="25"/>
    </row>
    <row r="414">
      <c r="A414" s="25"/>
    </row>
    <row r="415">
      <c r="A415" s="25"/>
    </row>
    <row r="416">
      <c r="A416" s="25"/>
    </row>
    <row r="417">
      <c r="A417" s="25"/>
    </row>
    <row r="418">
      <c r="A418" s="25"/>
    </row>
    <row r="419">
      <c r="A419" s="25"/>
    </row>
    <row r="420">
      <c r="A420" s="25"/>
    </row>
    <row r="421">
      <c r="A421" s="25"/>
    </row>
    <row r="422">
      <c r="A422" s="25"/>
    </row>
    <row r="423">
      <c r="A423" s="25"/>
    </row>
    <row r="424">
      <c r="A424" s="25"/>
    </row>
    <row r="425">
      <c r="A425" s="25"/>
    </row>
    <row r="426">
      <c r="A426" s="25"/>
    </row>
    <row r="427">
      <c r="A427" s="25"/>
    </row>
    <row r="428">
      <c r="A428" s="25"/>
    </row>
    <row r="429">
      <c r="A429" s="25"/>
    </row>
    <row r="430">
      <c r="A430" s="25"/>
    </row>
    <row r="431">
      <c r="A431" s="25"/>
    </row>
    <row r="432">
      <c r="A432" s="25"/>
    </row>
    <row r="433">
      <c r="A433" s="25"/>
    </row>
    <row r="434">
      <c r="A434" s="25"/>
    </row>
    <row r="435">
      <c r="A435" s="25"/>
    </row>
    <row r="436">
      <c r="A436" s="25"/>
    </row>
    <row r="437">
      <c r="A437" s="25"/>
    </row>
    <row r="438">
      <c r="A438" s="25"/>
    </row>
    <row r="439">
      <c r="A439" s="25"/>
    </row>
    <row r="440">
      <c r="A440" s="25"/>
    </row>
    <row r="441">
      <c r="A441" s="25"/>
    </row>
    <row r="442">
      <c r="A442" s="25"/>
    </row>
    <row r="443">
      <c r="A443" s="25"/>
    </row>
    <row r="444">
      <c r="A444" s="25"/>
    </row>
    <row r="445">
      <c r="A445" s="25"/>
    </row>
    <row r="446">
      <c r="A446" s="25"/>
    </row>
    <row r="447">
      <c r="A447" s="25"/>
    </row>
    <row r="448">
      <c r="A448" s="25"/>
    </row>
    <row r="449">
      <c r="A449" s="25"/>
    </row>
    <row r="450">
      <c r="A450" s="25"/>
    </row>
    <row r="451">
      <c r="A451" s="25"/>
    </row>
    <row r="452">
      <c r="A452" s="25"/>
    </row>
    <row r="453">
      <c r="A453" s="25"/>
    </row>
    <row r="454">
      <c r="A454" s="25"/>
    </row>
    <row r="455">
      <c r="A455" s="25"/>
    </row>
    <row r="456">
      <c r="A456" s="25"/>
    </row>
    <row r="457">
      <c r="A457" s="25"/>
    </row>
    <row r="458">
      <c r="A458" s="25"/>
    </row>
    <row r="459">
      <c r="A459" s="25"/>
    </row>
    <row r="460">
      <c r="A460" s="25"/>
    </row>
    <row r="461">
      <c r="A461" s="25"/>
    </row>
    <row r="462">
      <c r="A462" s="25"/>
    </row>
    <row r="463">
      <c r="A463" s="25"/>
    </row>
    <row r="464">
      <c r="A464" s="25"/>
    </row>
    <row r="465">
      <c r="A465" s="25"/>
    </row>
    <row r="466">
      <c r="A466" s="25"/>
    </row>
    <row r="467">
      <c r="A467" s="25"/>
    </row>
    <row r="468">
      <c r="A468" s="25"/>
    </row>
    <row r="469">
      <c r="A469" s="25"/>
    </row>
    <row r="470">
      <c r="A470" s="25"/>
    </row>
    <row r="471">
      <c r="A471" s="25"/>
    </row>
    <row r="472">
      <c r="A472" s="25"/>
    </row>
    <row r="473">
      <c r="A473" s="25"/>
    </row>
    <row r="474">
      <c r="A474" s="25"/>
    </row>
    <row r="475">
      <c r="A475" s="25"/>
    </row>
    <row r="476">
      <c r="A476" s="25"/>
    </row>
    <row r="477">
      <c r="A477" s="25"/>
    </row>
    <row r="478">
      <c r="A478" s="25"/>
    </row>
    <row r="479">
      <c r="A479" s="25"/>
    </row>
    <row r="480">
      <c r="A480" s="25"/>
    </row>
    <row r="481">
      <c r="A481" s="25"/>
    </row>
    <row r="482">
      <c r="A482" s="25"/>
    </row>
    <row r="483">
      <c r="A483" s="25"/>
    </row>
    <row r="484">
      <c r="A484" s="25"/>
    </row>
    <row r="485">
      <c r="A485" s="25"/>
    </row>
    <row r="486">
      <c r="A486" s="25"/>
    </row>
    <row r="487">
      <c r="A487" s="25"/>
    </row>
    <row r="488">
      <c r="A488" s="25"/>
    </row>
    <row r="489">
      <c r="A489" s="25"/>
    </row>
    <row r="490">
      <c r="A490" s="25"/>
    </row>
    <row r="491">
      <c r="A491" s="25"/>
    </row>
    <row r="492">
      <c r="A492" s="25"/>
    </row>
    <row r="493">
      <c r="A493" s="25"/>
    </row>
    <row r="494">
      <c r="A494" s="25"/>
    </row>
    <row r="495">
      <c r="A495" s="25"/>
    </row>
    <row r="496">
      <c r="A496" s="25"/>
    </row>
    <row r="497">
      <c r="A497" s="25"/>
    </row>
    <row r="498">
      <c r="A498" s="25"/>
    </row>
    <row r="499">
      <c r="A499" s="25"/>
    </row>
    <row r="500">
      <c r="A500" s="25"/>
    </row>
    <row r="501">
      <c r="A501" s="25"/>
    </row>
    <row r="502">
      <c r="A502" s="25"/>
    </row>
    <row r="503">
      <c r="A503" s="25"/>
    </row>
    <row r="504">
      <c r="A504" s="25"/>
    </row>
    <row r="505">
      <c r="A505" s="25"/>
    </row>
    <row r="506">
      <c r="A506" s="25"/>
    </row>
    <row r="507">
      <c r="A507" s="25"/>
    </row>
    <row r="508">
      <c r="A508" s="25"/>
    </row>
    <row r="509">
      <c r="A509" s="25"/>
    </row>
    <row r="510">
      <c r="A510" s="25"/>
    </row>
    <row r="511">
      <c r="A511" s="25"/>
    </row>
    <row r="512">
      <c r="A512" s="25"/>
    </row>
    <row r="513">
      <c r="A513" s="25"/>
    </row>
    <row r="514">
      <c r="A514" s="25"/>
    </row>
    <row r="515">
      <c r="A515" s="25"/>
    </row>
    <row r="516">
      <c r="A516" s="25"/>
    </row>
    <row r="517">
      <c r="A517" s="25"/>
    </row>
    <row r="518">
      <c r="A518" s="25"/>
    </row>
    <row r="519">
      <c r="A519" s="25"/>
    </row>
    <row r="520">
      <c r="A520" s="25"/>
    </row>
    <row r="521">
      <c r="A521" s="25"/>
    </row>
    <row r="522">
      <c r="A522" s="25"/>
    </row>
    <row r="523">
      <c r="A523" s="25"/>
    </row>
    <row r="524">
      <c r="A524" s="25"/>
    </row>
    <row r="525">
      <c r="A525" s="25"/>
    </row>
    <row r="526">
      <c r="A526" s="25"/>
    </row>
    <row r="527">
      <c r="A527" s="25"/>
    </row>
    <row r="528">
      <c r="A528" s="25"/>
    </row>
    <row r="529">
      <c r="A529" s="25"/>
    </row>
    <row r="530">
      <c r="A530" s="25"/>
    </row>
    <row r="531">
      <c r="A531" s="25"/>
    </row>
    <row r="532">
      <c r="A532" s="25"/>
    </row>
    <row r="533">
      <c r="A533" s="25"/>
    </row>
    <row r="534">
      <c r="A534" s="25"/>
    </row>
    <row r="535">
      <c r="A535" s="25"/>
    </row>
    <row r="536">
      <c r="A536" s="25"/>
    </row>
    <row r="537">
      <c r="A537" s="25"/>
    </row>
    <row r="538">
      <c r="A538" s="25"/>
    </row>
    <row r="539">
      <c r="A539" s="25"/>
    </row>
    <row r="540">
      <c r="A540" s="25"/>
    </row>
    <row r="541">
      <c r="A541" s="25"/>
    </row>
    <row r="542">
      <c r="A542" s="25"/>
    </row>
    <row r="543">
      <c r="A543" s="25"/>
    </row>
    <row r="544">
      <c r="A544" s="25"/>
    </row>
    <row r="545">
      <c r="A545" s="25"/>
    </row>
    <row r="546">
      <c r="A546" s="25"/>
    </row>
    <row r="547">
      <c r="A547" s="25"/>
    </row>
    <row r="548">
      <c r="A548" s="25"/>
    </row>
    <row r="549">
      <c r="A549" s="25"/>
    </row>
    <row r="550">
      <c r="A550" s="25"/>
    </row>
    <row r="551">
      <c r="A551" s="25"/>
    </row>
    <row r="552">
      <c r="A552" s="25"/>
    </row>
    <row r="553">
      <c r="A553" s="25"/>
    </row>
    <row r="554">
      <c r="A554" s="25"/>
    </row>
    <row r="555">
      <c r="A555" s="25"/>
    </row>
    <row r="556">
      <c r="A556" s="25"/>
    </row>
    <row r="557">
      <c r="A557" s="25"/>
    </row>
    <row r="558">
      <c r="A558" s="25"/>
    </row>
    <row r="559">
      <c r="A559" s="25"/>
    </row>
    <row r="560">
      <c r="A560" s="25"/>
    </row>
    <row r="561">
      <c r="A561" s="25"/>
    </row>
    <row r="562">
      <c r="A562" s="25"/>
    </row>
    <row r="563">
      <c r="A563" s="25"/>
    </row>
    <row r="564">
      <c r="A564" s="25"/>
    </row>
    <row r="565">
      <c r="A565" s="25"/>
    </row>
    <row r="566">
      <c r="A566" s="25"/>
    </row>
    <row r="567">
      <c r="A567" s="25"/>
    </row>
    <row r="568">
      <c r="A568" s="25"/>
    </row>
    <row r="569">
      <c r="A569" s="25"/>
    </row>
    <row r="570">
      <c r="A570" s="25"/>
    </row>
    <row r="571">
      <c r="A571" s="25"/>
    </row>
    <row r="572">
      <c r="A572" s="25"/>
    </row>
    <row r="573">
      <c r="A573" s="25"/>
    </row>
    <row r="574">
      <c r="A574" s="25"/>
    </row>
    <row r="575">
      <c r="A575" s="25"/>
    </row>
    <row r="576">
      <c r="A576" s="25"/>
    </row>
    <row r="577">
      <c r="A577" s="25"/>
    </row>
    <row r="578">
      <c r="A578" s="25"/>
    </row>
    <row r="579">
      <c r="A579" s="25"/>
    </row>
    <row r="580">
      <c r="A580" s="25"/>
    </row>
    <row r="581">
      <c r="A581" s="25"/>
    </row>
    <row r="582">
      <c r="A582" s="25"/>
    </row>
    <row r="583">
      <c r="A583" s="25"/>
    </row>
    <row r="584">
      <c r="A584" s="25"/>
    </row>
    <row r="585">
      <c r="A585" s="25"/>
    </row>
    <row r="586">
      <c r="A586" s="25"/>
    </row>
    <row r="587">
      <c r="A587" s="25"/>
    </row>
    <row r="588">
      <c r="A588" s="25"/>
    </row>
    <row r="589">
      <c r="A589" s="25"/>
    </row>
    <row r="590">
      <c r="A590" s="25"/>
    </row>
    <row r="591">
      <c r="A591" s="25"/>
    </row>
    <row r="592">
      <c r="A592" s="25"/>
    </row>
    <row r="593">
      <c r="A593" s="25"/>
    </row>
    <row r="594">
      <c r="A594" s="25"/>
    </row>
    <row r="595">
      <c r="A595" s="25"/>
    </row>
    <row r="596">
      <c r="A596" s="25"/>
    </row>
    <row r="597">
      <c r="A597" s="25"/>
    </row>
    <row r="598">
      <c r="A598" s="25"/>
    </row>
    <row r="599">
      <c r="A599" s="25"/>
    </row>
    <row r="600">
      <c r="A600" s="25"/>
    </row>
    <row r="601">
      <c r="A601" s="25"/>
    </row>
    <row r="602">
      <c r="A602" s="25"/>
    </row>
    <row r="603">
      <c r="A603" s="25"/>
    </row>
    <row r="604">
      <c r="A604" s="25"/>
    </row>
    <row r="605">
      <c r="A605" s="25"/>
    </row>
    <row r="606">
      <c r="A606" s="25"/>
    </row>
    <row r="607">
      <c r="A607" s="25"/>
    </row>
    <row r="608">
      <c r="A608" s="25"/>
    </row>
    <row r="609">
      <c r="A609" s="25"/>
    </row>
    <row r="610">
      <c r="A610" s="25"/>
    </row>
    <row r="611">
      <c r="A611" s="25"/>
    </row>
    <row r="612">
      <c r="A612" s="25"/>
    </row>
    <row r="613">
      <c r="A613" s="25"/>
    </row>
    <row r="614">
      <c r="A614" s="25"/>
    </row>
    <row r="615">
      <c r="A615" s="25"/>
    </row>
    <row r="616">
      <c r="A616" s="25"/>
    </row>
    <row r="617">
      <c r="A617" s="25"/>
    </row>
    <row r="618">
      <c r="A618" s="25"/>
    </row>
    <row r="619">
      <c r="A619" s="25"/>
    </row>
    <row r="620">
      <c r="A620" s="25"/>
    </row>
    <row r="621">
      <c r="A621" s="25"/>
    </row>
    <row r="622">
      <c r="A622" s="25"/>
    </row>
    <row r="623">
      <c r="A623" s="25"/>
    </row>
    <row r="624">
      <c r="A624" s="25"/>
    </row>
    <row r="625">
      <c r="A625" s="25"/>
    </row>
    <row r="626">
      <c r="A626" s="25"/>
    </row>
    <row r="627">
      <c r="A627" s="25"/>
    </row>
    <row r="628">
      <c r="A628" s="25"/>
    </row>
    <row r="629">
      <c r="A629" s="25"/>
    </row>
    <row r="630">
      <c r="A630" s="25"/>
    </row>
    <row r="631">
      <c r="A631" s="25"/>
    </row>
    <row r="632">
      <c r="A632" s="25"/>
    </row>
    <row r="633">
      <c r="A633" s="25"/>
    </row>
    <row r="634">
      <c r="A634" s="25"/>
    </row>
    <row r="635">
      <c r="A635" s="25"/>
    </row>
    <row r="636">
      <c r="A636" s="25"/>
    </row>
    <row r="637">
      <c r="A637" s="25"/>
    </row>
    <row r="638">
      <c r="A638" s="25"/>
    </row>
    <row r="639">
      <c r="A639" s="25"/>
    </row>
    <row r="640">
      <c r="A640" s="25"/>
    </row>
    <row r="641">
      <c r="A641" s="25"/>
    </row>
    <row r="642">
      <c r="A642" s="25"/>
    </row>
    <row r="643">
      <c r="A643" s="25"/>
    </row>
    <row r="644">
      <c r="A644" s="25"/>
    </row>
    <row r="645">
      <c r="A645" s="25"/>
    </row>
    <row r="646">
      <c r="A646" s="25"/>
    </row>
    <row r="647">
      <c r="A647" s="25"/>
    </row>
    <row r="648">
      <c r="A648" s="25"/>
    </row>
    <row r="649">
      <c r="A649" s="25"/>
    </row>
    <row r="650">
      <c r="A650" s="25"/>
    </row>
    <row r="651">
      <c r="A651" s="25"/>
    </row>
    <row r="652">
      <c r="A652" s="25"/>
    </row>
    <row r="653">
      <c r="A653" s="25"/>
    </row>
    <row r="654">
      <c r="A654" s="25"/>
    </row>
    <row r="655">
      <c r="A655" s="25"/>
    </row>
    <row r="656">
      <c r="A656" s="25"/>
    </row>
    <row r="657">
      <c r="A657" s="25"/>
    </row>
    <row r="658">
      <c r="A658" s="25"/>
    </row>
    <row r="659">
      <c r="A659" s="25"/>
    </row>
    <row r="660">
      <c r="A660" s="25"/>
    </row>
    <row r="661">
      <c r="A661" s="25"/>
    </row>
    <row r="662">
      <c r="A662" s="25"/>
    </row>
    <row r="663">
      <c r="A663" s="25"/>
    </row>
    <row r="664">
      <c r="A664" s="25"/>
    </row>
    <row r="665">
      <c r="A665" s="25"/>
    </row>
    <row r="666">
      <c r="A666" s="25"/>
    </row>
    <row r="667">
      <c r="A667" s="25"/>
    </row>
    <row r="668">
      <c r="A668" s="25"/>
    </row>
    <row r="669">
      <c r="A669" s="25"/>
    </row>
    <row r="670">
      <c r="A670" s="25"/>
    </row>
    <row r="671">
      <c r="A671" s="25"/>
    </row>
    <row r="672">
      <c r="A672" s="25"/>
    </row>
    <row r="673">
      <c r="A673" s="25"/>
    </row>
    <row r="674">
      <c r="A674" s="25"/>
    </row>
    <row r="675">
      <c r="A675" s="25"/>
    </row>
    <row r="676">
      <c r="A676" s="25"/>
    </row>
    <row r="677">
      <c r="A677" s="25"/>
    </row>
    <row r="678">
      <c r="A678" s="25"/>
    </row>
    <row r="679">
      <c r="A679" s="25"/>
    </row>
    <row r="680">
      <c r="A680" s="25"/>
    </row>
    <row r="681">
      <c r="A681" s="25"/>
    </row>
    <row r="682">
      <c r="A682" s="25"/>
    </row>
    <row r="683">
      <c r="A683" s="25"/>
    </row>
    <row r="684">
      <c r="A684" s="25"/>
    </row>
    <row r="685">
      <c r="A685" s="25"/>
    </row>
    <row r="686">
      <c r="A686" s="25"/>
    </row>
    <row r="687">
      <c r="A687" s="25"/>
    </row>
    <row r="688">
      <c r="A688" s="25"/>
    </row>
    <row r="689">
      <c r="A689" s="25"/>
    </row>
    <row r="690">
      <c r="A690" s="25"/>
    </row>
    <row r="691">
      <c r="A691" s="25"/>
    </row>
    <row r="692">
      <c r="A692" s="25"/>
    </row>
    <row r="693">
      <c r="A693" s="25"/>
    </row>
    <row r="694">
      <c r="A694" s="25"/>
    </row>
    <row r="695">
      <c r="A695" s="25"/>
    </row>
    <row r="696">
      <c r="A696" s="25"/>
    </row>
    <row r="697">
      <c r="A697" s="25"/>
    </row>
    <row r="698">
      <c r="A698" s="25"/>
    </row>
    <row r="699">
      <c r="A699" s="25"/>
    </row>
    <row r="700">
      <c r="A700" s="25"/>
    </row>
    <row r="701">
      <c r="A701" s="25"/>
    </row>
    <row r="702">
      <c r="A702" s="25"/>
    </row>
    <row r="703">
      <c r="A703" s="25"/>
    </row>
    <row r="704">
      <c r="A704" s="25"/>
    </row>
    <row r="705">
      <c r="A705" s="25"/>
    </row>
    <row r="706">
      <c r="A706" s="25"/>
    </row>
    <row r="707">
      <c r="A707" s="25"/>
    </row>
    <row r="708">
      <c r="A708" s="25"/>
    </row>
    <row r="709">
      <c r="A709" s="25"/>
    </row>
    <row r="710">
      <c r="A710" s="25"/>
    </row>
    <row r="711">
      <c r="A711" s="25"/>
    </row>
    <row r="712">
      <c r="A712" s="25"/>
    </row>
    <row r="713">
      <c r="A713" s="25"/>
    </row>
    <row r="714">
      <c r="A714" s="25"/>
    </row>
    <row r="715">
      <c r="A715" s="25"/>
    </row>
    <row r="716">
      <c r="A716" s="25"/>
    </row>
    <row r="717">
      <c r="A717" s="25"/>
    </row>
    <row r="718">
      <c r="A718" s="25"/>
    </row>
    <row r="719">
      <c r="A719" s="25"/>
    </row>
    <row r="720">
      <c r="A720" s="25"/>
    </row>
    <row r="721">
      <c r="A721" s="25"/>
    </row>
    <row r="722">
      <c r="A722" s="25"/>
    </row>
    <row r="723">
      <c r="A723" s="25"/>
    </row>
    <row r="724">
      <c r="A724" s="25"/>
    </row>
    <row r="725">
      <c r="A725" s="25"/>
    </row>
    <row r="726">
      <c r="A726" s="25"/>
    </row>
    <row r="727">
      <c r="A727" s="25"/>
    </row>
    <row r="728">
      <c r="A728" s="25"/>
    </row>
    <row r="729">
      <c r="A729" s="25"/>
    </row>
    <row r="730">
      <c r="A730" s="25"/>
    </row>
    <row r="731">
      <c r="A731" s="25"/>
    </row>
    <row r="732">
      <c r="A732" s="25"/>
    </row>
    <row r="733">
      <c r="A733" s="25"/>
    </row>
    <row r="734">
      <c r="A734" s="25"/>
    </row>
    <row r="735">
      <c r="A735" s="25"/>
    </row>
    <row r="736">
      <c r="A736" s="25"/>
    </row>
    <row r="737">
      <c r="A737" s="25"/>
    </row>
    <row r="738">
      <c r="A738" s="25"/>
    </row>
    <row r="739">
      <c r="A739" s="25"/>
    </row>
    <row r="740">
      <c r="A740" s="25"/>
    </row>
    <row r="741">
      <c r="A741" s="25"/>
    </row>
    <row r="742">
      <c r="A742" s="25"/>
    </row>
    <row r="743">
      <c r="A743" s="25"/>
    </row>
    <row r="744">
      <c r="A744" s="25"/>
    </row>
    <row r="745">
      <c r="A745" s="25"/>
    </row>
    <row r="746">
      <c r="A746" s="25"/>
    </row>
    <row r="747">
      <c r="A747" s="25"/>
    </row>
    <row r="748">
      <c r="A748" s="25"/>
    </row>
    <row r="749">
      <c r="A749" s="25"/>
    </row>
    <row r="750">
      <c r="A750" s="25"/>
    </row>
    <row r="751">
      <c r="A751" s="25"/>
    </row>
    <row r="752">
      <c r="A752" s="25"/>
    </row>
    <row r="753">
      <c r="A753" s="25"/>
    </row>
    <row r="754">
      <c r="A754" s="25"/>
    </row>
    <row r="755">
      <c r="A755" s="25"/>
    </row>
    <row r="756">
      <c r="A756" s="25"/>
    </row>
    <row r="757">
      <c r="A757" s="25"/>
    </row>
    <row r="758">
      <c r="A758" s="25"/>
    </row>
    <row r="759">
      <c r="A759" s="25"/>
    </row>
    <row r="760">
      <c r="A760" s="25"/>
    </row>
    <row r="761">
      <c r="A761" s="25"/>
    </row>
    <row r="762">
      <c r="A762" s="25"/>
    </row>
    <row r="763">
      <c r="A763" s="25"/>
    </row>
    <row r="764">
      <c r="A764" s="25"/>
    </row>
    <row r="765">
      <c r="A765" s="25"/>
    </row>
    <row r="766">
      <c r="A766" s="25"/>
    </row>
    <row r="767">
      <c r="A767" s="25"/>
    </row>
    <row r="768">
      <c r="A768" s="25"/>
    </row>
    <row r="769">
      <c r="A769" s="25"/>
    </row>
    <row r="770">
      <c r="A770" s="25"/>
    </row>
    <row r="771">
      <c r="A771" s="25"/>
    </row>
    <row r="772">
      <c r="A772" s="25"/>
    </row>
    <row r="773">
      <c r="A773" s="25"/>
    </row>
    <row r="774">
      <c r="A774" s="25"/>
    </row>
    <row r="775">
      <c r="A775" s="25"/>
    </row>
    <row r="776">
      <c r="A776" s="25"/>
    </row>
    <row r="777">
      <c r="A777" s="25"/>
    </row>
    <row r="778">
      <c r="A778" s="25"/>
    </row>
    <row r="779">
      <c r="A779" s="25"/>
    </row>
    <row r="780">
      <c r="A780" s="25"/>
    </row>
    <row r="781">
      <c r="A781" s="25"/>
    </row>
    <row r="782">
      <c r="A782" s="25"/>
    </row>
    <row r="783">
      <c r="A783" s="25"/>
    </row>
    <row r="784">
      <c r="A784" s="25"/>
    </row>
    <row r="785">
      <c r="A785" s="25"/>
    </row>
    <row r="786">
      <c r="A786" s="25"/>
    </row>
    <row r="787">
      <c r="A787" s="25"/>
    </row>
    <row r="788">
      <c r="A788" s="25"/>
    </row>
    <row r="789">
      <c r="A789" s="25"/>
    </row>
    <row r="790">
      <c r="A790" s="25"/>
    </row>
    <row r="791">
      <c r="A791" s="25"/>
    </row>
    <row r="792">
      <c r="A792" s="25"/>
    </row>
    <row r="793">
      <c r="A793" s="25"/>
    </row>
    <row r="794">
      <c r="A794" s="25"/>
    </row>
    <row r="795">
      <c r="A795" s="25"/>
    </row>
    <row r="796">
      <c r="A796" s="25"/>
    </row>
    <row r="797">
      <c r="A797" s="25"/>
    </row>
    <row r="798">
      <c r="A798" s="25"/>
    </row>
    <row r="799">
      <c r="A799" s="25"/>
    </row>
    <row r="800">
      <c r="A800" s="25"/>
    </row>
    <row r="801">
      <c r="A801" s="25"/>
    </row>
    <row r="802">
      <c r="A802" s="25"/>
    </row>
    <row r="803">
      <c r="A803" s="25"/>
    </row>
    <row r="804">
      <c r="A804" s="25"/>
    </row>
    <row r="805">
      <c r="A805" s="25"/>
    </row>
    <row r="806">
      <c r="A806" s="25"/>
    </row>
    <row r="807">
      <c r="A807" s="25"/>
    </row>
    <row r="808">
      <c r="A808" s="25"/>
    </row>
    <row r="809">
      <c r="A809" s="25"/>
    </row>
    <row r="810">
      <c r="A810" s="25"/>
    </row>
    <row r="811">
      <c r="A811" s="25"/>
    </row>
    <row r="812">
      <c r="A812" s="25"/>
    </row>
    <row r="813">
      <c r="A813" s="25"/>
    </row>
    <row r="814">
      <c r="A814" s="25"/>
    </row>
    <row r="815">
      <c r="A815" s="25"/>
    </row>
    <row r="816">
      <c r="A816" s="25"/>
    </row>
    <row r="817">
      <c r="A817" s="25"/>
    </row>
    <row r="818">
      <c r="A818" s="25"/>
    </row>
    <row r="819">
      <c r="A819" s="25"/>
    </row>
    <row r="820">
      <c r="A820" s="25"/>
    </row>
    <row r="821">
      <c r="A821" s="25"/>
    </row>
    <row r="822">
      <c r="A822" s="25"/>
    </row>
    <row r="823">
      <c r="A823" s="25"/>
    </row>
    <row r="824">
      <c r="A824" s="25"/>
    </row>
    <row r="825">
      <c r="A825" s="25"/>
    </row>
    <row r="826">
      <c r="A826" s="25"/>
    </row>
    <row r="827">
      <c r="A827" s="25"/>
    </row>
    <row r="828">
      <c r="A828" s="25"/>
    </row>
    <row r="829">
      <c r="A829" s="25"/>
    </row>
    <row r="830">
      <c r="A830" s="25"/>
    </row>
    <row r="831">
      <c r="A831" s="25"/>
    </row>
    <row r="832">
      <c r="A832" s="25"/>
    </row>
    <row r="833">
      <c r="A833" s="25"/>
    </row>
    <row r="834">
      <c r="A834" s="25"/>
    </row>
    <row r="835">
      <c r="A835" s="25"/>
    </row>
    <row r="836">
      <c r="A836" s="25"/>
    </row>
    <row r="837">
      <c r="A837" s="25"/>
    </row>
    <row r="838">
      <c r="A838" s="25"/>
    </row>
    <row r="839">
      <c r="A839" s="25"/>
    </row>
    <row r="840">
      <c r="A840" s="25"/>
    </row>
    <row r="841">
      <c r="A841" s="25"/>
    </row>
    <row r="842">
      <c r="A842" s="25"/>
    </row>
    <row r="843">
      <c r="A843" s="25"/>
    </row>
    <row r="844">
      <c r="A844" s="25"/>
    </row>
    <row r="845">
      <c r="A845" s="25"/>
    </row>
    <row r="846">
      <c r="A846" s="25"/>
    </row>
    <row r="847">
      <c r="A847" s="25"/>
    </row>
    <row r="848">
      <c r="A848" s="25"/>
    </row>
    <row r="849">
      <c r="A849" s="25"/>
    </row>
    <row r="850">
      <c r="A850" s="25"/>
    </row>
    <row r="851">
      <c r="A851" s="25"/>
    </row>
    <row r="852">
      <c r="A852" s="25"/>
    </row>
    <row r="853">
      <c r="A853" s="25"/>
    </row>
    <row r="854">
      <c r="A854" s="25"/>
    </row>
    <row r="855">
      <c r="A855" s="25"/>
    </row>
    <row r="856">
      <c r="A856" s="25"/>
    </row>
    <row r="857">
      <c r="A857" s="25"/>
    </row>
    <row r="858">
      <c r="A858" s="25"/>
    </row>
    <row r="859">
      <c r="A859" s="25"/>
    </row>
    <row r="860">
      <c r="A860" s="25"/>
    </row>
    <row r="861">
      <c r="A861" s="25"/>
    </row>
    <row r="862">
      <c r="A862" s="25"/>
    </row>
    <row r="863">
      <c r="A863" s="25"/>
    </row>
    <row r="864">
      <c r="A864" s="25"/>
    </row>
    <row r="865">
      <c r="A865" s="25"/>
    </row>
    <row r="866">
      <c r="A866" s="25"/>
    </row>
    <row r="867">
      <c r="A867" s="25"/>
    </row>
    <row r="868">
      <c r="A868" s="25"/>
    </row>
    <row r="869">
      <c r="A869" s="25"/>
    </row>
    <row r="870">
      <c r="A870" s="25"/>
    </row>
    <row r="871">
      <c r="A871" s="25"/>
    </row>
    <row r="872">
      <c r="A872" s="25"/>
    </row>
    <row r="873">
      <c r="A873" s="25"/>
    </row>
    <row r="874">
      <c r="A874" s="25"/>
    </row>
    <row r="875">
      <c r="A875" s="25"/>
    </row>
    <row r="876">
      <c r="A876" s="25"/>
    </row>
    <row r="877">
      <c r="A877" s="25"/>
    </row>
    <row r="878">
      <c r="A878" s="25"/>
    </row>
    <row r="879">
      <c r="A879" s="25"/>
    </row>
    <row r="880">
      <c r="A880" s="25"/>
    </row>
    <row r="881">
      <c r="A881" s="25"/>
    </row>
    <row r="882">
      <c r="A882" s="25"/>
    </row>
    <row r="883">
      <c r="A883" s="25"/>
    </row>
    <row r="884">
      <c r="A884" s="25"/>
    </row>
    <row r="885">
      <c r="A885" s="25"/>
    </row>
    <row r="886">
      <c r="A886" s="25"/>
    </row>
    <row r="887">
      <c r="A887" s="25"/>
    </row>
    <row r="888">
      <c r="A888" s="25"/>
    </row>
    <row r="889">
      <c r="A889" s="25"/>
    </row>
    <row r="890">
      <c r="A890" s="25"/>
    </row>
    <row r="891">
      <c r="A891" s="25"/>
    </row>
    <row r="892">
      <c r="A892" s="25"/>
    </row>
    <row r="893">
      <c r="A893" s="25"/>
    </row>
    <row r="894">
      <c r="A894" s="25"/>
    </row>
    <row r="895">
      <c r="A895" s="25"/>
    </row>
    <row r="896">
      <c r="A896" s="25"/>
    </row>
    <row r="897">
      <c r="A897" s="25"/>
    </row>
    <row r="898">
      <c r="A898" s="25"/>
    </row>
    <row r="899">
      <c r="A899" s="25"/>
    </row>
    <row r="900">
      <c r="A900" s="25"/>
    </row>
    <row r="901">
      <c r="A901" s="25"/>
    </row>
    <row r="902">
      <c r="A902" s="25"/>
    </row>
    <row r="903">
      <c r="A903" s="25"/>
    </row>
    <row r="904">
      <c r="A904" s="25"/>
    </row>
    <row r="905">
      <c r="A905" s="25"/>
    </row>
    <row r="906">
      <c r="A906" s="25"/>
    </row>
    <row r="907">
      <c r="A907" s="25"/>
    </row>
    <row r="908">
      <c r="A908" s="25"/>
    </row>
    <row r="909">
      <c r="A909" s="25"/>
    </row>
    <row r="910">
      <c r="A910" s="25"/>
    </row>
    <row r="911">
      <c r="A911" s="25"/>
    </row>
    <row r="912">
      <c r="A912" s="25"/>
    </row>
    <row r="913">
      <c r="A913" s="25"/>
    </row>
    <row r="914">
      <c r="A914" s="25"/>
    </row>
    <row r="915">
      <c r="A915" s="25"/>
    </row>
    <row r="916">
      <c r="A916" s="25"/>
    </row>
    <row r="917">
      <c r="A917" s="25"/>
    </row>
    <row r="918">
      <c r="A918" s="25"/>
    </row>
    <row r="919">
      <c r="A919" s="25"/>
    </row>
    <row r="920">
      <c r="A920" s="25"/>
    </row>
    <row r="921">
      <c r="A921" s="25"/>
    </row>
    <row r="922">
      <c r="A922" s="25"/>
    </row>
    <row r="923">
      <c r="A923" s="25"/>
    </row>
    <row r="924">
      <c r="A924" s="25"/>
    </row>
    <row r="925">
      <c r="A925" s="25"/>
    </row>
    <row r="926">
      <c r="A926" s="25"/>
    </row>
    <row r="927">
      <c r="A927" s="25"/>
    </row>
    <row r="928">
      <c r="A928" s="25"/>
    </row>
    <row r="929">
      <c r="A929" s="25"/>
    </row>
    <row r="930">
      <c r="A930" s="25"/>
    </row>
    <row r="931">
      <c r="A931" s="25"/>
    </row>
    <row r="932">
      <c r="A932" s="25"/>
    </row>
    <row r="933">
      <c r="A933" s="25"/>
    </row>
    <row r="934">
      <c r="A934" s="25"/>
    </row>
    <row r="935">
      <c r="A935" s="25"/>
    </row>
    <row r="936">
      <c r="A936" s="25"/>
    </row>
    <row r="937">
      <c r="A937" s="25"/>
    </row>
    <row r="938">
      <c r="A938" s="25"/>
    </row>
    <row r="939">
      <c r="A939" s="25"/>
    </row>
    <row r="940">
      <c r="A940" s="25"/>
    </row>
    <row r="941">
      <c r="A941" s="25"/>
    </row>
    <row r="942">
      <c r="A942" s="25"/>
    </row>
    <row r="943">
      <c r="A943" s="25"/>
    </row>
    <row r="944">
      <c r="A944" s="25"/>
    </row>
    <row r="945">
      <c r="A945" s="25"/>
    </row>
    <row r="946">
      <c r="A946" s="25"/>
    </row>
    <row r="947">
      <c r="A947" s="25"/>
    </row>
    <row r="948">
      <c r="A948" s="25"/>
    </row>
    <row r="949">
      <c r="A949" s="25"/>
    </row>
    <row r="950">
      <c r="A950" s="25"/>
    </row>
    <row r="951">
      <c r="A951" s="25"/>
    </row>
    <row r="952">
      <c r="A952" s="25"/>
    </row>
    <row r="953">
      <c r="A953" s="25"/>
    </row>
    <row r="954">
      <c r="A954" s="25"/>
    </row>
    <row r="955">
      <c r="A955" s="25"/>
    </row>
    <row r="956">
      <c r="A956" s="25"/>
    </row>
    <row r="957">
      <c r="A957" s="25"/>
    </row>
    <row r="958">
      <c r="A958" s="25"/>
    </row>
    <row r="959">
      <c r="A959" s="25"/>
    </row>
    <row r="960">
      <c r="A960" s="25"/>
    </row>
    <row r="961">
      <c r="A961" s="25"/>
    </row>
    <row r="962">
      <c r="A962" s="25"/>
    </row>
    <row r="963">
      <c r="A963" s="25"/>
    </row>
    <row r="964">
      <c r="A964" s="25"/>
    </row>
    <row r="965">
      <c r="A965" s="25"/>
    </row>
    <row r="966">
      <c r="A966" s="25"/>
    </row>
    <row r="967">
      <c r="A967" s="25"/>
    </row>
    <row r="968">
      <c r="A968" s="25"/>
    </row>
    <row r="969">
      <c r="A969" s="25"/>
    </row>
    <row r="970">
      <c r="A970" s="25"/>
    </row>
    <row r="971">
      <c r="A971" s="25"/>
    </row>
    <row r="972">
      <c r="A972" s="25"/>
    </row>
    <row r="973">
      <c r="A973" s="25"/>
    </row>
    <row r="974">
      <c r="A974" s="25"/>
    </row>
    <row r="975">
      <c r="A975" s="25"/>
    </row>
    <row r="976">
      <c r="A976" s="25"/>
    </row>
    <row r="977">
      <c r="A977" s="25"/>
    </row>
    <row r="978">
      <c r="A978" s="25"/>
    </row>
    <row r="979">
      <c r="A979" s="25"/>
    </row>
    <row r="980">
      <c r="A980" s="25"/>
    </row>
    <row r="981">
      <c r="A981" s="25"/>
    </row>
    <row r="982">
      <c r="A982" s="25"/>
    </row>
    <row r="983">
      <c r="A983" s="25"/>
    </row>
    <row r="984">
      <c r="A984" s="25"/>
    </row>
    <row r="985">
      <c r="A985" s="25"/>
    </row>
    <row r="986">
      <c r="A986" s="25"/>
    </row>
    <row r="987">
      <c r="A987" s="25"/>
    </row>
    <row r="988">
      <c r="A988" s="25"/>
    </row>
    <row r="989">
      <c r="A989" s="25"/>
    </row>
    <row r="990">
      <c r="A990" s="25"/>
    </row>
    <row r="991">
      <c r="A991" s="25"/>
    </row>
    <row r="992">
      <c r="A992" s="25"/>
    </row>
    <row r="993">
      <c r="A993" s="25"/>
    </row>
    <row r="994">
      <c r="A994" s="25"/>
    </row>
    <row r="995">
      <c r="A995" s="25"/>
    </row>
    <row r="996">
      <c r="A996" s="25"/>
    </row>
    <row r="997">
      <c r="A997" s="25"/>
    </row>
    <row r="998">
      <c r="A998" s="25"/>
    </row>
    <row r="999">
      <c r="A999" s="25"/>
    </row>
    <row r="1000">
      <c r="A1000" s="2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>
      <c r="A1" s="43" t="s">
        <v>122</v>
      </c>
      <c r="B1" s="44" t="s">
        <v>123</v>
      </c>
    </row>
  </sheetData>
  <drawing r:id="rId1"/>
  <tableParts count="1">
    <tablePart r:id="rId3"/>
  </tableParts>
</worksheet>
</file>