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tuse\Desktop\Tipologías RER\Trabajado con Nancyy Equipo Proyectos\"/>
    </mc:Choice>
  </mc:AlternateContent>
  <xr:revisionPtr revIDLastSave="0" documentId="13_ncr:1_{1083533F-ABCA-4C9D-8120-3F744A7581EF}" xr6:coauthVersionLast="47" xr6:coauthVersionMax="47" xr10:uidLastSave="{00000000-0000-0000-0000-000000000000}"/>
  <bookViews>
    <workbookView xWindow="-120" yWindow="-120" windowWidth="24240" windowHeight="13140" tabRatio="577" xr2:uid="{00000000-000D-0000-FFFF-FFFF00000000}"/>
  </bookViews>
  <sheets>
    <sheet name="Factores asociados" sheetId="1" r:id="rId1"/>
    <sheet name="data_ie" sheetId="2" r:id="rId2"/>
    <sheet name="data_docentes" sheetId="3" r:id="rId3"/>
    <sheet name="data_localizacion" sheetId="4" r:id="rId4"/>
    <sheet name="data_estudiantes" sheetId="5" r:id="rId5"/>
    <sheet name="nombres" sheetId="6" r:id="rId6"/>
    <sheet name="Respuestas de formulario 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32" i="6" l="1"/>
  <c r="AD332" i="6"/>
  <c r="AE331" i="6"/>
  <c r="AD331" i="6"/>
  <c r="AE330" i="6"/>
  <c r="AD330" i="6"/>
  <c r="AE329" i="6"/>
  <c r="AD329" i="6"/>
  <c r="AE328" i="6"/>
  <c r="AD328" i="6"/>
  <c r="AE327" i="6"/>
  <c r="AD327" i="6"/>
  <c r="AE326" i="6"/>
  <c r="AD326" i="6"/>
  <c r="AE325" i="6"/>
  <c r="AD325" i="6"/>
  <c r="AE324" i="6"/>
  <c r="AD324" i="6"/>
  <c r="AE323" i="6"/>
  <c r="AD323" i="6"/>
  <c r="AE322" i="6"/>
  <c r="AD322" i="6"/>
  <c r="AE321" i="6"/>
  <c r="AD321" i="6"/>
  <c r="AE320" i="6"/>
  <c r="AD320" i="6"/>
  <c r="AE319" i="6"/>
  <c r="AD319" i="6"/>
  <c r="AE318" i="6"/>
  <c r="AD318" i="6"/>
  <c r="AF316" i="6"/>
  <c r="AE316" i="6"/>
  <c r="AD316" i="6"/>
  <c r="AF315" i="6"/>
  <c r="AE315" i="6"/>
  <c r="AD315" i="6"/>
  <c r="AF314" i="6"/>
  <c r="AE314" i="6"/>
  <c r="AD314" i="6"/>
  <c r="AF313" i="6"/>
  <c r="AE313" i="6"/>
  <c r="AD313" i="6"/>
  <c r="AF312" i="6"/>
  <c r="AE312" i="6"/>
  <c r="AD312" i="6"/>
  <c r="AF311" i="6"/>
  <c r="AE311" i="6"/>
  <c r="AD311" i="6"/>
  <c r="AF310" i="6"/>
  <c r="AE310" i="6"/>
  <c r="AD310" i="6"/>
  <c r="AF309" i="6"/>
  <c r="AE309" i="6"/>
  <c r="AD309" i="6"/>
  <c r="AF308" i="6"/>
  <c r="AE308" i="6"/>
  <c r="AD308" i="6"/>
  <c r="AF307" i="6"/>
  <c r="AE307" i="6"/>
  <c r="AD307" i="6"/>
  <c r="AF306" i="6"/>
  <c r="AE306" i="6"/>
  <c r="AD306" i="6"/>
  <c r="AF305" i="6"/>
  <c r="AE305" i="6"/>
  <c r="AD305" i="6"/>
  <c r="AF304" i="6"/>
  <c r="AE304" i="6"/>
  <c r="AD304" i="6"/>
  <c r="AF303" i="6"/>
  <c r="AE303" i="6"/>
  <c r="AD303" i="6"/>
  <c r="AF302" i="6"/>
  <c r="AE302" i="6"/>
  <c r="AD302" i="6"/>
  <c r="AF301" i="6"/>
  <c r="AE301" i="6"/>
  <c r="AD301" i="6"/>
  <c r="AF300" i="6"/>
  <c r="AE300" i="6"/>
  <c r="AD300" i="6"/>
  <c r="AF299" i="6"/>
  <c r="AE299" i="6"/>
  <c r="AD299" i="6"/>
  <c r="AF298" i="6"/>
  <c r="AE298" i="6"/>
  <c r="AD298" i="6"/>
  <c r="AF297" i="6"/>
  <c r="AE297" i="6"/>
  <c r="AD297" i="6"/>
  <c r="AF296" i="6"/>
  <c r="AE296" i="6"/>
  <c r="AD296" i="6"/>
  <c r="AF295" i="6"/>
  <c r="AE295" i="6"/>
  <c r="AD295" i="6"/>
  <c r="AF294" i="6"/>
  <c r="AE294" i="6"/>
  <c r="AD294" i="6"/>
  <c r="AF293" i="6"/>
  <c r="AE293" i="6"/>
  <c r="AD293" i="6"/>
  <c r="AF292" i="6"/>
  <c r="AE292" i="6"/>
  <c r="AD292" i="6"/>
  <c r="AF291" i="6"/>
  <c r="AE291" i="6"/>
  <c r="AD291" i="6"/>
  <c r="AF290" i="6"/>
  <c r="AE290" i="6"/>
  <c r="AD290" i="6"/>
  <c r="AF289" i="6"/>
  <c r="AE289" i="6"/>
  <c r="AD289" i="6"/>
  <c r="AF288" i="6"/>
  <c r="AE288" i="6"/>
  <c r="AD288" i="6"/>
  <c r="AF287" i="6"/>
  <c r="AE287" i="6"/>
  <c r="AD287" i="6"/>
  <c r="AF286" i="6"/>
  <c r="AE286" i="6"/>
  <c r="AD286" i="6"/>
  <c r="AF285" i="6"/>
  <c r="AE285" i="6"/>
  <c r="AD285" i="6"/>
  <c r="AF284" i="6"/>
  <c r="AE284" i="6"/>
  <c r="AD284" i="6"/>
  <c r="AF283" i="6"/>
  <c r="AE283" i="6"/>
  <c r="AD283" i="6"/>
  <c r="AF282" i="6"/>
  <c r="AE282" i="6"/>
  <c r="AD282" i="6"/>
  <c r="AF281" i="6"/>
  <c r="AE281" i="6"/>
  <c r="AD281" i="6"/>
  <c r="AF280" i="6"/>
  <c r="AE280" i="6"/>
  <c r="AD280" i="6"/>
  <c r="AF279" i="6"/>
  <c r="AE279" i="6"/>
  <c r="AD279" i="6"/>
  <c r="AF278" i="6"/>
  <c r="AE278" i="6"/>
  <c r="AD278" i="6"/>
  <c r="AF277" i="6"/>
  <c r="AE277" i="6"/>
  <c r="AD277" i="6"/>
  <c r="AF276" i="6"/>
  <c r="AE276" i="6"/>
  <c r="AD276" i="6"/>
  <c r="AF275" i="6"/>
  <c r="AE275" i="6"/>
  <c r="AD275" i="6"/>
  <c r="AF274" i="6"/>
  <c r="AE274" i="6"/>
  <c r="AD274" i="6"/>
  <c r="AF273" i="6"/>
  <c r="AE273" i="6"/>
  <c r="AD273" i="6"/>
  <c r="AF272" i="6"/>
  <c r="AE272" i="6"/>
  <c r="AD272" i="6"/>
  <c r="AF271" i="6"/>
  <c r="AE271" i="6"/>
  <c r="AD271" i="6"/>
  <c r="AF270" i="6"/>
  <c r="AE270" i="6"/>
  <c r="AD270" i="6"/>
  <c r="AF269" i="6"/>
  <c r="AE269" i="6"/>
  <c r="AD269" i="6"/>
  <c r="AF268" i="6"/>
  <c r="AE268" i="6"/>
  <c r="AD268" i="6"/>
  <c r="AF267" i="6"/>
  <c r="AE267" i="6"/>
  <c r="AD267" i="6"/>
  <c r="AF266" i="6"/>
  <c r="AE266" i="6"/>
  <c r="AD266" i="6"/>
  <c r="AF265" i="6"/>
  <c r="AE265" i="6"/>
  <c r="AD265" i="6"/>
  <c r="AF264" i="6"/>
  <c r="AE264" i="6"/>
  <c r="AD264" i="6"/>
  <c r="AF263" i="6"/>
  <c r="AE263" i="6"/>
  <c r="AD263" i="6"/>
  <c r="AF262" i="6"/>
  <c r="AE262" i="6"/>
  <c r="AD262" i="6"/>
  <c r="AF261" i="6"/>
  <c r="AE261" i="6"/>
  <c r="AD261" i="6"/>
  <c r="AF260" i="6"/>
  <c r="AE260" i="6"/>
  <c r="AD260" i="6"/>
  <c r="AF259" i="6"/>
  <c r="AE259" i="6"/>
  <c r="AD259" i="6"/>
  <c r="AF258" i="6"/>
  <c r="AE258" i="6"/>
  <c r="AD258" i="6"/>
  <c r="AF257" i="6"/>
  <c r="AE257" i="6"/>
  <c r="AD257" i="6"/>
  <c r="AF256" i="6"/>
  <c r="AE256" i="6"/>
  <c r="AD256" i="6"/>
  <c r="AF255" i="6"/>
  <c r="AE255" i="6"/>
  <c r="AD255" i="6"/>
  <c r="AF254" i="6"/>
  <c r="AE254" i="6"/>
  <c r="AD254" i="6"/>
  <c r="AF253" i="6"/>
  <c r="AE253" i="6"/>
  <c r="AD253" i="6"/>
  <c r="AF252" i="6"/>
  <c r="AE252" i="6"/>
  <c r="AD252" i="6"/>
  <c r="AF251" i="6"/>
  <c r="AE251" i="6"/>
  <c r="AD251" i="6"/>
  <c r="AF250" i="6"/>
  <c r="AE250" i="6"/>
  <c r="AD250" i="6"/>
  <c r="AF249" i="6"/>
  <c r="AE249" i="6"/>
  <c r="AD249" i="6"/>
  <c r="AF248" i="6"/>
  <c r="AE248" i="6"/>
  <c r="AD248" i="6"/>
  <c r="AF247" i="6"/>
  <c r="AE247" i="6"/>
  <c r="AD247" i="6"/>
  <c r="AF246" i="6"/>
  <c r="AE246" i="6"/>
  <c r="AD246" i="6"/>
  <c r="AF245" i="6"/>
  <c r="AE245" i="6"/>
  <c r="AD245" i="6"/>
  <c r="AF244" i="6"/>
  <c r="AE244" i="6"/>
  <c r="AD244" i="6"/>
  <c r="AF243" i="6"/>
  <c r="AE243" i="6"/>
  <c r="AD243" i="6"/>
  <c r="AF242" i="6"/>
  <c r="AE242" i="6"/>
  <c r="AD242" i="6"/>
  <c r="AF241" i="6"/>
  <c r="AE241" i="6"/>
  <c r="AD241" i="6"/>
  <c r="AF240" i="6"/>
  <c r="AE240" i="6"/>
  <c r="AD240" i="6"/>
  <c r="AF239" i="6"/>
  <c r="AE239" i="6"/>
  <c r="AD239" i="6"/>
  <c r="AF238" i="6"/>
  <c r="AE238" i="6"/>
  <c r="AD238" i="6"/>
  <c r="AF237" i="6"/>
  <c r="AE237" i="6"/>
  <c r="AD237" i="6"/>
  <c r="AF236" i="6"/>
  <c r="AE236" i="6"/>
  <c r="AD236" i="6"/>
  <c r="AF235" i="6"/>
  <c r="AE235" i="6"/>
  <c r="AD235" i="6"/>
  <c r="AF234" i="6"/>
  <c r="AE234" i="6"/>
  <c r="AD234" i="6"/>
  <c r="AF233" i="6"/>
  <c r="AE233" i="6"/>
  <c r="AD233" i="6"/>
  <c r="AF232" i="6"/>
  <c r="AE232" i="6"/>
  <c r="AD232" i="6"/>
  <c r="AF231" i="6"/>
  <c r="AE231" i="6"/>
  <c r="AD231" i="6"/>
  <c r="AF230" i="6"/>
  <c r="AE230" i="6"/>
  <c r="AD230" i="6"/>
  <c r="AF229" i="6"/>
  <c r="AE229" i="6"/>
  <c r="AD229" i="6"/>
  <c r="AF228" i="6"/>
  <c r="AE228" i="6"/>
  <c r="AD228" i="6"/>
  <c r="AF227" i="6"/>
  <c r="AE227" i="6"/>
  <c r="AD227" i="6"/>
  <c r="AF226" i="6"/>
  <c r="AE226" i="6"/>
  <c r="AD226" i="6"/>
  <c r="AF225" i="6"/>
  <c r="AE225" i="6"/>
  <c r="AD225" i="6"/>
  <c r="AF224" i="6"/>
  <c r="AE224" i="6"/>
  <c r="AD224" i="6"/>
  <c r="AF223" i="6"/>
  <c r="AE223" i="6"/>
  <c r="AD223" i="6"/>
  <c r="AF222" i="6"/>
  <c r="AE222" i="6"/>
  <c r="AD222" i="6"/>
  <c r="AF221" i="6"/>
  <c r="AE221" i="6"/>
  <c r="AD221" i="6"/>
  <c r="AF220" i="6"/>
  <c r="AE220" i="6"/>
  <c r="AD220" i="6"/>
  <c r="AF219" i="6"/>
  <c r="AE219" i="6"/>
  <c r="AD219" i="6"/>
  <c r="AF218" i="6"/>
  <c r="AE218" i="6"/>
  <c r="AD218" i="6"/>
  <c r="AF217" i="6"/>
  <c r="AE217" i="6"/>
  <c r="AD217" i="6"/>
  <c r="AF216" i="6"/>
  <c r="AE216" i="6"/>
  <c r="AD216" i="6"/>
  <c r="AF215" i="6"/>
  <c r="AE215" i="6"/>
  <c r="AD215" i="6"/>
  <c r="AF214" i="6"/>
  <c r="AE214" i="6"/>
  <c r="AD214" i="6"/>
  <c r="AF213" i="6"/>
  <c r="AE213" i="6"/>
  <c r="AD213" i="6"/>
  <c r="AF212" i="6"/>
  <c r="AE212" i="6"/>
  <c r="AD212" i="6"/>
  <c r="AF211" i="6"/>
  <c r="AE211" i="6"/>
  <c r="AD211" i="6"/>
  <c r="AF210" i="6"/>
  <c r="AE210" i="6"/>
  <c r="AD210" i="6"/>
  <c r="AF209" i="6"/>
  <c r="AE209" i="6"/>
  <c r="AD209" i="6"/>
  <c r="AF208" i="6"/>
  <c r="AE208" i="6"/>
  <c r="AD208" i="6"/>
  <c r="AF207" i="6"/>
  <c r="AE207" i="6"/>
  <c r="AD207" i="6"/>
  <c r="AF206" i="6"/>
  <c r="AE206" i="6"/>
  <c r="AD206" i="6"/>
  <c r="AF205" i="6"/>
  <c r="AE205" i="6"/>
  <c r="AD205" i="6"/>
  <c r="AF204" i="6"/>
  <c r="AE204" i="6"/>
  <c r="AD204" i="6"/>
  <c r="AF203" i="6"/>
  <c r="AE203" i="6"/>
  <c r="AD203" i="6"/>
  <c r="AF202" i="6"/>
  <c r="AE202" i="6"/>
  <c r="AD202" i="6"/>
  <c r="AF201" i="6"/>
  <c r="AE201" i="6"/>
  <c r="AD201" i="6"/>
  <c r="AF200" i="6"/>
  <c r="AE200" i="6"/>
  <c r="AD200" i="6"/>
  <c r="AF199" i="6"/>
  <c r="AE199" i="6"/>
  <c r="AD199" i="6"/>
  <c r="AF198" i="6"/>
  <c r="AE198" i="6"/>
  <c r="AD198" i="6"/>
  <c r="AF197" i="6"/>
  <c r="AE197" i="6"/>
  <c r="AD197" i="6"/>
  <c r="AF196" i="6"/>
  <c r="AE196" i="6"/>
  <c r="AD196" i="6"/>
  <c r="AF195" i="6"/>
  <c r="AE195" i="6"/>
  <c r="AD195" i="6"/>
  <c r="AF194" i="6"/>
  <c r="AE194" i="6"/>
  <c r="AD194" i="6"/>
  <c r="AF193" i="6"/>
  <c r="AE193" i="6"/>
  <c r="AD193" i="6"/>
  <c r="AF192" i="6"/>
  <c r="AE192" i="6"/>
  <c r="AD192" i="6"/>
  <c r="AF191" i="6"/>
  <c r="AE191" i="6"/>
  <c r="AD191" i="6"/>
  <c r="AF190" i="6"/>
  <c r="AE190" i="6"/>
  <c r="AD190" i="6"/>
  <c r="AF189" i="6"/>
  <c r="AE189" i="6"/>
  <c r="AD189" i="6"/>
  <c r="AF188" i="6"/>
  <c r="AE188" i="6"/>
  <c r="AD188" i="6"/>
  <c r="AF187" i="6"/>
  <c r="AE187" i="6"/>
  <c r="AD187" i="6"/>
  <c r="AF186" i="6"/>
  <c r="AE186" i="6"/>
  <c r="AD186" i="6"/>
  <c r="AF185" i="6"/>
  <c r="AE185" i="6"/>
  <c r="AD185" i="6"/>
  <c r="AF184" i="6"/>
  <c r="AE184" i="6"/>
  <c r="AD184" i="6"/>
  <c r="AF183" i="6"/>
  <c r="AE183" i="6"/>
  <c r="AD183" i="6"/>
  <c r="AF182" i="6"/>
  <c r="AE182" i="6"/>
  <c r="AD182" i="6"/>
  <c r="AF181" i="6"/>
  <c r="AE181" i="6"/>
  <c r="AD181" i="6"/>
  <c r="AF180" i="6"/>
  <c r="AE180" i="6"/>
  <c r="AD180" i="6"/>
  <c r="AF179" i="6"/>
  <c r="AE179" i="6"/>
  <c r="AD179" i="6"/>
  <c r="AF178" i="6"/>
  <c r="AE178" i="6"/>
  <c r="AD178" i="6"/>
  <c r="AF177" i="6"/>
  <c r="AE177" i="6"/>
  <c r="AD177" i="6"/>
  <c r="AF176" i="6"/>
  <c r="AE176" i="6"/>
  <c r="AD176" i="6"/>
  <c r="AF175" i="6"/>
  <c r="AE175" i="6"/>
  <c r="AD175" i="6"/>
  <c r="AF174" i="6"/>
  <c r="AE174" i="6"/>
  <c r="AD174" i="6"/>
  <c r="AF173" i="6"/>
  <c r="AE173" i="6"/>
  <c r="AD173" i="6"/>
  <c r="AF172" i="6"/>
  <c r="AE172" i="6"/>
  <c r="AD172" i="6"/>
  <c r="AF171" i="6"/>
  <c r="AE171" i="6"/>
  <c r="AD171" i="6"/>
  <c r="AF170" i="6"/>
  <c r="AE170" i="6"/>
  <c r="AD170" i="6"/>
  <c r="AF169" i="6"/>
  <c r="AE169" i="6"/>
  <c r="AD169" i="6"/>
  <c r="AF168" i="6"/>
  <c r="AE168" i="6"/>
  <c r="AD168" i="6"/>
  <c r="AF167" i="6"/>
  <c r="AE167" i="6"/>
  <c r="AD167" i="6"/>
  <c r="AF166" i="6"/>
  <c r="AE166" i="6"/>
  <c r="AD166" i="6"/>
  <c r="AF165" i="6"/>
  <c r="AE165" i="6"/>
  <c r="AD165" i="6"/>
  <c r="AF164" i="6"/>
  <c r="AE164" i="6"/>
  <c r="AD164" i="6"/>
  <c r="AF163" i="6"/>
  <c r="AE163" i="6"/>
  <c r="AD163" i="6"/>
  <c r="AF162" i="6"/>
  <c r="AE162" i="6"/>
  <c r="AD162" i="6"/>
  <c r="AF161" i="6"/>
  <c r="AE161" i="6"/>
  <c r="AD161" i="6"/>
  <c r="AF160" i="6"/>
  <c r="AE160" i="6"/>
  <c r="AD160" i="6"/>
  <c r="AF159" i="6"/>
  <c r="AE159" i="6"/>
  <c r="AD159" i="6"/>
  <c r="AF158" i="6"/>
  <c r="AE158" i="6"/>
  <c r="AD158" i="6"/>
  <c r="AF157" i="6"/>
  <c r="AE157" i="6"/>
  <c r="AD157" i="6"/>
  <c r="AF156" i="6"/>
  <c r="AE156" i="6"/>
  <c r="AD156" i="6"/>
  <c r="AF155" i="6"/>
  <c r="AE155" i="6"/>
  <c r="AD155" i="6"/>
  <c r="AF154" i="6"/>
  <c r="AE154" i="6"/>
  <c r="AD154" i="6"/>
  <c r="AF153" i="6"/>
  <c r="AE153" i="6"/>
  <c r="AD153" i="6"/>
  <c r="AF152" i="6"/>
  <c r="AE152" i="6"/>
  <c r="AD152" i="6"/>
  <c r="AF151" i="6"/>
  <c r="AE151" i="6"/>
  <c r="AD151" i="6"/>
  <c r="AF150" i="6"/>
  <c r="AE150" i="6"/>
  <c r="AD150" i="6"/>
  <c r="AF149" i="6"/>
  <c r="AE149" i="6"/>
  <c r="AD149" i="6"/>
  <c r="AF148" i="6"/>
  <c r="AE148" i="6"/>
  <c r="AD148" i="6"/>
  <c r="AF147" i="6"/>
  <c r="AE147" i="6"/>
  <c r="AD147" i="6"/>
  <c r="AF146" i="6"/>
  <c r="AE146" i="6"/>
  <c r="AD146" i="6"/>
  <c r="AF145" i="6"/>
  <c r="AE145" i="6"/>
  <c r="AD145" i="6"/>
  <c r="AF144" i="6"/>
  <c r="AE144" i="6"/>
  <c r="AD144" i="6"/>
  <c r="AF143" i="6"/>
  <c r="AE143" i="6"/>
  <c r="AD143" i="6"/>
  <c r="AF142" i="6"/>
  <c r="AE142" i="6"/>
  <c r="AD142" i="6"/>
  <c r="AF141" i="6"/>
  <c r="AE141" i="6"/>
  <c r="AD141" i="6"/>
  <c r="AF140" i="6"/>
  <c r="AE140" i="6"/>
  <c r="AD140" i="6"/>
  <c r="AF139" i="6"/>
  <c r="AE139" i="6"/>
  <c r="AD139" i="6"/>
  <c r="AF138" i="6"/>
  <c r="AE138" i="6"/>
  <c r="AD138" i="6"/>
  <c r="AF137" i="6"/>
  <c r="AE137" i="6"/>
  <c r="AD137" i="6"/>
  <c r="AF136" i="6"/>
  <c r="AE136" i="6"/>
  <c r="AD136" i="6"/>
  <c r="AF135" i="6"/>
  <c r="AE135" i="6"/>
  <c r="AD135" i="6"/>
  <c r="AF134" i="6"/>
  <c r="AE134" i="6"/>
  <c r="AD134" i="6"/>
  <c r="AF133" i="6"/>
  <c r="AE133" i="6"/>
  <c r="AD133" i="6"/>
  <c r="AF132" i="6"/>
  <c r="AE132" i="6"/>
  <c r="AD132" i="6"/>
  <c r="AF131" i="6"/>
  <c r="AE131" i="6"/>
  <c r="AD131" i="6"/>
  <c r="AF130" i="6"/>
  <c r="AE130" i="6"/>
  <c r="AD130" i="6"/>
  <c r="AF129" i="6"/>
  <c r="AE129" i="6"/>
  <c r="AD129" i="6"/>
  <c r="AF128" i="6"/>
  <c r="AE128" i="6"/>
  <c r="AD128" i="6"/>
  <c r="AF127" i="6"/>
  <c r="AE127" i="6"/>
  <c r="AD127" i="6"/>
  <c r="AF126" i="6"/>
  <c r="AE126" i="6"/>
  <c r="AD126" i="6"/>
  <c r="AF125" i="6"/>
  <c r="AE125" i="6"/>
  <c r="AD125" i="6"/>
  <c r="AF124" i="6"/>
  <c r="AE124" i="6"/>
  <c r="AD124" i="6"/>
  <c r="AF123" i="6"/>
  <c r="AE123" i="6"/>
  <c r="AD123" i="6"/>
  <c r="AF122" i="6"/>
  <c r="AE122" i="6"/>
  <c r="AD122" i="6"/>
  <c r="AF121" i="6"/>
  <c r="AE121" i="6"/>
  <c r="AD121" i="6"/>
  <c r="AF120" i="6"/>
  <c r="AE120" i="6"/>
  <c r="AD120" i="6"/>
  <c r="AF119" i="6"/>
  <c r="AE119" i="6"/>
  <c r="AD119" i="6"/>
  <c r="AF118" i="6"/>
  <c r="AE118" i="6"/>
  <c r="AD118" i="6"/>
  <c r="AF117" i="6"/>
  <c r="AE117" i="6"/>
  <c r="AD117" i="6"/>
  <c r="AF116" i="6"/>
  <c r="AE116" i="6"/>
  <c r="AD116" i="6"/>
  <c r="AF115" i="6"/>
  <c r="AE115" i="6"/>
  <c r="AD115" i="6"/>
  <c r="AF114" i="6"/>
  <c r="AE114" i="6"/>
  <c r="AD114" i="6"/>
  <c r="AF113" i="6"/>
  <c r="AE113" i="6"/>
  <c r="AD113" i="6"/>
  <c r="AF112" i="6"/>
  <c r="AE112" i="6"/>
  <c r="AD112" i="6"/>
  <c r="AF111" i="6"/>
  <c r="AE111" i="6"/>
  <c r="AD111" i="6"/>
  <c r="AF110" i="6"/>
  <c r="AE110" i="6"/>
  <c r="AD110" i="6"/>
  <c r="AF109" i="6"/>
  <c r="AE109" i="6"/>
  <c r="AD109" i="6"/>
  <c r="AF108" i="6"/>
  <c r="AE108" i="6"/>
  <c r="AD108" i="6"/>
  <c r="AF107" i="6"/>
  <c r="AE107" i="6"/>
  <c r="AD107" i="6"/>
  <c r="AF106" i="6"/>
  <c r="AE106" i="6"/>
  <c r="AD106" i="6"/>
  <c r="AF105" i="6"/>
  <c r="AE105" i="6"/>
  <c r="AD105" i="6"/>
  <c r="AF104" i="6"/>
  <c r="AE104" i="6"/>
  <c r="AD104" i="6"/>
  <c r="AF103" i="6"/>
  <c r="AE103" i="6"/>
  <c r="AD103" i="6"/>
  <c r="AF102" i="6"/>
  <c r="AE102" i="6"/>
  <c r="AD102" i="6"/>
  <c r="AF101" i="6"/>
  <c r="AE101" i="6"/>
  <c r="AD101" i="6"/>
  <c r="AF100" i="6"/>
  <c r="AE100" i="6"/>
  <c r="AD100" i="6"/>
  <c r="AF99" i="6"/>
  <c r="AE99" i="6"/>
  <c r="AD99" i="6"/>
  <c r="AF98" i="6"/>
  <c r="AE98" i="6"/>
  <c r="AD98" i="6"/>
  <c r="AF97" i="6"/>
  <c r="AE97" i="6"/>
  <c r="AD97" i="6"/>
  <c r="AF96" i="6"/>
  <c r="AE96" i="6"/>
  <c r="AD96" i="6"/>
  <c r="AF95" i="6"/>
  <c r="AE95" i="6"/>
  <c r="AD95" i="6"/>
  <c r="AF94" i="6"/>
  <c r="AE94" i="6"/>
  <c r="AD94" i="6"/>
  <c r="AF93" i="6"/>
  <c r="AE93" i="6"/>
  <c r="AD93" i="6"/>
  <c r="AF92" i="6"/>
  <c r="AE92" i="6"/>
  <c r="AD92" i="6"/>
  <c r="AF91" i="6"/>
  <c r="AE91" i="6"/>
  <c r="AD91" i="6"/>
  <c r="AF90" i="6"/>
  <c r="AE90" i="6"/>
  <c r="AD90" i="6"/>
  <c r="AF89" i="6"/>
  <c r="AE89" i="6"/>
  <c r="AD89" i="6"/>
  <c r="AF88" i="6"/>
  <c r="AE88" i="6"/>
  <c r="AD88" i="6"/>
  <c r="AF87" i="6"/>
  <c r="AE87" i="6"/>
  <c r="AD87" i="6"/>
  <c r="AF86" i="6"/>
  <c r="AE86" i="6"/>
  <c r="AD86" i="6"/>
  <c r="AF85" i="6"/>
  <c r="AE85" i="6"/>
  <c r="AD85" i="6"/>
  <c r="AF84" i="6"/>
  <c r="AE84" i="6"/>
  <c r="AD84" i="6"/>
  <c r="AF83" i="6"/>
  <c r="AE83" i="6"/>
  <c r="AD83" i="6"/>
  <c r="AF82" i="6"/>
  <c r="AE82" i="6"/>
  <c r="AD82" i="6"/>
  <c r="AF81" i="6"/>
  <c r="AE81" i="6"/>
  <c r="AD81" i="6"/>
  <c r="AF80" i="6"/>
  <c r="AE80" i="6"/>
  <c r="AD80" i="6"/>
  <c r="AF79" i="6"/>
  <c r="AE79" i="6"/>
  <c r="AD79" i="6"/>
  <c r="AF78" i="6"/>
  <c r="AE78" i="6"/>
  <c r="AD78" i="6"/>
  <c r="AF77" i="6"/>
  <c r="AE77" i="6"/>
  <c r="AD77" i="6"/>
  <c r="AF76" i="6"/>
  <c r="AE76" i="6"/>
  <c r="AD76" i="6"/>
  <c r="AF75" i="6"/>
  <c r="AE75" i="6"/>
  <c r="AD75" i="6"/>
  <c r="AF74" i="6"/>
  <c r="AE74" i="6"/>
  <c r="AD74" i="6"/>
  <c r="AF73" i="6"/>
  <c r="AE73" i="6"/>
  <c r="AD73" i="6"/>
  <c r="AF72" i="6"/>
  <c r="AE72" i="6"/>
  <c r="AD72" i="6"/>
  <c r="AF71" i="6"/>
  <c r="AE71" i="6"/>
  <c r="AD71" i="6"/>
  <c r="AF70" i="6"/>
  <c r="AE70" i="6"/>
  <c r="AD70" i="6"/>
  <c r="AF69" i="6"/>
  <c r="AE69" i="6"/>
  <c r="AD69" i="6"/>
  <c r="AF68" i="6"/>
  <c r="AE68" i="6"/>
  <c r="AD68" i="6"/>
  <c r="AF67" i="6"/>
  <c r="AE67" i="6"/>
  <c r="AD67" i="6"/>
  <c r="AF66" i="6"/>
  <c r="AE66" i="6"/>
  <c r="AD66" i="6"/>
  <c r="AF65" i="6"/>
  <c r="AE65" i="6"/>
  <c r="AD65" i="6"/>
  <c r="AF64" i="6"/>
  <c r="AE64" i="6"/>
  <c r="AD64" i="6"/>
  <c r="AF63" i="6"/>
  <c r="AE63" i="6"/>
  <c r="AD63" i="6"/>
  <c r="AF62" i="6"/>
  <c r="AE62" i="6"/>
  <c r="AD62" i="6"/>
  <c r="AF61" i="6"/>
  <c r="AE61" i="6"/>
  <c r="AD61" i="6"/>
  <c r="AF60" i="6"/>
  <c r="AE60" i="6"/>
  <c r="AD60" i="6"/>
  <c r="AF59" i="6"/>
  <c r="AE59" i="6"/>
  <c r="AD59" i="6"/>
  <c r="AF58" i="6"/>
  <c r="AE58" i="6"/>
  <c r="AD58" i="6"/>
  <c r="AF57" i="6"/>
  <c r="AE57" i="6"/>
  <c r="AD57" i="6"/>
  <c r="AF56" i="6"/>
  <c r="AE56" i="6"/>
  <c r="AD56" i="6"/>
  <c r="AF55" i="6"/>
  <c r="AE55" i="6"/>
  <c r="AD55" i="6"/>
  <c r="AF54" i="6"/>
  <c r="AE54" i="6"/>
  <c r="AD54" i="6"/>
  <c r="AF53" i="6"/>
  <c r="AE53" i="6"/>
  <c r="AD53" i="6"/>
  <c r="AF52" i="6"/>
  <c r="AE52" i="6"/>
  <c r="AD52" i="6"/>
  <c r="AF51" i="6"/>
  <c r="AE51" i="6"/>
  <c r="AD51" i="6"/>
  <c r="AF50" i="6"/>
  <c r="AE50" i="6"/>
  <c r="AD50" i="6"/>
  <c r="AF49" i="6"/>
  <c r="AE49" i="6"/>
  <c r="AD49" i="6"/>
  <c r="AF48" i="6"/>
  <c r="AE48" i="6"/>
  <c r="AD48" i="6"/>
  <c r="AF47" i="6"/>
  <c r="AE47" i="6"/>
  <c r="AD47" i="6"/>
  <c r="AF46" i="6"/>
  <c r="AE46" i="6"/>
  <c r="AD46" i="6"/>
  <c r="AF45" i="6"/>
  <c r="AE45" i="6"/>
  <c r="AD45" i="6"/>
  <c r="AF44" i="6"/>
  <c r="AE44" i="6"/>
  <c r="AD44" i="6"/>
  <c r="AF43" i="6"/>
  <c r="AE43" i="6"/>
  <c r="AD43" i="6"/>
  <c r="AF42" i="6"/>
  <c r="AE42" i="6"/>
  <c r="AD42" i="6"/>
  <c r="AF41" i="6"/>
  <c r="AE41" i="6"/>
  <c r="AD41" i="6"/>
  <c r="AF40" i="6"/>
  <c r="AE40" i="6"/>
  <c r="AD40" i="6"/>
  <c r="AF39" i="6"/>
  <c r="AE39" i="6"/>
  <c r="AD39" i="6"/>
  <c r="AF38" i="6"/>
  <c r="AE38" i="6"/>
  <c r="AD38" i="6"/>
  <c r="AF37" i="6"/>
  <c r="AE37" i="6"/>
  <c r="AD37" i="6"/>
  <c r="AF36" i="6"/>
  <c r="AE36" i="6"/>
  <c r="AD36" i="6"/>
  <c r="AF35" i="6"/>
  <c r="AE35" i="6"/>
  <c r="AD35" i="6"/>
  <c r="AF34" i="6"/>
  <c r="AE34" i="6"/>
  <c r="AD34" i="6"/>
  <c r="AF33" i="6"/>
  <c r="AE33" i="6"/>
  <c r="AD33" i="6"/>
  <c r="AF32" i="6"/>
  <c r="AE32" i="6"/>
  <c r="AD32" i="6"/>
  <c r="AF31" i="6"/>
  <c r="AE31" i="6"/>
  <c r="AD31" i="6"/>
  <c r="AF30" i="6"/>
  <c r="AE30" i="6"/>
  <c r="AD30" i="6"/>
  <c r="AF29" i="6"/>
  <c r="AE29" i="6"/>
  <c r="AD29" i="6"/>
  <c r="AF28" i="6"/>
  <c r="AE28" i="6"/>
  <c r="AD28" i="6"/>
  <c r="AF27" i="6"/>
  <c r="AE27" i="6"/>
  <c r="AD27" i="6"/>
  <c r="AF26" i="6"/>
  <c r="AE26" i="6"/>
  <c r="AD26" i="6"/>
  <c r="AF25" i="6"/>
  <c r="AE25" i="6"/>
  <c r="AD25" i="6"/>
  <c r="AF24" i="6"/>
  <c r="AE24" i="6"/>
  <c r="AD24" i="6"/>
  <c r="AF23" i="6"/>
  <c r="AE23" i="6"/>
  <c r="AD23" i="6"/>
  <c r="AF22" i="6"/>
  <c r="AE22" i="6"/>
  <c r="AD22" i="6"/>
  <c r="AF21" i="6"/>
  <c r="AE21" i="6"/>
  <c r="AD21" i="6"/>
  <c r="AF20" i="6"/>
  <c r="AE20" i="6"/>
  <c r="AD20" i="6"/>
  <c r="AF19" i="6"/>
  <c r="AE19" i="6"/>
  <c r="AD19" i="6"/>
  <c r="AF18" i="6"/>
  <c r="AE18" i="6"/>
  <c r="AD18" i="6"/>
  <c r="AF17" i="6"/>
  <c r="AE17" i="6"/>
  <c r="AD17" i="6"/>
  <c r="AF16" i="6"/>
  <c r="AE16" i="6"/>
  <c r="AD16" i="6"/>
  <c r="AF15" i="6"/>
  <c r="AE15" i="6"/>
  <c r="AD15" i="6"/>
  <c r="AF14" i="6"/>
  <c r="AE14" i="6"/>
  <c r="AD14" i="6"/>
  <c r="M14" i="6"/>
  <c r="AF13" i="6"/>
  <c r="AE13" i="6"/>
  <c r="AD13" i="6"/>
  <c r="M13" i="6"/>
  <c r="AF12" i="6"/>
  <c r="AE12" i="6"/>
  <c r="AD12" i="6"/>
  <c r="M12" i="6"/>
  <c r="AF11" i="6"/>
  <c r="AE11" i="6"/>
  <c r="AD11" i="6"/>
  <c r="M11" i="6"/>
  <c r="AF10" i="6"/>
  <c r="AE10" i="6"/>
  <c r="AD10" i="6"/>
  <c r="M10" i="6"/>
  <c r="AF9" i="6"/>
  <c r="AE9" i="6"/>
  <c r="AD9" i="6"/>
  <c r="M9" i="6"/>
  <c r="AF8" i="6"/>
  <c r="AE8" i="6"/>
  <c r="AD8" i="6"/>
  <c r="M8" i="6"/>
  <c r="AF7" i="6"/>
  <c r="AE7" i="6"/>
  <c r="AD7" i="6"/>
  <c r="M7" i="6"/>
  <c r="AF6" i="6"/>
  <c r="AE6" i="6"/>
  <c r="AD6" i="6"/>
  <c r="M6" i="6"/>
  <c r="AF5" i="6"/>
  <c r="AE5" i="6"/>
  <c r="AD5" i="6"/>
  <c r="M5" i="6"/>
  <c r="AF4" i="6"/>
  <c r="AE4" i="6"/>
  <c r="AD4" i="6"/>
  <c r="M4" i="6"/>
  <c r="AF3" i="6"/>
  <c r="AE3" i="6"/>
  <c r="AD3" i="6"/>
  <c r="M3" i="6"/>
  <c r="AF2" i="6"/>
  <c r="AE2" i="6"/>
  <c r="AD2" i="6"/>
  <c r="M2" i="6"/>
  <c r="AF1" i="6"/>
  <c r="AE1" i="6"/>
  <c r="AD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T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% estudiantes que repiten
	-Lucas Becrod - Finangher</t>
        </r>
      </text>
    </comment>
    <comment ref="AQ2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% estudiantes que pasaron de grado
	-Lucas Becrod - Finangher</t>
        </r>
      </text>
    </comment>
  </commentList>
</comments>
</file>

<file path=xl/sharedStrings.xml><?xml version="1.0" encoding="utf-8"?>
<sst xmlns="http://schemas.openxmlformats.org/spreadsheetml/2006/main" count="262" uniqueCount="194">
  <si>
    <t>Factores Fe y Alegría</t>
  </si>
  <si>
    <t>Variables</t>
  </si>
  <si>
    <t>indicador</t>
  </si>
  <si>
    <t xml:space="preserve">se encuentra en: </t>
  </si>
  <si>
    <t>Características de los estudiantes y sus familias</t>
  </si>
  <si>
    <t>Antecedentes escolares del estudiante</t>
  </si>
  <si>
    <t>alta</t>
  </si>
  <si>
    <t>Estudiante de 2do grado realizo inicial?</t>
  </si>
  <si>
    <t>ficha de matricula</t>
  </si>
  <si>
    <t>Prácticas educativas en el hogar</t>
  </si>
  <si>
    <t>Nivel de estudio del tutor</t>
  </si>
  <si>
    <t>Características socioeconómicas</t>
  </si>
  <si>
    <t>Características demográficas</t>
  </si>
  <si>
    <t>Características culturales</t>
  </si>
  <si>
    <t>Formación profesional inicial</t>
  </si>
  <si>
    <t>Formación docente en servicio</t>
  </si>
  <si>
    <t>Condición laboral</t>
  </si>
  <si>
    <t>Bienestar docente</t>
  </si>
  <si>
    <t>Creencias pedagógicas,</t>
  </si>
  <si>
    <t>Estrategias y recursos para la enseñanza y el aprendizaje)</t>
  </si>
  <si>
    <t>Cobertura curricular</t>
  </si>
  <si>
    <t>Recursos para el aprendizaje</t>
  </si>
  <si>
    <t>Características de la escuela que se relacionan con el aprendizaje</t>
  </si>
  <si>
    <t>Tipo de escuela</t>
  </si>
  <si>
    <t>Servicios básicos</t>
  </si>
  <si>
    <t>Acceso al centro educativo</t>
  </si>
  <si>
    <t>Infraestructura</t>
  </si>
  <si>
    <t>Equipamiento (mobiliario, laboratorio, biblioteca)</t>
  </si>
  <si>
    <t>Recursos escolares tecnológicos</t>
  </si>
  <si>
    <t>Distribución del tiempo infantil y espacios para el ocio</t>
  </si>
  <si>
    <t>Instrumentos de gestión de las escuelas</t>
  </si>
  <si>
    <t>Liderazgo pedagógico del director,</t>
  </si>
  <si>
    <t>Trabajo colaborativo entre docentes,</t>
  </si>
  <si>
    <t>Convivencia escolar</t>
  </si>
  <si>
    <t>Participación de la Comunidad en la gestión de la IE</t>
  </si>
  <si>
    <t>Articulación del Planes Educativos, FYA, RER, Proyectos Regionales, Locales y Planes de Vida de Pueblos Indígenas</t>
  </si>
  <si>
    <t>Nombre de la IE</t>
  </si>
  <si>
    <t>CODIGO MODULAR IE</t>
  </si>
  <si>
    <t xml:space="preserve">Nivel </t>
  </si>
  <si>
    <t>Cuenta con aula de innovación</t>
  </si>
  <si>
    <t>Tipo Organizacional</t>
  </si>
  <si>
    <t>Jornada</t>
  </si>
  <si>
    <t>Modalidad educativa</t>
  </si>
  <si>
    <t>Especialidad</t>
  </si>
  <si>
    <t>Tipo apoyo psicologico</t>
  </si>
  <si>
    <t xml:space="preserve">Mobiliario </t>
  </si>
  <si>
    <t>Asignacion presupuestal 2024</t>
  </si>
  <si>
    <t>Años del director en el cargo</t>
  </si>
  <si>
    <t>Puntaje promedio ECE en matematica por año</t>
  </si>
  <si>
    <t>Puntaje promedio ECE en lectura por año</t>
  </si>
  <si>
    <t>Numero de estudiantes matriculados por año</t>
  </si>
  <si>
    <t>Numero de estudiantes egresados (del último grado del nivel) por año</t>
  </si>
  <si>
    <t>Numero de estudiantes ingresantes a educación superior tras culminar su secundaria por año</t>
  </si>
  <si>
    <t>Numero incidentes disciplinarios por año</t>
  </si>
  <si>
    <t>Numero de docentes por año</t>
  </si>
  <si>
    <t>Número de docentes que permanecen en la institucion tras culminar el año</t>
  </si>
  <si>
    <t>Numero de docentes mujeres por año</t>
  </si>
  <si>
    <t>Numero total de aulas operativas</t>
  </si>
  <si>
    <t>Numero de estudiantes desertados por año</t>
  </si>
  <si>
    <t>Numero de estudiantes que repiten por año</t>
  </si>
  <si>
    <t>Andamayo</t>
  </si>
  <si>
    <t>Primaria</t>
  </si>
  <si>
    <t>Si</t>
  </si>
  <si>
    <t>Unidocente</t>
  </si>
  <si>
    <t>Regular</t>
  </si>
  <si>
    <t>1 = EBR_Inicial</t>
  </si>
  <si>
    <t>Secundaria</t>
  </si>
  <si>
    <t>No</t>
  </si>
  <si>
    <t>Polidocente completo</t>
  </si>
  <si>
    <t>Completa</t>
  </si>
  <si>
    <t>Nivel</t>
  </si>
  <si>
    <t>ID_DOCENTE</t>
  </si>
  <si>
    <t>Nombre y apellidos</t>
  </si>
  <si>
    <t>Edad</t>
  </si>
  <si>
    <t>Sexo</t>
  </si>
  <si>
    <t>Especialidad docente</t>
  </si>
  <si>
    <t>Especialidad o asigatura impartida por año</t>
  </si>
  <si>
    <t>Grado</t>
  </si>
  <si>
    <t>Sección</t>
  </si>
  <si>
    <t>Tiempo de viaje desde su casa hasta la IE</t>
  </si>
  <si>
    <t>Nivel de especialización</t>
  </si>
  <si>
    <t>Años de experiencia</t>
  </si>
  <si>
    <t>Notas de Matématica (PADD)</t>
  </si>
  <si>
    <t>Notas de Comunicación (PADD)</t>
  </si>
  <si>
    <t>Matemática</t>
  </si>
  <si>
    <t>Comunicación</t>
  </si>
  <si>
    <t>Segundo</t>
  </si>
  <si>
    <t>A, B, D, E</t>
  </si>
  <si>
    <t>ID_IE</t>
  </si>
  <si>
    <t>REGION</t>
  </si>
  <si>
    <t>PROVINCIA</t>
  </si>
  <si>
    <t>DISTRITO</t>
  </si>
  <si>
    <t>POBREZA</t>
  </si>
  <si>
    <t xml:space="preserve">Zona </t>
  </si>
  <si>
    <t>Nota de comunicación</t>
  </si>
  <si>
    <t>Nota de matemática</t>
  </si>
  <si>
    <t>id</t>
  </si>
  <si>
    <t>niveles</t>
  </si>
  <si>
    <t>Zona</t>
  </si>
  <si>
    <t>Boleano</t>
  </si>
  <si>
    <t>Modalidad de enseñanza</t>
  </si>
  <si>
    <t>Concepo</t>
  </si>
  <si>
    <t>Modalidad_Educativa:</t>
  </si>
  <si>
    <t>ID</t>
  </si>
  <si>
    <t>Grados</t>
  </si>
  <si>
    <t>Secciones</t>
  </si>
  <si>
    <t>tipo_apoyo_psicologico</t>
  </si>
  <si>
    <t>especialidad_curricular</t>
  </si>
  <si>
    <t>Inicial</t>
  </si>
  <si>
    <t>Urbano</t>
  </si>
  <si>
    <t>Un docente que enseña todas las asginaturas en todos los grados</t>
  </si>
  <si>
    <t>Científico_Humanístico</t>
  </si>
  <si>
    <t>Primero</t>
  </si>
  <si>
    <t>A</t>
  </si>
  <si>
    <t>Permanente</t>
  </si>
  <si>
    <t>Rural</t>
  </si>
  <si>
    <t>Cada docente enseña solo a una seccion</t>
  </si>
  <si>
    <t>2 = EBR_Primaria</t>
  </si>
  <si>
    <t>Técnico_Productivo</t>
  </si>
  <si>
    <t>B</t>
  </si>
  <si>
    <t>Itinerante</t>
  </si>
  <si>
    <t>Polidocente multigrado</t>
  </si>
  <si>
    <t>3 = EBR_Secundaria_Regular</t>
  </si>
  <si>
    <t>Extendida</t>
  </si>
  <si>
    <t>Tercero</t>
  </si>
  <si>
    <t>C</t>
  </si>
  <si>
    <t>No tiene</t>
  </si>
  <si>
    <t>Inicial-Primaria Multigrado</t>
  </si>
  <si>
    <t>4 = EBR_Secundaria_JEC</t>
  </si>
  <si>
    <t>Cuato</t>
  </si>
  <si>
    <t>D</t>
  </si>
  <si>
    <t>5 = EBA_Inicial</t>
  </si>
  <si>
    <t>Quinto</t>
  </si>
  <si>
    <t>E</t>
  </si>
  <si>
    <t>6 = EBA_Intermedio</t>
  </si>
  <si>
    <t>Sexto</t>
  </si>
  <si>
    <t>F</t>
  </si>
  <si>
    <t>Ciencias Sociales</t>
  </si>
  <si>
    <t>7 = EBA_Avanzado</t>
  </si>
  <si>
    <t>G</t>
  </si>
  <si>
    <t>DPCC</t>
  </si>
  <si>
    <t>8 = EBE_Inicial</t>
  </si>
  <si>
    <t>H</t>
  </si>
  <si>
    <t>Ciencia y Tecnología</t>
  </si>
  <si>
    <t>9 = EBE_Primaria</t>
  </si>
  <si>
    <t>I</t>
  </si>
  <si>
    <t>Educación Física</t>
  </si>
  <si>
    <t>10 = EBE_Secundaria</t>
  </si>
  <si>
    <t>Otro</t>
  </si>
  <si>
    <t>Arte y Cultura</t>
  </si>
  <si>
    <t>11 = PRONOI</t>
  </si>
  <si>
    <t>Educación Religiosa</t>
  </si>
  <si>
    <t>12 = PRONOEI</t>
  </si>
  <si>
    <t>Inglés</t>
  </si>
  <si>
    <t>EPT</t>
  </si>
  <si>
    <t>Auxiliar</t>
  </si>
  <si>
    <t>Psicología</t>
  </si>
  <si>
    <t>Otros</t>
  </si>
  <si>
    <t>Marca temporal</t>
  </si>
  <si>
    <t>Selecciones el o los gados a los que enseña</t>
  </si>
  <si>
    <t>Necesidades básicas insatisfechas distrital</t>
  </si>
  <si>
    <t>INEI</t>
  </si>
  <si>
    <t>Escale</t>
  </si>
  <si>
    <t>Tipo de ruralidad (1,2 y 3), centro poblado</t>
  </si>
  <si>
    <t>escale</t>
  </si>
  <si>
    <t>Tipo de atención de EIB de IIEE</t>
  </si>
  <si>
    <t>Nivel de importancia (alta, media, baja)</t>
  </si>
  <si>
    <r>
      <rPr>
        <sz val="7"/>
        <color theme="3"/>
        <rFont val="Calibri"/>
        <family val="2"/>
      </rPr>
      <t xml:space="preserve">Características del docente, </t>
    </r>
    <r>
      <rPr>
        <sz val="7"/>
        <color rgb="FF000000"/>
        <rFont val="Calibri"/>
        <family val="2"/>
      </rPr>
      <t>recursos pedagógico y recursos en el aula</t>
    </r>
  </si>
  <si>
    <t>n/a</t>
  </si>
  <si>
    <t>Resultado final PAAD, calificación docente</t>
  </si>
  <si>
    <t>Listado de formación</t>
  </si>
  <si>
    <t>tiempo de servicio en la red</t>
  </si>
  <si>
    <t xml:space="preserve">Info de la red </t>
  </si>
  <si>
    <t>Situación laboral del docente (cotratado o nombrado)* IIEE</t>
  </si>
  <si>
    <t>Info de la red / censo educativo</t>
  </si>
  <si>
    <t>Ficha de acompañamiento , BD de cada red</t>
  </si>
  <si>
    <t>manejo de contenido pedagogico x docente, situación final del año educativo</t>
  </si>
  <si>
    <t>Uso de recursos tecnologicos y digitales</t>
  </si>
  <si>
    <t>Evaluación competencias digitales del docente PAAD 2024</t>
  </si>
  <si>
    <t>Unidocente, multigrado, polidocente</t>
  </si>
  <si>
    <t>Escale / censo</t>
  </si>
  <si>
    <t>Luz, agua, desague, conectividad</t>
  </si>
  <si>
    <t>Censo de infraestructura educativa</t>
  </si>
  <si>
    <t>Red rural</t>
  </si>
  <si>
    <t>Tiempo de traslado minimo desde la vivienda de los estudiantes hasta la IIEE</t>
  </si>
  <si>
    <t>Tiempo de traslado máximo desde la vivienda de los estudiantes hasta la IIEE</t>
  </si>
  <si>
    <t>promedio de número de estudiantes x docente</t>
  </si>
  <si>
    <t>PEI, PAT</t>
  </si>
  <si>
    <t>Info de red rural</t>
  </si>
  <si>
    <t>Equipamiento (mobiliario,  biblioteca) x IIEE</t>
  </si>
  <si>
    <t>Gias activos</t>
  </si>
  <si>
    <t>Info de red rural, ficha de acompañamiento a director</t>
  </si>
  <si>
    <t>Liderazgo pedagógico del director</t>
  </si>
  <si>
    <t>Ficha de observación de acompañamiento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</si>
</sst>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sz val="8"/>
      <color theme="1"/>
      <name val="Arial"/>
      <family val="2"/>
      <scheme val="minor"/>
    </font>
    <font>
      <sz val="7"/>
      <color rgb="FF000000"/>
      <name val="Calibri"/>
      <family val="2"/>
    </font>
    <font>
      <sz val="7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7"/>
      <color theme="3"/>
      <name val="Calibri"/>
      <family val="2"/>
    </font>
    <font>
      <sz val="7"/>
      <color rgb="FF000000"/>
      <name val="Calibri"/>
      <family val="2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49" fontId="6" fillId="0" borderId="0" xfId="0" applyNumberFormat="1" applyFont="1"/>
    <xf numFmtId="49" fontId="5" fillId="0" borderId="0" xfId="0" applyNumberFormat="1" applyFont="1"/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vertical="center"/>
    </xf>
    <xf numFmtId="0" fontId="0" fillId="13" borderId="7" xfId="0" applyFill="1" applyBorder="1" applyAlignment="1">
      <alignment vertical="center"/>
    </xf>
    <xf numFmtId="0" fontId="1" fillId="0" borderId="7" xfId="0" applyFont="1" applyBorder="1"/>
    <xf numFmtId="0" fontId="3" fillId="0" borderId="7" xfId="0" applyFont="1" applyBorder="1" applyAlignment="1">
      <alignment wrapText="1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7" xfId="0" applyFont="1" applyBorder="1"/>
    <xf numFmtId="0" fontId="10" fillId="13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wrapText="1"/>
    </xf>
    <xf numFmtId="0" fontId="9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wrapText="1"/>
    </xf>
    <xf numFmtId="0" fontId="9" fillId="0" borderId="7" xfId="0" applyFont="1" applyBorder="1" applyAlignment="1">
      <alignment horizontal="left" wrapText="1"/>
    </xf>
    <xf numFmtId="0" fontId="9" fillId="13" borderId="7" xfId="0" applyFont="1" applyFill="1" applyBorder="1" applyAlignment="1">
      <alignment wrapText="1"/>
    </xf>
    <xf numFmtId="0" fontId="9" fillId="13" borderId="7" xfId="0" applyFont="1" applyFill="1" applyBorder="1" applyAlignment="1">
      <alignment vertical="center"/>
    </xf>
    <xf numFmtId="0" fontId="12" fillId="0" borderId="9" xfId="0" applyFont="1" applyBorder="1" applyAlignment="1">
      <alignment horizontal="left" wrapText="1"/>
    </xf>
    <xf numFmtId="0" fontId="12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12" fillId="0" borderId="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vertical="top"/>
    </xf>
    <xf numFmtId="0" fontId="6" fillId="11" borderId="0" xfId="0" applyFont="1" applyFill="1" applyAlignment="1">
      <alignment horizontal="center" vertical="center" wrapText="1"/>
    </xf>
    <xf numFmtId="0" fontId="0" fillId="0" borderId="0" xfId="0"/>
    <xf numFmtId="0" fontId="6" fillId="6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1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B1" headerRowCount="0">
  <tableColumns count="2">
    <tableColumn id="1" xr3:uid="{00000000-0010-0000-0000-000001000000}" name="Column1"/>
    <tableColumn id="2" xr3:uid="{00000000-0010-0000-0000-000002000000}" name="Column2"/>
  </tableColumns>
  <tableStyleInfo name="Respuestas de formulari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1"/>
  <sheetViews>
    <sheetView tabSelected="1"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2" sqref="J22"/>
    </sheetView>
  </sheetViews>
  <sheetFormatPr baseColWidth="10" defaultColWidth="12.5703125" defaultRowHeight="15.75" customHeight="1" x14ac:dyDescent="0.2"/>
  <cols>
    <col min="2" max="2" width="23.5703125" customWidth="1"/>
    <col min="3" max="3" width="8.28515625" style="58" customWidth="1"/>
    <col min="4" max="4" width="5" style="44" customWidth="1"/>
    <col min="5" max="5" width="24.28515625" customWidth="1"/>
    <col min="6" max="6" width="21.85546875" customWidth="1"/>
  </cols>
  <sheetData>
    <row r="1" spans="1:7" ht="12.75" x14ac:dyDescent="0.2">
      <c r="C1" s="2"/>
      <c r="D1" s="31"/>
      <c r="E1" s="1"/>
      <c r="F1" s="1"/>
    </row>
    <row r="2" spans="1:7" s="32" customFormat="1" ht="36" x14ac:dyDescent="0.2">
      <c r="A2" s="33" t="s">
        <v>0</v>
      </c>
      <c r="B2" s="34" t="s">
        <v>1</v>
      </c>
      <c r="C2" s="46" t="s">
        <v>166</v>
      </c>
      <c r="D2" s="36"/>
      <c r="E2" s="37" t="s">
        <v>2</v>
      </c>
      <c r="F2" s="38" t="s">
        <v>3</v>
      </c>
      <c r="G2" s="39"/>
    </row>
    <row r="3" spans="1:7" ht="12.75" customHeight="1" x14ac:dyDescent="0.2">
      <c r="A3" s="59" t="s">
        <v>4</v>
      </c>
      <c r="B3" s="35" t="s">
        <v>5</v>
      </c>
      <c r="C3" s="57" t="s">
        <v>6</v>
      </c>
      <c r="D3" s="43">
        <v>1</v>
      </c>
      <c r="E3" s="41" t="s">
        <v>7</v>
      </c>
      <c r="F3" s="40" t="s">
        <v>8</v>
      </c>
      <c r="G3" s="42"/>
    </row>
    <row r="4" spans="1:7" ht="12.75" customHeight="1" x14ac:dyDescent="0.2">
      <c r="A4" s="60"/>
      <c r="B4" s="35" t="s">
        <v>9</v>
      </c>
      <c r="C4" s="57" t="s">
        <v>6</v>
      </c>
      <c r="D4" s="43">
        <v>2</v>
      </c>
      <c r="E4" s="40" t="s">
        <v>10</v>
      </c>
      <c r="F4" s="40" t="s">
        <v>8</v>
      </c>
      <c r="G4" s="42"/>
    </row>
    <row r="5" spans="1:7" ht="12.75" customHeight="1" x14ac:dyDescent="0.2">
      <c r="A5" s="60"/>
      <c r="B5" s="35" t="s">
        <v>11</v>
      </c>
      <c r="C5" s="57" t="s">
        <v>6</v>
      </c>
      <c r="D5" s="43">
        <v>3</v>
      </c>
      <c r="E5" s="45" t="s">
        <v>160</v>
      </c>
      <c r="F5" s="45" t="s">
        <v>161</v>
      </c>
      <c r="G5" s="42"/>
    </row>
    <row r="6" spans="1:7" ht="12.75" customHeight="1" x14ac:dyDescent="0.2">
      <c r="A6" s="60"/>
      <c r="B6" s="35" t="s">
        <v>12</v>
      </c>
      <c r="C6" s="57" t="s">
        <v>6</v>
      </c>
      <c r="D6" s="43">
        <v>5</v>
      </c>
      <c r="E6" s="45" t="s">
        <v>163</v>
      </c>
      <c r="F6" s="45" t="s">
        <v>162</v>
      </c>
      <c r="G6" s="42"/>
    </row>
    <row r="7" spans="1:7" ht="12.75" customHeight="1" x14ac:dyDescent="0.2">
      <c r="A7" s="61"/>
      <c r="B7" s="35" t="s">
        <v>13</v>
      </c>
      <c r="C7" s="57" t="s">
        <v>6</v>
      </c>
      <c r="D7" s="43">
        <v>6</v>
      </c>
      <c r="E7" s="45" t="s">
        <v>165</v>
      </c>
      <c r="F7" s="45" t="s">
        <v>164</v>
      </c>
      <c r="G7" s="42"/>
    </row>
    <row r="8" spans="1:7" ht="12.75" customHeight="1" x14ac:dyDescent="0.2">
      <c r="A8" s="62" t="s">
        <v>167</v>
      </c>
      <c r="B8" s="35" t="s">
        <v>14</v>
      </c>
      <c r="C8" s="57" t="s">
        <v>6</v>
      </c>
      <c r="D8" s="43">
        <v>7</v>
      </c>
      <c r="E8" s="45" t="s">
        <v>168</v>
      </c>
      <c r="F8" s="40"/>
      <c r="G8" s="42"/>
    </row>
    <row r="9" spans="1:7" ht="12.75" customHeight="1" x14ac:dyDescent="0.2">
      <c r="A9" s="60"/>
      <c r="B9" s="35" t="s">
        <v>15</v>
      </c>
      <c r="C9" s="57" t="s">
        <v>6</v>
      </c>
      <c r="D9" s="43">
        <v>8</v>
      </c>
      <c r="E9" s="45" t="s">
        <v>169</v>
      </c>
      <c r="F9" s="45" t="s">
        <v>170</v>
      </c>
      <c r="G9" s="42"/>
    </row>
    <row r="10" spans="1:7" ht="12.75" customHeight="1" x14ac:dyDescent="0.2">
      <c r="A10" s="60"/>
      <c r="B10" s="35" t="s">
        <v>16</v>
      </c>
      <c r="C10" s="57" t="s">
        <v>6</v>
      </c>
      <c r="D10" s="43">
        <v>9</v>
      </c>
      <c r="E10" s="45" t="s">
        <v>171</v>
      </c>
      <c r="F10" s="45" t="s">
        <v>172</v>
      </c>
      <c r="G10" s="42"/>
    </row>
    <row r="11" spans="1:7" ht="20.25" customHeight="1" x14ac:dyDescent="0.2">
      <c r="A11" s="60"/>
      <c r="B11" s="35"/>
      <c r="C11" s="57" t="s">
        <v>6</v>
      </c>
      <c r="D11" s="43"/>
      <c r="E11" s="45" t="s">
        <v>173</v>
      </c>
      <c r="F11" s="51" t="s">
        <v>174</v>
      </c>
      <c r="G11" s="42"/>
    </row>
    <row r="12" spans="1:7" ht="12.75" customHeight="1" x14ac:dyDescent="0.2">
      <c r="A12" s="60"/>
      <c r="B12" s="35" t="s">
        <v>17</v>
      </c>
      <c r="C12" s="57" t="s">
        <v>6</v>
      </c>
      <c r="D12" s="43">
        <v>10</v>
      </c>
      <c r="E12" s="45" t="s">
        <v>186</v>
      </c>
      <c r="F12" s="45" t="s">
        <v>164</v>
      </c>
      <c r="G12" s="42"/>
    </row>
    <row r="13" spans="1:7" ht="12.75" customHeight="1" x14ac:dyDescent="0.2">
      <c r="A13" s="60"/>
      <c r="B13" s="35" t="s">
        <v>18</v>
      </c>
      <c r="C13" s="57" t="s">
        <v>6</v>
      </c>
      <c r="D13" s="43">
        <v>11</v>
      </c>
      <c r="E13" s="45" t="s">
        <v>168</v>
      </c>
      <c r="F13" s="40"/>
      <c r="G13" s="42"/>
    </row>
    <row r="14" spans="1:7" ht="18.75" customHeight="1" x14ac:dyDescent="0.2">
      <c r="A14" s="60"/>
      <c r="B14" s="35" t="s">
        <v>19</v>
      </c>
      <c r="C14" s="57" t="s">
        <v>6</v>
      </c>
      <c r="D14" s="43">
        <v>12</v>
      </c>
      <c r="E14" s="50" t="s">
        <v>176</v>
      </c>
      <c r="F14" s="50" t="s">
        <v>175</v>
      </c>
      <c r="G14" s="42"/>
    </row>
    <row r="15" spans="1:7" ht="12.75" customHeight="1" x14ac:dyDescent="0.2">
      <c r="A15" s="60"/>
      <c r="B15" s="35" t="s">
        <v>20</v>
      </c>
      <c r="C15" s="57" t="s">
        <v>6</v>
      </c>
      <c r="D15" s="43">
        <v>13</v>
      </c>
      <c r="E15" s="45" t="s">
        <v>168</v>
      </c>
      <c r="F15" s="40"/>
      <c r="G15" s="42"/>
    </row>
    <row r="16" spans="1:7" ht="21" customHeight="1" x14ac:dyDescent="0.2">
      <c r="A16" s="60"/>
      <c r="B16" s="35" t="s">
        <v>21</v>
      </c>
      <c r="C16" s="57" t="s">
        <v>6</v>
      </c>
      <c r="D16" s="43">
        <v>14</v>
      </c>
      <c r="E16" s="52" t="s">
        <v>177</v>
      </c>
      <c r="F16" s="51" t="s">
        <v>178</v>
      </c>
      <c r="G16" s="42"/>
    </row>
    <row r="17" spans="1:7" ht="24" customHeight="1" x14ac:dyDescent="0.2">
      <c r="A17" s="63" t="s">
        <v>22</v>
      </c>
      <c r="B17" s="47" t="s">
        <v>23</v>
      </c>
      <c r="C17" s="57" t="s">
        <v>6</v>
      </c>
      <c r="D17" s="43">
        <v>15</v>
      </c>
      <c r="E17" s="51" t="s">
        <v>179</v>
      </c>
      <c r="F17" s="49" t="s">
        <v>180</v>
      </c>
      <c r="G17" s="42"/>
    </row>
    <row r="18" spans="1:7" ht="12.75" customHeight="1" x14ac:dyDescent="0.2">
      <c r="A18" s="64"/>
      <c r="B18" s="47" t="s">
        <v>24</v>
      </c>
      <c r="C18" s="57" t="s">
        <v>6</v>
      </c>
      <c r="D18" s="43">
        <v>16</v>
      </c>
      <c r="E18" s="45" t="s">
        <v>181</v>
      </c>
      <c r="F18" s="45" t="s">
        <v>182</v>
      </c>
      <c r="G18" s="42"/>
    </row>
    <row r="19" spans="1:7" ht="33.75" customHeight="1" x14ac:dyDescent="0.2">
      <c r="A19" s="64"/>
      <c r="B19" s="47" t="s">
        <v>25</v>
      </c>
      <c r="C19" s="43" t="s">
        <v>6</v>
      </c>
      <c r="D19" s="43">
        <v>17</v>
      </c>
      <c r="E19" s="53" t="s">
        <v>184</v>
      </c>
      <c r="F19" s="54" t="s">
        <v>183</v>
      </c>
      <c r="G19" s="42"/>
    </row>
    <row r="20" spans="1:7" ht="33" customHeight="1" x14ac:dyDescent="0.2">
      <c r="A20" s="64"/>
      <c r="B20" s="47"/>
      <c r="C20" s="43" t="s">
        <v>6</v>
      </c>
      <c r="D20" s="43"/>
      <c r="E20" s="53" t="s">
        <v>185</v>
      </c>
      <c r="F20" s="54" t="s">
        <v>183</v>
      </c>
      <c r="G20" s="42"/>
    </row>
    <row r="21" spans="1:7" ht="12.75" customHeight="1" x14ac:dyDescent="0.2">
      <c r="A21" s="64"/>
      <c r="B21" s="47" t="s">
        <v>26</v>
      </c>
      <c r="C21" s="57" t="s">
        <v>6</v>
      </c>
      <c r="D21" s="43">
        <v>18</v>
      </c>
      <c r="E21" s="45" t="s">
        <v>168</v>
      </c>
      <c r="F21" s="40"/>
      <c r="G21" s="42"/>
    </row>
    <row r="22" spans="1:7" ht="17.25" customHeight="1" x14ac:dyDescent="0.2">
      <c r="A22" s="64"/>
      <c r="B22" s="47" t="s">
        <v>27</v>
      </c>
      <c r="C22" s="57" t="s">
        <v>6</v>
      </c>
      <c r="D22" s="43">
        <v>19</v>
      </c>
      <c r="E22" s="56" t="s">
        <v>189</v>
      </c>
      <c r="F22" s="45" t="s">
        <v>182</v>
      </c>
      <c r="G22" s="42"/>
    </row>
    <row r="23" spans="1:7" ht="17.25" customHeight="1" x14ac:dyDescent="0.2">
      <c r="A23" s="64"/>
      <c r="B23" s="47" t="s">
        <v>28</v>
      </c>
      <c r="C23" s="57" t="s">
        <v>6</v>
      </c>
      <c r="D23" s="43">
        <v>20</v>
      </c>
      <c r="E23" s="45" t="s">
        <v>168</v>
      </c>
      <c r="F23" s="40"/>
      <c r="G23" s="42"/>
    </row>
    <row r="24" spans="1:7" ht="18" customHeight="1" x14ac:dyDescent="0.2">
      <c r="A24" s="64"/>
      <c r="B24" s="47" t="s">
        <v>29</v>
      </c>
      <c r="C24" s="57" t="s">
        <v>6</v>
      </c>
      <c r="D24" s="43">
        <v>21</v>
      </c>
      <c r="E24" s="45" t="s">
        <v>168</v>
      </c>
      <c r="F24" s="40"/>
      <c r="G24" s="42"/>
    </row>
    <row r="25" spans="1:7" ht="12.75" customHeight="1" x14ac:dyDescent="0.2">
      <c r="A25" s="64"/>
      <c r="B25" s="47" t="s">
        <v>30</v>
      </c>
      <c r="C25" s="57" t="s">
        <v>6</v>
      </c>
      <c r="D25" s="43">
        <v>22</v>
      </c>
      <c r="E25" s="45" t="s">
        <v>187</v>
      </c>
      <c r="F25" s="45" t="s">
        <v>188</v>
      </c>
      <c r="G25" s="42"/>
    </row>
    <row r="26" spans="1:7" ht="12.75" customHeight="1" x14ac:dyDescent="0.2">
      <c r="A26" s="64"/>
      <c r="B26" s="47" t="s">
        <v>31</v>
      </c>
      <c r="C26" s="57" t="s">
        <v>6</v>
      </c>
      <c r="D26" s="43">
        <v>23</v>
      </c>
      <c r="E26" s="45" t="s">
        <v>192</v>
      </c>
      <c r="F26" s="45" t="s">
        <v>191</v>
      </c>
      <c r="G26" s="42"/>
    </row>
    <row r="27" spans="1:7" ht="12.75" customHeight="1" x14ac:dyDescent="0.2">
      <c r="A27" s="64"/>
      <c r="B27" s="47" t="s">
        <v>32</v>
      </c>
      <c r="C27" s="57" t="s">
        <v>6</v>
      </c>
      <c r="D27" s="43">
        <v>24</v>
      </c>
      <c r="E27" s="45" t="s">
        <v>190</v>
      </c>
      <c r="F27" s="45" t="s">
        <v>193</v>
      </c>
      <c r="G27" s="42"/>
    </row>
    <row r="28" spans="1:7" ht="12.75" customHeight="1" x14ac:dyDescent="0.2">
      <c r="A28" s="64"/>
      <c r="B28" s="47" t="s">
        <v>33</v>
      </c>
      <c r="C28" s="57" t="s">
        <v>6</v>
      </c>
      <c r="D28" s="43">
        <v>25</v>
      </c>
      <c r="E28" s="45" t="s">
        <v>168</v>
      </c>
      <c r="F28" s="40"/>
      <c r="G28" s="42"/>
    </row>
    <row r="29" spans="1:7" ht="20.25" customHeight="1" x14ac:dyDescent="0.2">
      <c r="A29" s="64"/>
      <c r="B29" s="55" t="s">
        <v>34</v>
      </c>
      <c r="C29" s="57" t="s">
        <v>6</v>
      </c>
      <c r="D29" s="43">
        <v>26</v>
      </c>
      <c r="E29" s="45" t="s">
        <v>168</v>
      </c>
      <c r="F29" s="40"/>
      <c r="G29" s="42"/>
    </row>
    <row r="30" spans="1:7" ht="21" customHeight="1" x14ac:dyDescent="0.2">
      <c r="A30" s="64"/>
      <c r="B30" s="48" t="s">
        <v>35</v>
      </c>
      <c r="C30" s="57" t="s">
        <v>6</v>
      </c>
      <c r="D30" s="43">
        <v>27</v>
      </c>
      <c r="E30" s="45" t="s">
        <v>168</v>
      </c>
      <c r="F30" s="40"/>
      <c r="G30" s="42"/>
    </row>
    <row r="31" spans="1:7" ht="12.75" x14ac:dyDescent="0.2">
      <c r="A31" s="3"/>
      <c r="C31" s="2"/>
      <c r="D31" s="31"/>
      <c r="E31" s="1"/>
      <c r="F31" s="1"/>
    </row>
    <row r="32" spans="1:7" ht="12.75" x14ac:dyDescent="0.2">
      <c r="C32" s="2"/>
      <c r="D32" s="31"/>
      <c r="E32" s="1"/>
      <c r="F32" s="1"/>
    </row>
    <row r="33" spans="3:6" ht="12.75" x14ac:dyDescent="0.2">
      <c r="C33" s="2"/>
      <c r="D33" s="31"/>
      <c r="E33" s="1"/>
      <c r="F33" s="1"/>
    </row>
    <row r="34" spans="3:6" ht="12.75" x14ac:dyDescent="0.2">
      <c r="C34" s="2"/>
      <c r="D34" s="31"/>
      <c r="E34" s="1"/>
      <c r="F34" s="1"/>
    </row>
    <row r="35" spans="3:6" ht="12.75" x14ac:dyDescent="0.2">
      <c r="C35" s="2"/>
      <c r="D35" s="31"/>
      <c r="E35" s="1"/>
      <c r="F35" s="1"/>
    </row>
    <row r="36" spans="3:6" ht="12.75" x14ac:dyDescent="0.2">
      <c r="C36" s="2"/>
      <c r="D36" s="31"/>
      <c r="E36" s="1"/>
      <c r="F36" s="1"/>
    </row>
    <row r="37" spans="3:6" ht="12.75" x14ac:dyDescent="0.2">
      <c r="C37" s="2"/>
      <c r="D37" s="31"/>
      <c r="E37" s="1"/>
      <c r="F37" s="1"/>
    </row>
    <row r="38" spans="3:6" ht="12.75" x14ac:dyDescent="0.2">
      <c r="C38" s="2"/>
      <c r="D38" s="31"/>
      <c r="E38" s="1"/>
      <c r="F38" s="1"/>
    </row>
    <row r="39" spans="3:6" ht="12.75" x14ac:dyDescent="0.2">
      <c r="C39" s="2"/>
      <c r="D39" s="31"/>
      <c r="E39" s="1"/>
      <c r="F39" s="1"/>
    </row>
    <row r="40" spans="3:6" ht="12.75" x14ac:dyDescent="0.2">
      <c r="C40" s="2"/>
      <c r="D40" s="31"/>
      <c r="E40" s="1"/>
      <c r="F40" s="1"/>
    </row>
    <row r="41" spans="3:6" ht="12.75" x14ac:dyDescent="0.2">
      <c r="C41" s="2"/>
      <c r="D41" s="31"/>
      <c r="E41" s="1"/>
      <c r="F41" s="1"/>
    </row>
    <row r="42" spans="3:6" ht="12.75" x14ac:dyDescent="0.2">
      <c r="C42" s="2"/>
      <c r="D42" s="31"/>
      <c r="E42" s="1"/>
      <c r="F42" s="1"/>
    </row>
    <row r="43" spans="3:6" ht="12.75" x14ac:dyDescent="0.2">
      <c r="C43" s="2"/>
      <c r="D43" s="31"/>
      <c r="E43" s="1"/>
      <c r="F43" s="1"/>
    </row>
    <row r="44" spans="3:6" ht="12.75" x14ac:dyDescent="0.2">
      <c r="C44" s="2"/>
      <c r="D44" s="31"/>
      <c r="E44" s="1"/>
      <c r="F44" s="1"/>
    </row>
    <row r="45" spans="3:6" ht="12.75" x14ac:dyDescent="0.2">
      <c r="C45" s="2"/>
      <c r="D45" s="31"/>
      <c r="E45" s="1"/>
      <c r="F45" s="1"/>
    </row>
    <row r="46" spans="3:6" ht="12.75" x14ac:dyDescent="0.2">
      <c r="C46" s="2"/>
      <c r="D46" s="31"/>
      <c r="E46" s="1"/>
      <c r="F46" s="1"/>
    </row>
    <row r="47" spans="3:6" ht="12.75" x14ac:dyDescent="0.2">
      <c r="C47" s="2"/>
      <c r="D47" s="31"/>
      <c r="E47" s="1"/>
      <c r="F47" s="1"/>
    </row>
    <row r="48" spans="3:6" ht="12.75" x14ac:dyDescent="0.2">
      <c r="C48" s="2"/>
      <c r="D48" s="31"/>
      <c r="E48" s="1"/>
      <c r="F48" s="1"/>
    </row>
    <row r="49" spans="3:6" ht="12.75" x14ac:dyDescent="0.2">
      <c r="C49" s="2"/>
      <c r="D49" s="31"/>
      <c r="E49" s="1"/>
      <c r="F49" s="1"/>
    </row>
    <row r="50" spans="3:6" ht="12.75" x14ac:dyDescent="0.2">
      <c r="C50" s="2"/>
      <c r="D50" s="31"/>
      <c r="E50" s="1"/>
      <c r="F50" s="1"/>
    </row>
    <row r="51" spans="3:6" ht="12.75" x14ac:dyDescent="0.2">
      <c r="C51" s="2"/>
      <c r="D51" s="31"/>
      <c r="E51" s="1"/>
      <c r="F51" s="1"/>
    </row>
    <row r="52" spans="3:6" ht="12.75" x14ac:dyDescent="0.2">
      <c r="C52" s="2"/>
      <c r="D52" s="31"/>
      <c r="E52" s="1"/>
      <c r="F52" s="1"/>
    </row>
    <row r="53" spans="3:6" ht="12.75" x14ac:dyDescent="0.2">
      <c r="C53" s="2"/>
      <c r="D53" s="31"/>
      <c r="E53" s="1"/>
      <c r="F53" s="1"/>
    </row>
    <row r="54" spans="3:6" ht="12.75" x14ac:dyDescent="0.2">
      <c r="C54" s="2"/>
      <c r="D54" s="31"/>
      <c r="E54" s="1"/>
      <c r="F54" s="1"/>
    </row>
    <row r="55" spans="3:6" ht="12.75" x14ac:dyDescent="0.2">
      <c r="C55" s="2"/>
      <c r="D55" s="31"/>
      <c r="E55" s="1"/>
      <c r="F55" s="1"/>
    </row>
    <row r="56" spans="3:6" ht="12.75" x14ac:dyDescent="0.2">
      <c r="C56" s="2"/>
      <c r="D56" s="31"/>
      <c r="E56" s="1"/>
      <c r="F56" s="1"/>
    </row>
    <row r="57" spans="3:6" ht="12.75" x14ac:dyDescent="0.2">
      <c r="C57" s="2"/>
      <c r="D57" s="31"/>
      <c r="E57" s="1"/>
      <c r="F57" s="1"/>
    </row>
    <row r="58" spans="3:6" ht="12.75" x14ac:dyDescent="0.2">
      <c r="C58" s="2"/>
      <c r="D58" s="31"/>
      <c r="E58" s="1"/>
      <c r="F58" s="1"/>
    </row>
    <row r="59" spans="3:6" ht="12.75" x14ac:dyDescent="0.2">
      <c r="C59" s="2"/>
      <c r="D59" s="31"/>
      <c r="E59" s="1"/>
      <c r="F59" s="1"/>
    </row>
    <row r="60" spans="3:6" ht="12.75" x14ac:dyDescent="0.2">
      <c r="C60" s="2"/>
      <c r="D60" s="31"/>
      <c r="E60" s="1"/>
      <c r="F60" s="1"/>
    </row>
    <row r="61" spans="3:6" ht="12.75" x14ac:dyDescent="0.2">
      <c r="C61" s="2"/>
      <c r="D61" s="31"/>
      <c r="E61" s="1"/>
      <c r="F61" s="1"/>
    </row>
    <row r="62" spans="3:6" ht="12.75" x14ac:dyDescent="0.2">
      <c r="C62" s="2"/>
      <c r="D62" s="31"/>
      <c r="E62" s="1"/>
      <c r="F62" s="1"/>
    </row>
    <row r="63" spans="3:6" ht="12.75" x14ac:dyDescent="0.2">
      <c r="C63" s="2"/>
      <c r="D63" s="31"/>
      <c r="E63" s="1"/>
      <c r="F63" s="1"/>
    </row>
    <row r="64" spans="3:6" ht="12.75" x14ac:dyDescent="0.2">
      <c r="C64" s="2"/>
      <c r="D64" s="31"/>
      <c r="E64" s="1"/>
      <c r="F64" s="1"/>
    </row>
    <row r="65" spans="3:6" ht="12.75" x14ac:dyDescent="0.2">
      <c r="C65" s="2"/>
      <c r="D65" s="31"/>
      <c r="E65" s="1"/>
      <c r="F65" s="1"/>
    </row>
    <row r="66" spans="3:6" ht="12.75" x14ac:dyDescent="0.2">
      <c r="C66" s="2"/>
      <c r="D66" s="31"/>
      <c r="E66" s="1"/>
      <c r="F66" s="1"/>
    </row>
    <row r="67" spans="3:6" ht="12.75" x14ac:dyDescent="0.2">
      <c r="C67" s="2"/>
      <c r="D67" s="31"/>
      <c r="E67" s="1"/>
      <c r="F67" s="1"/>
    </row>
    <row r="68" spans="3:6" ht="12.75" x14ac:dyDescent="0.2">
      <c r="C68" s="2"/>
      <c r="D68" s="31"/>
      <c r="E68" s="1"/>
      <c r="F68" s="1"/>
    </row>
    <row r="69" spans="3:6" ht="12.75" x14ac:dyDescent="0.2">
      <c r="C69" s="2"/>
      <c r="D69" s="31"/>
      <c r="E69" s="1"/>
      <c r="F69" s="1"/>
    </row>
    <row r="70" spans="3:6" ht="12.75" x14ac:dyDescent="0.2">
      <c r="C70" s="2"/>
      <c r="D70" s="31"/>
      <c r="E70" s="1"/>
      <c r="F70" s="1"/>
    </row>
    <row r="71" spans="3:6" ht="12.75" x14ac:dyDescent="0.2">
      <c r="C71" s="2"/>
      <c r="D71" s="31"/>
      <c r="E71" s="1"/>
      <c r="F71" s="1"/>
    </row>
    <row r="72" spans="3:6" ht="12.75" x14ac:dyDescent="0.2">
      <c r="C72" s="2"/>
      <c r="D72" s="31"/>
      <c r="E72" s="1"/>
      <c r="F72" s="1"/>
    </row>
    <row r="73" spans="3:6" ht="12.75" x14ac:dyDescent="0.2">
      <c r="C73" s="2"/>
      <c r="D73" s="31"/>
      <c r="E73" s="1"/>
      <c r="F73" s="1"/>
    </row>
    <row r="74" spans="3:6" ht="12.75" x14ac:dyDescent="0.2">
      <c r="C74" s="2"/>
      <c r="D74" s="31"/>
      <c r="E74" s="1"/>
      <c r="F74" s="1"/>
    </row>
    <row r="75" spans="3:6" ht="12.75" x14ac:dyDescent="0.2">
      <c r="C75" s="2"/>
      <c r="D75" s="31"/>
      <c r="E75" s="1"/>
      <c r="F75" s="1"/>
    </row>
    <row r="76" spans="3:6" ht="12.75" x14ac:dyDescent="0.2">
      <c r="C76" s="2"/>
      <c r="D76" s="31"/>
      <c r="E76" s="1"/>
      <c r="F76" s="1"/>
    </row>
    <row r="77" spans="3:6" ht="12.75" x14ac:dyDescent="0.2">
      <c r="C77" s="2"/>
      <c r="D77" s="31"/>
      <c r="E77" s="1"/>
      <c r="F77" s="1"/>
    </row>
    <row r="78" spans="3:6" ht="12.75" x14ac:dyDescent="0.2">
      <c r="C78" s="2"/>
      <c r="D78" s="31"/>
      <c r="E78" s="1"/>
      <c r="F78" s="1"/>
    </row>
    <row r="79" spans="3:6" ht="12.75" x14ac:dyDescent="0.2">
      <c r="C79" s="2"/>
      <c r="D79" s="31"/>
      <c r="E79" s="1"/>
      <c r="F79" s="1"/>
    </row>
    <row r="80" spans="3:6" ht="12.75" x14ac:dyDescent="0.2">
      <c r="C80" s="2"/>
      <c r="D80" s="31"/>
      <c r="E80" s="1"/>
      <c r="F80" s="1"/>
    </row>
    <row r="81" spans="3:6" ht="12.75" x14ac:dyDescent="0.2">
      <c r="C81" s="2"/>
      <c r="D81" s="31"/>
      <c r="E81" s="1"/>
      <c r="F81" s="1"/>
    </row>
    <row r="82" spans="3:6" ht="12.75" x14ac:dyDescent="0.2">
      <c r="C82" s="2"/>
      <c r="D82" s="31"/>
      <c r="E82" s="1"/>
      <c r="F82" s="1"/>
    </row>
    <row r="83" spans="3:6" ht="12.75" x14ac:dyDescent="0.2">
      <c r="C83" s="2"/>
      <c r="D83" s="31"/>
      <c r="E83" s="1"/>
      <c r="F83" s="1"/>
    </row>
    <row r="84" spans="3:6" ht="12.75" x14ac:dyDescent="0.2">
      <c r="C84" s="2"/>
      <c r="D84" s="31"/>
      <c r="E84" s="1"/>
      <c r="F84" s="1"/>
    </row>
    <row r="85" spans="3:6" ht="12.75" x14ac:dyDescent="0.2">
      <c r="C85" s="2"/>
      <c r="D85" s="31"/>
      <c r="E85" s="1"/>
      <c r="F85" s="1"/>
    </row>
    <row r="86" spans="3:6" ht="12.75" x14ac:dyDescent="0.2">
      <c r="C86" s="2"/>
      <c r="D86" s="31"/>
      <c r="E86" s="1"/>
      <c r="F86" s="1"/>
    </row>
    <row r="87" spans="3:6" ht="12.75" x14ac:dyDescent="0.2">
      <c r="C87" s="2"/>
      <c r="D87" s="31"/>
      <c r="E87" s="1"/>
      <c r="F87" s="1"/>
    </row>
    <row r="88" spans="3:6" ht="12.75" x14ac:dyDescent="0.2">
      <c r="C88" s="2"/>
      <c r="D88" s="31"/>
      <c r="E88" s="1"/>
      <c r="F88" s="1"/>
    </row>
    <row r="89" spans="3:6" ht="12.75" x14ac:dyDescent="0.2">
      <c r="C89" s="2"/>
      <c r="D89" s="31"/>
      <c r="E89" s="1"/>
      <c r="F89" s="1"/>
    </row>
    <row r="90" spans="3:6" ht="12.75" x14ac:dyDescent="0.2">
      <c r="C90" s="2"/>
      <c r="D90" s="31"/>
      <c r="E90" s="1"/>
      <c r="F90" s="1"/>
    </row>
    <row r="91" spans="3:6" ht="12.75" x14ac:dyDescent="0.2">
      <c r="C91" s="2"/>
      <c r="D91" s="31"/>
      <c r="E91" s="1"/>
      <c r="F91" s="1"/>
    </row>
    <row r="92" spans="3:6" ht="12.75" x14ac:dyDescent="0.2">
      <c r="C92" s="2"/>
      <c r="D92" s="31"/>
      <c r="E92" s="1"/>
      <c r="F92" s="1"/>
    </row>
    <row r="93" spans="3:6" ht="12.75" x14ac:dyDescent="0.2">
      <c r="C93" s="2"/>
      <c r="D93" s="31"/>
      <c r="E93" s="1"/>
      <c r="F93" s="1"/>
    </row>
    <row r="94" spans="3:6" ht="12.75" x14ac:dyDescent="0.2">
      <c r="C94" s="2"/>
      <c r="D94" s="31"/>
      <c r="E94" s="1"/>
      <c r="F94" s="1"/>
    </row>
    <row r="95" spans="3:6" ht="12.75" x14ac:dyDescent="0.2">
      <c r="C95" s="2"/>
      <c r="D95" s="31"/>
      <c r="E95" s="1"/>
      <c r="F95" s="1"/>
    </row>
    <row r="96" spans="3:6" ht="12.75" x14ac:dyDescent="0.2">
      <c r="C96" s="2"/>
      <c r="D96" s="31"/>
      <c r="E96" s="1"/>
      <c r="F96" s="1"/>
    </row>
    <row r="97" spans="3:6" ht="12.75" x14ac:dyDescent="0.2">
      <c r="C97" s="2"/>
      <c r="D97" s="31"/>
      <c r="E97" s="1"/>
      <c r="F97" s="1"/>
    </row>
    <row r="98" spans="3:6" ht="12.75" x14ac:dyDescent="0.2">
      <c r="C98" s="2"/>
      <c r="D98" s="31"/>
      <c r="E98" s="1"/>
      <c r="F98" s="1"/>
    </row>
    <row r="99" spans="3:6" ht="12.75" x14ac:dyDescent="0.2">
      <c r="C99" s="2"/>
      <c r="D99" s="31"/>
      <c r="E99" s="1"/>
      <c r="F99" s="1"/>
    </row>
    <row r="100" spans="3:6" ht="12.75" x14ac:dyDescent="0.2">
      <c r="C100" s="2"/>
      <c r="D100" s="31"/>
      <c r="E100" s="1"/>
      <c r="F100" s="1"/>
    </row>
    <row r="101" spans="3:6" ht="12.75" x14ac:dyDescent="0.2">
      <c r="C101" s="2"/>
      <c r="D101" s="31"/>
      <c r="E101" s="1"/>
      <c r="F101" s="1"/>
    </row>
    <row r="102" spans="3:6" ht="12.75" x14ac:dyDescent="0.2">
      <c r="C102" s="2"/>
      <c r="D102" s="31"/>
      <c r="E102" s="1"/>
      <c r="F102" s="1"/>
    </row>
    <row r="103" spans="3:6" ht="12.75" x14ac:dyDescent="0.2">
      <c r="C103" s="2"/>
      <c r="D103" s="31"/>
      <c r="E103" s="1"/>
      <c r="F103" s="1"/>
    </row>
    <row r="104" spans="3:6" ht="12.75" x14ac:dyDescent="0.2">
      <c r="C104" s="2"/>
      <c r="D104" s="31"/>
      <c r="E104" s="1"/>
      <c r="F104" s="1"/>
    </row>
    <row r="105" spans="3:6" ht="12.75" x14ac:dyDescent="0.2">
      <c r="C105" s="2"/>
      <c r="D105" s="31"/>
      <c r="E105" s="1"/>
      <c r="F105" s="1"/>
    </row>
    <row r="106" spans="3:6" ht="12.75" x14ac:dyDescent="0.2">
      <c r="C106" s="2"/>
      <c r="D106" s="31"/>
      <c r="E106" s="1"/>
      <c r="F106" s="1"/>
    </row>
    <row r="107" spans="3:6" ht="12.75" x14ac:dyDescent="0.2">
      <c r="C107" s="2"/>
      <c r="D107" s="31"/>
      <c r="E107" s="1"/>
      <c r="F107" s="1"/>
    </row>
    <row r="108" spans="3:6" ht="12.75" x14ac:dyDescent="0.2">
      <c r="C108" s="2"/>
      <c r="D108" s="31"/>
      <c r="E108" s="1"/>
      <c r="F108" s="1"/>
    </row>
    <row r="109" spans="3:6" ht="12.75" x14ac:dyDescent="0.2">
      <c r="C109" s="2"/>
      <c r="D109" s="31"/>
      <c r="E109" s="1"/>
      <c r="F109" s="1"/>
    </row>
    <row r="110" spans="3:6" ht="12.75" x14ac:dyDescent="0.2">
      <c r="C110" s="2"/>
      <c r="D110" s="31"/>
      <c r="E110" s="1"/>
      <c r="F110" s="1"/>
    </row>
    <row r="111" spans="3:6" ht="12.75" x14ac:dyDescent="0.2">
      <c r="C111" s="2"/>
      <c r="D111" s="31"/>
      <c r="E111" s="1"/>
      <c r="F111" s="1"/>
    </row>
    <row r="112" spans="3:6" ht="12.75" x14ac:dyDescent="0.2">
      <c r="C112" s="2"/>
      <c r="D112" s="31"/>
      <c r="E112" s="1"/>
      <c r="F112" s="1"/>
    </row>
    <row r="113" spans="3:6" ht="12.75" x14ac:dyDescent="0.2">
      <c r="C113" s="2"/>
      <c r="D113" s="31"/>
      <c r="E113" s="1"/>
      <c r="F113" s="1"/>
    </row>
    <row r="114" spans="3:6" ht="12.75" x14ac:dyDescent="0.2">
      <c r="C114" s="2"/>
      <c r="D114" s="31"/>
      <c r="E114" s="1"/>
      <c r="F114" s="1"/>
    </row>
    <row r="115" spans="3:6" ht="12.75" x14ac:dyDescent="0.2">
      <c r="C115" s="2"/>
      <c r="D115" s="31"/>
      <c r="E115" s="1"/>
      <c r="F115" s="1"/>
    </row>
    <row r="116" spans="3:6" ht="12.75" x14ac:dyDescent="0.2">
      <c r="C116" s="2"/>
      <c r="D116" s="31"/>
      <c r="E116" s="1"/>
      <c r="F116" s="1"/>
    </row>
    <row r="117" spans="3:6" ht="12.75" x14ac:dyDescent="0.2">
      <c r="C117" s="2"/>
      <c r="D117" s="31"/>
      <c r="E117" s="1"/>
      <c r="F117" s="1"/>
    </row>
    <row r="118" spans="3:6" ht="12.75" x14ac:dyDescent="0.2">
      <c r="C118" s="2"/>
      <c r="D118" s="31"/>
      <c r="E118" s="1"/>
      <c r="F118" s="1"/>
    </row>
    <row r="119" spans="3:6" ht="12.75" x14ac:dyDescent="0.2">
      <c r="C119" s="2"/>
      <c r="D119" s="31"/>
      <c r="E119" s="1"/>
      <c r="F119" s="1"/>
    </row>
    <row r="120" spans="3:6" ht="12.75" x14ac:dyDescent="0.2">
      <c r="C120" s="2"/>
      <c r="D120" s="31"/>
      <c r="E120" s="1"/>
      <c r="F120" s="1"/>
    </row>
    <row r="121" spans="3:6" ht="12.75" x14ac:dyDescent="0.2">
      <c r="C121" s="2"/>
      <c r="D121" s="31"/>
      <c r="E121" s="1"/>
      <c r="F121" s="1"/>
    </row>
    <row r="122" spans="3:6" ht="12.75" x14ac:dyDescent="0.2">
      <c r="C122" s="2"/>
      <c r="D122" s="31"/>
      <c r="E122" s="1"/>
      <c r="F122" s="1"/>
    </row>
    <row r="123" spans="3:6" ht="12.75" x14ac:dyDescent="0.2">
      <c r="C123" s="2"/>
      <c r="D123" s="31"/>
      <c r="E123" s="1"/>
      <c r="F123" s="1"/>
    </row>
    <row r="124" spans="3:6" ht="12.75" x14ac:dyDescent="0.2">
      <c r="C124" s="2"/>
      <c r="D124" s="31"/>
      <c r="E124" s="1"/>
      <c r="F124" s="1"/>
    </row>
    <row r="125" spans="3:6" ht="12.75" x14ac:dyDescent="0.2">
      <c r="C125" s="2"/>
      <c r="D125" s="31"/>
      <c r="E125" s="1"/>
      <c r="F125" s="1"/>
    </row>
    <row r="126" spans="3:6" ht="12.75" x14ac:dyDescent="0.2">
      <c r="C126" s="2"/>
      <c r="D126" s="31"/>
      <c r="E126" s="1"/>
      <c r="F126" s="1"/>
    </row>
    <row r="127" spans="3:6" ht="12.75" x14ac:dyDescent="0.2">
      <c r="C127" s="2"/>
      <c r="D127" s="31"/>
      <c r="E127" s="1"/>
      <c r="F127" s="1"/>
    </row>
    <row r="128" spans="3:6" ht="12.75" x14ac:dyDescent="0.2">
      <c r="C128" s="2"/>
      <c r="D128" s="31"/>
      <c r="E128" s="1"/>
      <c r="F128" s="1"/>
    </row>
    <row r="129" spans="3:6" ht="12.75" x14ac:dyDescent="0.2">
      <c r="C129" s="2"/>
      <c r="D129" s="31"/>
      <c r="E129" s="1"/>
      <c r="F129" s="1"/>
    </row>
    <row r="130" spans="3:6" ht="12.75" x14ac:dyDescent="0.2">
      <c r="C130" s="2"/>
      <c r="D130" s="31"/>
      <c r="E130" s="1"/>
      <c r="F130" s="1"/>
    </row>
    <row r="131" spans="3:6" ht="12.75" x14ac:dyDescent="0.2">
      <c r="C131" s="2"/>
      <c r="D131" s="31"/>
      <c r="E131" s="1"/>
      <c r="F131" s="1"/>
    </row>
    <row r="132" spans="3:6" ht="12.75" x14ac:dyDescent="0.2">
      <c r="C132" s="2"/>
      <c r="D132" s="31"/>
      <c r="E132" s="1"/>
      <c r="F132" s="1"/>
    </row>
    <row r="133" spans="3:6" ht="12.75" x14ac:dyDescent="0.2">
      <c r="C133" s="2"/>
      <c r="D133" s="31"/>
      <c r="E133" s="1"/>
      <c r="F133" s="1"/>
    </row>
    <row r="134" spans="3:6" ht="12.75" x14ac:dyDescent="0.2">
      <c r="C134" s="2"/>
      <c r="D134" s="31"/>
      <c r="E134" s="1"/>
      <c r="F134" s="1"/>
    </row>
    <row r="135" spans="3:6" ht="12.75" x14ac:dyDescent="0.2">
      <c r="C135" s="2"/>
      <c r="D135" s="31"/>
      <c r="E135" s="1"/>
      <c r="F135" s="1"/>
    </row>
    <row r="136" spans="3:6" ht="12.75" x14ac:dyDescent="0.2">
      <c r="C136" s="2"/>
      <c r="D136" s="31"/>
      <c r="E136" s="1"/>
      <c r="F136" s="1"/>
    </row>
    <row r="137" spans="3:6" ht="12.75" x14ac:dyDescent="0.2">
      <c r="C137" s="2"/>
      <c r="D137" s="31"/>
      <c r="E137" s="1"/>
      <c r="F137" s="1"/>
    </row>
    <row r="138" spans="3:6" ht="12.75" x14ac:dyDescent="0.2">
      <c r="C138" s="2"/>
      <c r="D138" s="31"/>
      <c r="E138" s="1"/>
      <c r="F138" s="1"/>
    </row>
    <row r="139" spans="3:6" ht="12.75" x14ac:dyDescent="0.2">
      <c r="C139" s="2"/>
      <c r="D139" s="31"/>
      <c r="E139" s="1"/>
      <c r="F139" s="1"/>
    </row>
    <row r="140" spans="3:6" ht="12.75" x14ac:dyDescent="0.2">
      <c r="C140" s="2"/>
      <c r="D140" s="31"/>
      <c r="E140" s="1"/>
      <c r="F140" s="1"/>
    </row>
    <row r="141" spans="3:6" ht="12.75" x14ac:dyDescent="0.2">
      <c r="C141" s="2"/>
      <c r="D141" s="31"/>
      <c r="E141" s="1"/>
      <c r="F141" s="1"/>
    </row>
    <row r="142" spans="3:6" ht="12.75" x14ac:dyDescent="0.2">
      <c r="C142" s="2"/>
      <c r="D142" s="31"/>
      <c r="E142" s="1"/>
      <c r="F142" s="1"/>
    </row>
    <row r="143" spans="3:6" ht="12.75" x14ac:dyDescent="0.2">
      <c r="C143" s="2"/>
      <c r="D143" s="31"/>
      <c r="E143" s="1"/>
      <c r="F143" s="1"/>
    </row>
    <row r="144" spans="3:6" ht="12.75" x14ac:dyDescent="0.2">
      <c r="C144" s="2"/>
      <c r="D144" s="31"/>
      <c r="E144" s="1"/>
      <c r="F144" s="1"/>
    </row>
    <row r="145" spans="3:6" ht="12.75" x14ac:dyDescent="0.2">
      <c r="C145" s="2"/>
      <c r="D145" s="31"/>
      <c r="E145" s="1"/>
      <c r="F145" s="1"/>
    </row>
    <row r="146" spans="3:6" ht="12.75" x14ac:dyDescent="0.2">
      <c r="C146" s="2"/>
      <c r="D146" s="31"/>
      <c r="E146" s="1"/>
      <c r="F146" s="1"/>
    </row>
    <row r="147" spans="3:6" ht="12.75" x14ac:dyDescent="0.2">
      <c r="C147" s="2"/>
      <c r="D147" s="31"/>
      <c r="E147" s="1"/>
      <c r="F147" s="1"/>
    </row>
    <row r="148" spans="3:6" ht="12.75" x14ac:dyDescent="0.2">
      <c r="C148" s="2"/>
      <c r="D148" s="31"/>
      <c r="E148" s="1"/>
      <c r="F148" s="1"/>
    </row>
    <row r="149" spans="3:6" ht="12.75" x14ac:dyDescent="0.2">
      <c r="C149" s="2"/>
      <c r="D149" s="31"/>
      <c r="E149" s="1"/>
      <c r="F149" s="1"/>
    </row>
    <row r="150" spans="3:6" ht="12.75" x14ac:dyDescent="0.2">
      <c r="C150" s="2"/>
      <c r="D150" s="31"/>
      <c r="E150" s="1"/>
      <c r="F150" s="1"/>
    </row>
    <row r="151" spans="3:6" ht="12.75" x14ac:dyDescent="0.2">
      <c r="C151" s="2"/>
      <c r="D151" s="31"/>
      <c r="E151" s="1"/>
      <c r="F151" s="1"/>
    </row>
    <row r="152" spans="3:6" ht="12.75" x14ac:dyDescent="0.2">
      <c r="C152" s="2"/>
      <c r="D152" s="31"/>
      <c r="E152" s="1"/>
      <c r="F152" s="1"/>
    </row>
    <row r="153" spans="3:6" ht="12.75" x14ac:dyDescent="0.2">
      <c r="C153" s="2"/>
      <c r="D153" s="31"/>
      <c r="E153" s="1"/>
      <c r="F153" s="1"/>
    </row>
    <row r="154" spans="3:6" ht="12.75" x14ac:dyDescent="0.2">
      <c r="C154" s="2"/>
      <c r="D154" s="31"/>
      <c r="E154" s="1"/>
      <c r="F154" s="1"/>
    </row>
    <row r="155" spans="3:6" ht="12.75" x14ac:dyDescent="0.2">
      <c r="C155" s="2"/>
      <c r="D155" s="31"/>
      <c r="E155" s="1"/>
      <c r="F155" s="1"/>
    </row>
    <row r="156" spans="3:6" ht="12.75" x14ac:dyDescent="0.2">
      <c r="C156" s="2"/>
      <c r="D156" s="31"/>
      <c r="E156" s="1"/>
      <c r="F156" s="1"/>
    </row>
    <row r="157" spans="3:6" ht="12.75" x14ac:dyDescent="0.2">
      <c r="C157" s="2"/>
      <c r="D157" s="31"/>
      <c r="E157" s="1"/>
      <c r="F157" s="1"/>
    </row>
    <row r="158" spans="3:6" ht="12.75" x14ac:dyDescent="0.2">
      <c r="C158" s="2"/>
      <c r="D158" s="31"/>
      <c r="E158" s="1"/>
      <c r="F158" s="1"/>
    </row>
    <row r="159" spans="3:6" ht="12.75" x14ac:dyDescent="0.2">
      <c r="C159" s="2"/>
      <c r="D159" s="31"/>
      <c r="E159" s="1"/>
      <c r="F159" s="1"/>
    </row>
    <row r="160" spans="3:6" ht="12.75" x14ac:dyDescent="0.2">
      <c r="C160" s="2"/>
      <c r="D160" s="31"/>
      <c r="E160" s="1"/>
      <c r="F160" s="1"/>
    </row>
    <row r="161" spans="3:6" ht="12.75" x14ac:dyDescent="0.2">
      <c r="C161" s="2"/>
      <c r="D161" s="31"/>
      <c r="E161" s="1"/>
      <c r="F161" s="1"/>
    </row>
    <row r="162" spans="3:6" ht="12.75" x14ac:dyDescent="0.2">
      <c r="C162" s="2"/>
      <c r="D162" s="31"/>
      <c r="E162" s="1"/>
      <c r="F162" s="1"/>
    </row>
    <row r="163" spans="3:6" ht="12.75" x14ac:dyDescent="0.2">
      <c r="C163" s="2"/>
      <c r="D163" s="31"/>
      <c r="E163" s="1"/>
      <c r="F163" s="1"/>
    </row>
    <row r="164" spans="3:6" ht="12.75" x14ac:dyDescent="0.2">
      <c r="C164" s="2"/>
      <c r="D164" s="31"/>
      <c r="E164" s="1"/>
      <c r="F164" s="1"/>
    </row>
    <row r="165" spans="3:6" ht="12.75" x14ac:dyDescent="0.2">
      <c r="C165" s="2"/>
      <c r="D165" s="31"/>
      <c r="E165" s="1"/>
      <c r="F165" s="1"/>
    </row>
    <row r="166" spans="3:6" ht="12.75" x14ac:dyDescent="0.2">
      <c r="C166" s="2"/>
      <c r="D166" s="31"/>
      <c r="E166" s="1"/>
      <c r="F166" s="1"/>
    </row>
    <row r="167" spans="3:6" ht="12.75" x14ac:dyDescent="0.2">
      <c r="C167" s="2"/>
      <c r="D167" s="31"/>
      <c r="E167" s="1"/>
      <c r="F167" s="1"/>
    </row>
    <row r="168" spans="3:6" ht="12.75" x14ac:dyDescent="0.2">
      <c r="C168" s="2"/>
      <c r="D168" s="31"/>
      <c r="E168" s="1"/>
      <c r="F168" s="1"/>
    </row>
    <row r="169" spans="3:6" ht="12.75" x14ac:dyDescent="0.2">
      <c r="C169" s="2"/>
      <c r="D169" s="31"/>
      <c r="E169" s="1"/>
      <c r="F169" s="1"/>
    </row>
    <row r="170" spans="3:6" ht="12.75" x14ac:dyDescent="0.2">
      <c r="C170" s="2"/>
      <c r="D170" s="31"/>
      <c r="E170" s="1"/>
      <c r="F170" s="1"/>
    </row>
    <row r="171" spans="3:6" ht="12.75" x14ac:dyDescent="0.2">
      <c r="C171" s="2"/>
      <c r="D171" s="31"/>
      <c r="E171" s="1"/>
      <c r="F171" s="1"/>
    </row>
    <row r="172" spans="3:6" ht="12.75" x14ac:dyDescent="0.2">
      <c r="C172" s="2"/>
      <c r="D172" s="31"/>
      <c r="E172" s="1"/>
      <c r="F172" s="1"/>
    </row>
    <row r="173" spans="3:6" ht="12.75" x14ac:dyDescent="0.2">
      <c r="C173" s="2"/>
      <c r="D173" s="31"/>
      <c r="E173" s="1"/>
      <c r="F173" s="1"/>
    </row>
    <row r="174" spans="3:6" ht="12.75" x14ac:dyDescent="0.2">
      <c r="C174" s="2"/>
      <c r="D174" s="31"/>
      <c r="E174" s="1"/>
      <c r="F174" s="1"/>
    </row>
    <row r="175" spans="3:6" ht="12.75" x14ac:dyDescent="0.2">
      <c r="C175" s="2"/>
      <c r="D175" s="31"/>
      <c r="E175" s="1"/>
      <c r="F175" s="1"/>
    </row>
    <row r="176" spans="3:6" ht="12.75" x14ac:dyDescent="0.2">
      <c r="C176" s="2"/>
      <c r="D176" s="31"/>
      <c r="E176" s="1"/>
      <c r="F176" s="1"/>
    </row>
    <row r="177" spans="3:6" ht="12.75" x14ac:dyDescent="0.2">
      <c r="C177" s="2"/>
      <c r="D177" s="31"/>
      <c r="E177" s="1"/>
      <c r="F177" s="1"/>
    </row>
    <row r="178" spans="3:6" ht="12.75" x14ac:dyDescent="0.2">
      <c r="C178" s="2"/>
      <c r="D178" s="31"/>
      <c r="E178" s="1"/>
      <c r="F178" s="1"/>
    </row>
    <row r="179" spans="3:6" ht="12.75" x14ac:dyDescent="0.2">
      <c r="C179" s="2"/>
      <c r="D179" s="31"/>
      <c r="E179" s="1"/>
      <c r="F179" s="1"/>
    </row>
    <row r="180" spans="3:6" ht="12.75" x14ac:dyDescent="0.2">
      <c r="C180" s="2"/>
      <c r="D180" s="31"/>
      <c r="E180" s="1"/>
      <c r="F180" s="1"/>
    </row>
    <row r="181" spans="3:6" ht="12.75" x14ac:dyDescent="0.2">
      <c r="C181" s="2"/>
      <c r="D181" s="31"/>
      <c r="E181" s="1"/>
      <c r="F181" s="1"/>
    </row>
    <row r="182" spans="3:6" ht="12.75" x14ac:dyDescent="0.2">
      <c r="C182" s="2"/>
      <c r="D182" s="31"/>
      <c r="E182" s="1"/>
      <c r="F182" s="1"/>
    </row>
    <row r="183" spans="3:6" ht="12.75" x14ac:dyDescent="0.2">
      <c r="C183" s="2"/>
      <c r="D183" s="31"/>
      <c r="E183" s="1"/>
      <c r="F183" s="1"/>
    </row>
    <row r="184" spans="3:6" ht="12.75" x14ac:dyDescent="0.2">
      <c r="C184" s="2"/>
      <c r="D184" s="31"/>
      <c r="E184" s="1"/>
      <c r="F184" s="1"/>
    </row>
    <row r="185" spans="3:6" ht="12.75" x14ac:dyDescent="0.2">
      <c r="C185" s="2"/>
      <c r="D185" s="31"/>
      <c r="E185" s="1"/>
      <c r="F185" s="1"/>
    </row>
    <row r="186" spans="3:6" ht="12.75" x14ac:dyDescent="0.2">
      <c r="C186" s="2"/>
      <c r="D186" s="31"/>
      <c r="E186" s="1"/>
      <c r="F186" s="1"/>
    </row>
    <row r="187" spans="3:6" ht="12.75" x14ac:dyDescent="0.2">
      <c r="C187" s="2"/>
      <c r="D187" s="31"/>
      <c r="E187" s="1"/>
      <c r="F187" s="1"/>
    </row>
    <row r="188" spans="3:6" ht="12.75" x14ac:dyDescent="0.2">
      <c r="C188" s="2"/>
      <c r="D188" s="31"/>
      <c r="E188" s="1"/>
      <c r="F188" s="1"/>
    </row>
    <row r="189" spans="3:6" ht="12.75" x14ac:dyDescent="0.2">
      <c r="C189" s="2"/>
      <c r="D189" s="31"/>
      <c r="E189" s="1"/>
      <c r="F189" s="1"/>
    </row>
    <row r="190" spans="3:6" ht="12.75" x14ac:dyDescent="0.2">
      <c r="C190" s="2"/>
      <c r="D190" s="31"/>
      <c r="E190" s="1"/>
      <c r="F190" s="1"/>
    </row>
    <row r="191" spans="3:6" ht="12.75" x14ac:dyDescent="0.2">
      <c r="C191" s="2"/>
      <c r="D191" s="31"/>
      <c r="E191" s="1"/>
      <c r="F191" s="1"/>
    </row>
    <row r="192" spans="3:6" ht="12.75" x14ac:dyDescent="0.2">
      <c r="C192" s="2"/>
      <c r="D192" s="31"/>
      <c r="E192" s="1"/>
      <c r="F192" s="1"/>
    </row>
    <row r="193" spans="3:6" ht="12.75" x14ac:dyDescent="0.2">
      <c r="C193" s="2"/>
      <c r="D193" s="31"/>
      <c r="E193" s="1"/>
      <c r="F193" s="1"/>
    </row>
    <row r="194" spans="3:6" ht="12.75" x14ac:dyDescent="0.2">
      <c r="C194" s="2"/>
      <c r="D194" s="31"/>
      <c r="E194" s="1"/>
      <c r="F194" s="1"/>
    </row>
    <row r="195" spans="3:6" ht="12.75" x14ac:dyDescent="0.2">
      <c r="C195" s="2"/>
      <c r="D195" s="31"/>
      <c r="E195" s="1"/>
      <c r="F195" s="1"/>
    </row>
    <row r="196" spans="3:6" ht="12.75" x14ac:dyDescent="0.2">
      <c r="C196" s="2"/>
      <c r="D196" s="31"/>
      <c r="E196" s="1"/>
      <c r="F196" s="1"/>
    </row>
    <row r="197" spans="3:6" ht="12.75" x14ac:dyDescent="0.2">
      <c r="C197" s="2"/>
      <c r="D197" s="31"/>
      <c r="E197" s="1"/>
      <c r="F197" s="1"/>
    </row>
    <row r="198" spans="3:6" ht="12.75" x14ac:dyDescent="0.2">
      <c r="C198" s="2"/>
      <c r="D198" s="31"/>
      <c r="E198" s="1"/>
      <c r="F198" s="1"/>
    </row>
    <row r="199" spans="3:6" ht="12.75" x14ac:dyDescent="0.2">
      <c r="C199" s="2"/>
      <c r="D199" s="31"/>
      <c r="E199" s="1"/>
      <c r="F199" s="1"/>
    </row>
    <row r="200" spans="3:6" ht="12.75" x14ac:dyDescent="0.2">
      <c r="C200" s="2"/>
      <c r="D200" s="31"/>
      <c r="E200" s="1"/>
      <c r="F200" s="1"/>
    </row>
    <row r="201" spans="3:6" ht="12.75" x14ac:dyDescent="0.2">
      <c r="C201" s="2"/>
      <c r="D201" s="31"/>
      <c r="E201" s="1"/>
      <c r="F201" s="1"/>
    </row>
    <row r="202" spans="3:6" ht="12.75" x14ac:dyDescent="0.2">
      <c r="C202" s="2"/>
      <c r="D202" s="31"/>
      <c r="E202" s="1"/>
      <c r="F202" s="1"/>
    </row>
    <row r="203" spans="3:6" ht="12.75" x14ac:dyDescent="0.2">
      <c r="C203" s="2"/>
      <c r="D203" s="31"/>
      <c r="E203" s="1"/>
      <c r="F203" s="1"/>
    </row>
    <row r="204" spans="3:6" ht="12.75" x14ac:dyDescent="0.2">
      <c r="C204" s="2"/>
      <c r="D204" s="31"/>
      <c r="E204" s="1"/>
      <c r="F204" s="1"/>
    </row>
    <row r="205" spans="3:6" ht="12.75" x14ac:dyDescent="0.2">
      <c r="C205" s="2"/>
      <c r="D205" s="31"/>
      <c r="E205" s="1"/>
      <c r="F205" s="1"/>
    </row>
    <row r="206" spans="3:6" ht="12.75" x14ac:dyDescent="0.2">
      <c r="C206" s="2"/>
      <c r="D206" s="31"/>
      <c r="E206" s="1"/>
      <c r="F206" s="1"/>
    </row>
    <row r="207" spans="3:6" ht="12.75" x14ac:dyDescent="0.2">
      <c r="C207" s="2"/>
      <c r="D207" s="31"/>
      <c r="E207" s="1"/>
      <c r="F207" s="1"/>
    </row>
    <row r="208" spans="3:6" ht="12.75" x14ac:dyDescent="0.2">
      <c r="C208" s="2"/>
      <c r="D208" s="31"/>
      <c r="E208" s="1"/>
      <c r="F208" s="1"/>
    </row>
    <row r="209" spans="3:6" ht="12.75" x14ac:dyDescent="0.2">
      <c r="C209" s="2"/>
      <c r="D209" s="31"/>
      <c r="E209" s="1"/>
      <c r="F209" s="1"/>
    </row>
    <row r="210" spans="3:6" ht="12.75" x14ac:dyDescent="0.2">
      <c r="C210" s="2"/>
      <c r="D210" s="31"/>
      <c r="E210" s="1"/>
      <c r="F210" s="1"/>
    </row>
    <row r="211" spans="3:6" ht="12.75" x14ac:dyDescent="0.2">
      <c r="C211" s="2"/>
      <c r="D211" s="31"/>
      <c r="E211" s="1"/>
      <c r="F211" s="1"/>
    </row>
    <row r="212" spans="3:6" ht="12.75" x14ac:dyDescent="0.2">
      <c r="C212" s="2"/>
      <c r="D212" s="31"/>
      <c r="E212" s="1"/>
      <c r="F212" s="1"/>
    </row>
    <row r="213" spans="3:6" ht="12.75" x14ac:dyDescent="0.2">
      <c r="C213" s="2"/>
      <c r="D213" s="31"/>
      <c r="E213" s="1"/>
      <c r="F213" s="1"/>
    </row>
    <row r="214" spans="3:6" ht="12.75" x14ac:dyDescent="0.2">
      <c r="C214" s="2"/>
      <c r="D214" s="31"/>
      <c r="E214" s="1"/>
      <c r="F214" s="1"/>
    </row>
    <row r="215" spans="3:6" ht="12.75" x14ac:dyDescent="0.2">
      <c r="C215" s="2"/>
      <c r="D215" s="31"/>
      <c r="E215" s="1"/>
      <c r="F215" s="1"/>
    </row>
    <row r="216" spans="3:6" ht="12.75" x14ac:dyDescent="0.2">
      <c r="C216" s="2"/>
      <c r="D216" s="31"/>
      <c r="E216" s="1"/>
      <c r="F216" s="1"/>
    </row>
    <row r="217" spans="3:6" ht="12.75" x14ac:dyDescent="0.2">
      <c r="C217" s="2"/>
      <c r="D217" s="31"/>
      <c r="E217" s="1"/>
      <c r="F217" s="1"/>
    </row>
    <row r="218" spans="3:6" ht="12.75" x14ac:dyDescent="0.2">
      <c r="C218" s="2"/>
      <c r="D218" s="31"/>
      <c r="E218" s="1"/>
      <c r="F218" s="1"/>
    </row>
    <row r="219" spans="3:6" ht="12.75" x14ac:dyDescent="0.2">
      <c r="C219" s="2"/>
      <c r="D219" s="31"/>
      <c r="E219" s="1"/>
      <c r="F219" s="1"/>
    </row>
    <row r="220" spans="3:6" ht="12.75" x14ac:dyDescent="0.2">
      <c r="C220" s="2"/>
      <c r="D220" s="31"/>
      <c r="E220" s="1"/>
      <c r="F220" s="1"/>
    </row>
    <row r="221" spans="3:6" ht="12.75" x14ac:dyDescent="0.2">
      <c r="C221" s="2"/>
      <c r="D221" s="31"/>
      <c r="E221" s="1"/>
      <c r="F221" s="1"/>
    </row>
    <row r="222" spans="3:6" ht="12.75" x14ac:dyDescent="0.2">
      <c r="C222" s="2"/>
      <c r="D222" s="31"/>
      <c r="E222" s="1"/>
      <c r="F222" s="1"/>
    </row>
    <row r="223" spans="3:6" ht="12.75" x14ac:dyDescent="0.2">
      <c r="C223" s="2"/>
      <c r="D223" s="31"/>
      <c r="E223" s="1"/>
      <c r="F223" s="1"/>
    </row>
    <row r="224" spans="3:6" ht="12.75" x14ac:dyDescent="0.2">
      <c r="C224" s="2"/>
      <c r="D224" s="31"/>
      <c r="E224" s="1"/>
      <c r="F224" s="1"/>
    </row>
    <row r="225" spans="3:6" ht="12.75" x14ac:dyDescent="0.2">
      <c r="C225" s="2"/>
      <c r="D225" s="31"/>
      <c r="E225" s="1"/>
      <c r="F225" s="1"/>
    </row>
    <row r="226" spans="3:6" ht="12.75" x14ac:dyDescent="0.2">
      <c r="C226" s="2"/>
      <c r="D226" s="31"/>
      <c r="E226" s="1"/>
      <c r="F226" s="1"/>
    </row>
    <row r="227" spans="3:6" ht="12.75" x14ac:dyDescent="0.2">
      <c r="C227" s="2"/>
      <c r="D227" s="31"/>
      <c r="E227" s="1"/>
      <c r="F227" s="1"/>
    </row>
    <row r="228" spans="3:6" ht="12.75" x14ac:dyDescent="0.2">
      <c r="C228" s="2"/>
      <c r="D228" s="31"/>
      <c r="E228" s="1"/>
      <c r="F228" s="1"/>
    </row>
    <row r="229" spans="3:6" ht="12.75" x14ac:dyDescent="0.2">
      <c r="C229" s="2"/>
      <c r="D229" s="31"/>
      <c r="E229" s="1"/>
      <c r="F229" s="1"/>
    </row>
    <row r="230" spans="3:6" ht="12.75" x14ac:dyDescent="0.2">
      <c r="C230" s="2"/>
      <c r="D230" s="31"/>
      <c r="E230" s="1"/>
      <c r="F230" s="1"/>
    </row>
    <row r="231" spans="3:6" ht="12.75" x14ac:dyDescent="0.2">
      <c r="C231" s="2"/>
      <c r="D231" s="31"/>
      <c r="E231" s="1"/>
      <c r="F231" s="1"/>
    </row>
    <row r="232" spans="3:6" ht="12.75" x14ac:dyDescent="0.2">
      <c r="C232" s="2"/>
      <c r="D232" s="31"/>
      <c r="E232" s="1"/>
      <c r="F232" s="1"/>
    </row>
    <row r="233" spans="3:6" ht="12.75" x14ac:dyDescent="0.2">
      <c r="C233" s="2"/>
      <c r="D233" s="31"/>
      <c r="E233" s="1"/>
      <c r="F233" s="1"/>
    </row>
    <row r="234" spans="3:6" ht="12.75" x14ac:dyDescent="0.2">
      <c r="C234" s="2"/>
      <c r="D234" s="31"/>
      <c r="E234" s="1"/>
      <c r="F234" s="1"/>
    </row>
    <row r="235" spans="3:6" ht="12.75" x14ac:dyDescent="0.2">
      <c r="C235" s="2"/>
      <c r="D235" s="31"/>
      <c r="E235" s="1"/>
      <c r="F235" s="1"/>
    </row>
    <row r="236" spans="3:6" ht="12.75" x14ac:dyDescent="0.2">
      <c r="C236" s="2"/>
      <c r="D236" s="31"/>
      <c r="E236" s="1"/>
      <c r="F236" s="1"/>
    </row>
    <row r="237" spans="3:6" ht="12.75" x14ac:dyDescent="0.2">
      <c r="C237" s="2"/>
      <c r="D237" s="31"/>
      <c r="E237" s="1"/>
      <c r="F237" s="1"/>
    </row>
    <row r="238" spans="3:6" ht="12.75" x14ac:dyDescent="0.2">
      <c r="C238" s="2"/>
      <c r="D238" s="31"/>
      <c r="E238" s="1"/>
      <c r="F238" s="1"/>
    </row>
    <row r="239" spans="3:6" ht="12.75" x14ac:dyDescent="0.2">
      <c r="C239" s="2"/>
      <c r="D239" s="31"/>
      <c r="E239" s="1"/>
      <c r="F239" s="1"/>
    </row>
    <row r="240" spans="3:6" ht="12.75" x14ac:dyDescent="0.2">
      <c r="C240" s="2"/>
      <c r="D240" s="31"/>
      <c r="E240" s="1"/>
      <c r="F240" s="1"/>
    </row>
    <row r="241" spans="3:6" ht="12.75" x14ac:dyDescent="0.2">
      <c r="C241" s="2"/>
      <c r="D241" s="31"/>
      <c r="E241" s="1"/>
      <c r="F241" s="1"/>
    </row>
    <row r="242" spans="3:6" ht="12.75" x14ac:dyDescent="0.2">
      <c r="C242" s="2"/>
      <c r="D242" s="31"/>
      <c r="E242" s="1"/>
      <c r="F242" s="1"/>
    </row>
    <row r="243" spans="3:6" ht="12.75" x14ac:dyDescent="0.2">
      <c r="C243" s="2"/>
      <c r="D243" s="31"/>
      <c r="E243" s="1"/>
      <c r="F243" s="1"/>
    </row>
    <row r="244" spans="3:6" ht="12.75" x14ac:dyDescent="0.2">
      <c r="C244" s="2"/>
      <c r="D244" s="31"/>
      <c r="E244" s="1"/>
      <c r="F244" s="1"/>
    </row>
    <row r="245" spans="3:6" ht="12.75" x14ac:dyDescent="0.2">
      <c r="C245" s="2"/>
      <c r="D245" s="31"/>
      <c r="E245" s="1"/>
      <c r="F245" s="1"/>
    </row>
    <row r="246" spans="3:6" ht="12.75" x14ac:dyDescent="0.2">
      <c r="C246" s="2"/>
      <c r="D246" s="31"/>
      <c r="E246" s="1"/>
      <c r="F246" s="1"/>
    </row>
    <row r="247" spans="3:6" ht="12.75" x14ac:dyDescent="0.2">
      <c r="C247" s="2"/>
      <c r="D247" s="31"/>
      <c r="E247" s="1"/>
      <c r="F247" s="1"/>
    </row>
    <row r="248" spans="3:6" ht="12.75" x14ac:dyDescent="0.2">
      <c r="C248" s="2"/>
      <c r="D248" s="31"/>
      <c r="E248" s="1"/>
      <c r="F248" s="1"/>
    </row>
    <row r="249" spans="3:6" ht="12.75" x14ac:dyDescent="0.2">
      <c r="C249" s="2"/>
      <c r="D249" s="31"/>
      <c r="E249" s="1"/>
      <c r="F249" s="1"/>
    </row>
    <row r="250" spans="3:6" ht="12.75" x14ac:dyDescent="0.2">
      <c r="C250" s="2"/>
      <c r="D250" s="31"/>
      <c r="E250" s="1"/>
      <c r="F250" s="1"/>
    </row>
    <row r="251" spans="3:6" ht="12.75" x14ac:dyDescent="0.2">
      <c r="C251" s="2"/>
      <c r="D251" s="31"/>
      <c r="E251" s="1"/>
      <c r="F251" s="1"/>
    </row>
    <row r="252" spans="3:6" ht="12.75" x14ac:dyDescent="0.2">
      <c r="C252" s="2"/>
      <c r="D252" s="31"/>
      <c r="E252" s="1"/>
      <c r="F252" s="1"/>
    </row>
    <row r="253" spans="3:6" ht="12.75" x14ac:dyDescent="0.2">
      <c r="C253" s="2"/>
      <c r="D253" s="31"/>
      <c r="E253" s="1"/>
      <c r="F253" s="1"/>
    </row>
    <row r="254" spans="3:6" ht="12.75" x14ac:dyDescent="0.2">
      <c r="C254" s="2"/>
      <c r="D254" s="31"/>
      <c r="E254" s="1"/>
      <c r="F254" s="1"/>
    </row>
    <row r="255" spans="3:6" ht="12.75" x14ac:dyDescent="0.2">
      <c r="C255" s="2"/>
      <c r="D255" s="31"/>
      <c r="E255" s="1"/>
      <c r="F255" s="1"/>
    </row>
    <row r="256" spans="3:6" ht="12.75" x14ac:dyDescent="0.2">
      <c r="C256" s="2"/>
      <c r="D256" s="31"/>
      <c r="E256" s="1"/>
      <c r="F256" s="1"/>
    </row>
    <row r="257" spans="3:6" ht="12.75" x14ac:dyDescent="0.2">
      <c r="C257" s="2"/>
      <c r="D257" s="31"/>
      <c r="E257" s="1"/>
      <c r="F257" s="1"/>
    </row>
    <row r="258" spans="3:6" ht="12.75" x14ac:dyDescent="0.2">
      <c r="C258" s="2"/>
      <c r="D258" s="31"/>
      <c r="E258" s="1"/>
      <c r="F258" s="1"/>
    </row>
    <row r="259" spans="3:6" ht="12.75" x14ac:dyDescent="0.2">
      <c r="C259" s="2"/>
      <c r="D259" s="31"/>
      <c r="E259" s="1"/>
      <c r="F259" s="1"/>
    </row>
    <row r="260" spans="3:6" ht="12.75" x14ac:dyDescent="0.2">
      <c r="C260" s="2"/>
      <c r="D260" s="31"/>
      <c r="E260" s="1"/>
      <c r="F260" s="1"/>
    </row>
    <row r="261" spans="3:6" ht="12.75" x14ac:dyDescent="0.2">
      <c r="C261" s="2"/>
      <c r="D261" s="31"/>
      <c r="E261" s="1"/>
      <c r="F261" s="1"/>
    </row>
    <row r="262" spans="3:6" ht="12.75" x14ac:dyDescent="0.2">
      <c r="C262" s="2"/>
      <c r="D262" s="31"/>
      <c r="E262" s="1"/>
      <c r="F262" s="1"/>
    </row>
    <row r="263" spans="3:6" ht="12.75" x14ac:dyDescent="0.2">
      <c r="C263" s="2"/>
      <c r="D263" s="31"/>
      <c r="E263" s="1"/>
      <c r="F263" s="1"/>
    </row>
    <row r="264" spans="3:6" ht="12.75" x14ac:dyDescent="0.2">
      <c r="C264" s="2"/>
      <c r="D264" s="31"/>
      <c r="E264" s="1"/>
      <c r="F264" s="1"/>
    </row>
    <row r="265" spans="3:6" ht="12.75" x14ac:dyDescent="0.2">
      <c r="C265" s="2"/>
      <c r="D265" s="31"/>
      <c r="E265" s="1"/>
      <c r="F265" s="1"/>
    </row>
    <row r="266" spans="3:6" ht="12.75" x14ac:dyDescent="0.2">
      <c r="C266" s="2"/>
      <c r="D266" s="31"/>
      <c r="E266" s="1"/>
      <c r="F266" s="1"/>
    </row>
    <row r="267" spans="3:6" ht="12.75" x14ac:dyDescent="0.2">
      <c r="C267" s="2"/>
      <c r="D267" s="31"/>
      <c r="E267" s="1"/>
      <c r="F267" s="1"/>
    </row>
    <row r="268" spans="3:6" ht="12.75" x14ac:dyDescent="0.2">
      <c r="C268" s="2"/>
      <c r="D268" s="31"/>
      <c r="E268" s="1"/>
      <c r="F268" s="1"/>
    </row>
    <row r="269" spans="3:6" ht="12.75" x14ac:dyDescent="0.2">
      <c r="C269" s="2"/>
      <c r="D269" s="31"/>
      <c r="E269" s="1"/>
      <c r="F269" s="1"/>
    </row>
    <row r="270" spans="3:6" ht="12.75" x14ac:dyDescent="0.2">
      <c r="C270" s="2"/>
      <c r="D270" s="31"/>
      <c r="E270" s="1"/>
      <c r="F270" s="1"/>
    </row>
    <row r="271" spans="3:6" ht="12.75" x14ac:dyDescent="0.2">
      <c r="C271" s="2"/>
      <c r="D271" s="31"/>
      <c r="E271" s="1"/>
      <c r="F271" s="1"/>
    </row>
    <row r="272" spans="3:6" ht="12.75" x14ac:dyDescent="0.2">
      <c r="C272" s="2"/>
      <c r="D272" s="31"/>
      <c r="E272" s="1"/>
      <c r="F272" s="1"/>
    </row>
    <row r="273" spans="3:6" ht="12.75" x14ac:dyDescent="0.2">
      <c r="C273" s="2"/>
      <c r="D273" s="31"/>
      <c r="E273" s="1"/>
      <c r="F273" s="1"/>
    </row>
    <row r="274" spans="3:6" ht="12.75" x14ac:dyDescent="0.2">
      <c r="C274" s="2"/>
      <c r="D274" s="31"/>
      <c r="E274" s="1"/>
      <c r="F274" s="1"/>
    </row>
    <row r="275" spans="3:6" ht="12.75" x14ac:dyDescent="0.2">
      <c r="C275" s="2"/>
      <c r="D275" s="31"/>
      <c r="E275" s="1"/>
      <c r="F275" s="1"/>
    </row>
    <row r="276" spans="3:6" ht="12.75" x14ac:dyDescent="0.2">
      <c r="C276" s="2"/>
      <c r="D276" s="31"/>
      <c r="E276" s="1"/>
      <c r="F276" s="1"/>
    </row>
    <row r="277" spans="3:6" ht="12.75" x14ac:dyDescent="0.2">
      <c r="C277" s="2"/>
      <c r="D277" s="31"/>
      <c r="E277" s="1"/>
      <c r="F277" s="1"/>
    </row>
    <row r="278" spans="3:6" ht="12.75" x14ac:dyDescent="0.2">
      <c r="C278" s="2"/>
      <c r="D278" s="31"/>
      <c r="E278" s="1"/>
      <c r="F278" s="1"/>
    </row>
    <row r="279" spans="3:6" ht="12.75" x14ac:dyDescent="0.2">
      <c r="C279" s="2"/>
      <c r="D279" s="31"/>
      <c r="E279" s="1"/>
      <c r="F279" s="1"/>
    </row>
    <row r="280" spans="3:6" ht="12.75" x14ac:dyDescent="0.2">
      <c r="C280" s="2"/>
      <c r="D280" s="31"/>
      <c r="E280" s="1"/>
      <c r="F280" s="1"/>
    </row>
    <row r="281" spans="3:6" ht="12.75" x14ac:dyDescent="0.2">
      <c r="C281" s="2"/>
      <c r="D281" s="31"/>
      <c r="E281" s="1"/>
      <c r="F281" s="1"/>
    </row>
    <row r="282" spans="3:6" ht="12.75" x14ac:dyDescent="0.2">
      <c r="C282" s="2"/>
      <c r="D282" s="31"/>
      <c r="E282" s="1"/>
      <c r="F282" s="1"/>
    </row>
    <row r="283" spans="3:6" ht="12.75" x14ac:dyDescent="0.2">
      <c r="C283" s="2"/>
      <c r="D283" s="31"/>
      <c r="E283" s="1"/>
      <c r="F283" s="1"/>
    </row>
    <row r="284" spans="3:6" ht="12.75" x14ac:dyDescent="0.2">
      <c r="C284" s="2"/>
      <c r="D284" s="31"/>
      <c r="E284" s="1"/>
      <c r="F284" s="1"/>
    </row>
    <row r="285" spans="3:6" ht="12.75" x14ac:dyDescent="0.2">
      <c r="C285" s="2"/>
      <c r="D285" s="31"/>
      <c r="E285" s="1"/>
      <c r="F285" s="1"/>
    </row>
    <row r="286" spans="3:6" ht="12.75" x14ac:dyDescent="0.2">
      <c r="C286" s="2"/>
      <c r="D286" s="31"/>
      <c r="E286" s="1"/>
      <c r="F286" s="1"/>
    </row>
    <row r="287" spans="3:6" ht="12.75" x14ac:dyDescent="0.2">
      <c r="C287" s="2"/>
      <c r="D287" s="31"/>
      <c r="E287" s="1"/>
      <c r="F287" s="1"/>
    </row>
    <row r="288" spans="3:6" ht="12.75" x14ac:dyDescent="0.2">
      <c r="C288" s="2"/>
      <c r="D288" s="31"/>
      <c r="E288" s="1"/>
      <c r="F288" s="1"/>
    </row>
    <row r="289" spans="3:6" ht="12.75" x14ac:dyDescent="0.2">
      <c r="C289" s="2"/>
      <c r="D289" s="31"/>
      <c r="E289" s="1"/>
      <c r="F289" s="1"/>
    </row>
    <row r="290" spans="3:6" ht="12.75" x14ac:dyDescent="0.2">
      <c r="C290" s="2"/>
      <c r="D290" s="31"/>
      <c r="E290" s="1"/>
      <c r="F290" s="1"/>
    </row>
    <row r="291" spans="3:6" ht="12.75" x14ac:dyDescent="0.2">
      <c r="C291" s="2"/>
      <c r="D291" s="31"/>
      <c r="E291" s="1"/>
      <c r="F291" s="1"/>
    </row>
    <row r="292" spans="3:6" ht="12.75" x14ac:dyDescent="0.2">
      <c r="C292" s="2"/>
      <c r="D292" s="31"/>
      <c r="E292" s="1"/>
      <c r="F292" s="1"/>
    </row>
    <row r="293" spans="3:6" ht="12.75" x14ac:dyDescent="0.2">
      <c r="C293" s="2"/>
      <c r="D293" s="31"/>
      <c r="E293" s="1"/>
      <c r="F293" s="1"/>
    </row>
    <row r="294" spans="3:6" ht="12.75" x14ac:dyDescent="0.2">
      <c r="C294" s="2"/>
      <c r="D294" s="31"/>
      <c r="E294" s="1"/>
      <c r="F294" s="1"/>
    </row>
    <row r="295" spans="3:6" ht="12.75" x14ac:dyDescent="0.2">
      <c r="C295" s="2"/>
      <c r="D295" s="31"/>
      <c r="E295" s="1"/>
      <c r="F295" s="1"/>
    </row>
    <row r="296" spans="3:6" ht="12.75" x14ac:dyDescent="0.2">
      <c r="C296" s="2"/>
      <c r="D296" s="31"/>
      <c r="E296" s="1"/>
      <c r="F296" s="1"/>
    </row>
    <row r="297" spans="3:6" ht="12.75" x14ac:dyDescent="0.2">
      <c r="C297" s="2"/>
      <c r="D297" s="31"/>
      <c r="E297" s="1"/>
      <c r="F297" s="1"/>
    </row>
    <row r="298" spans="3:6" ht="12.75" x14ac:dyDescent="0.2">
      <c r="C298" s="2"/>
      <c r="D298" s="31"/>
      <c r="E298" s="1"/>
      <c r="F298" s="1"/>
    </row>
    <row r="299" spans="3:6" ht="12.75" x14ac:dyDescent="0.2">
      <c r="C299" s="2"/>
      <c r="D299" s="31"/>
      <c r="E299" s="1"/>
      <c r="F299" s="1"/>
    </row>
    <row r="300" spans="3:6" ht="12.75" x14ac:dyDescent="0.2">
      <c r="C300" s="2"/>
      <c r="D300" s="31"/>
      <c r="E300" s="1"/>
      <c r="F300" s="1"/>
    </row>
    <row r="301" spans="3:6" ht="12.75" x14ac:dyDescent="0.2">
      <c r="C301" s="2"/>
      <c r="D301" s="31"/>
      <c r="E301" s="1"/>
      <c r="F301" s="1"/>
    </row>
    <row r="302" spans="3:6" ht="12.75" x14ac:dyDescent="0.2">
      <c r="C302" s="2"/>
      <c r="D302" s="31"/>
      <c r="E302" s="1"/>
      <c r="F302" s="1"/>
    </row>
    <row r="303" spans="3:6" ht="12.75" x14ac:dyDescent="0.2">
      <c r="C303" s="2"/>
      <c r="D303" s="31"/>
      <c r="E303" s="1"/>
      <c r="F303" s="1"/>
    </row>
    <row r="304" spans="3:6" ht="12.75" x14ac:dyDescent="0.2">
      <c r="C304" s="2"/>
      <c r="D304" s="31"/>
      <c r="E304" s="1"/>
      <c r="F304" s="1"/>
    </row>
    <row r="305" spans="3:6" ht="12.75" x14ac:dyDescent="0.2">
      <c r="C305" s="2"/>
      <c r="D305" s="31"/>
      <c r="E305" s="1"/>
      <c r="F305" s="1"/>
    </row>
    <row r="306" spans="3:6" ht="12.75" x14ac:dyDescent="0.2">
      <c r="C306" s="2"/>
      <c r="D306" s="31"/>
      <c r="E306" s="1"/>
      <c r="F306" s="1"/>
    </row>
    <row r="307" spans="3:6" ht="12.75" x14ac:dyDescent="0.2">
      <c r="C307" s="2"/>
      <c r="D307" s="31"/>
      <c r="E307" s="1"/>
      <c r="F307" s="1"/>
    </row>
    <row r="308" spans="3:6" ht="12.75" x14ac:dyDescent="0.2">
      <c r="C308" s="2"/>
      <c r="D308" s="31"/>
      <c r="E308" s="1"/>
      <c r="F308" s="1"/>
    </row>
    <row r="309" spans="3:6" ht="12.75" x14ac:dyDescent="0.2">
      <c r="C309" s="2"/>
      <c r="D309" s="31"/>
      <c r="E309" s="1"/>
      <c r="F309" s="1"/>
    </row>
    <row r="310" spans="3:6" ht="12.75" x14ac:dyDescent="0.2">
      <c r="C310" s="2"/>
      <c r="D310" s="31"/>
      <c r="E310" s="1"/>
      <c r="F310" s="1"/>
    </row>
    <row r="311" spans="3:6" ht="12.75" x14ac:dyDescent="0.2">
      <c r="C311" s="2"/>
      <c r="D311" s="31"/>
      <c r="E311" s="1"/>
      <c r="F311" s="1"/>
    </row>
    <row r="312" spans="3:6" ht="12.75" x14ac:dyDescent="0.2">
      <c r="C312" s="2"/>
      <c r="D312" s="31"/>
      <c r="E312" s="1"/>
      <c r="F312" s="1"/>
    </row>
    <row r="313" spans="3:6" ht="12.75" x14ac:dyDescent="0.2">
      <c r="C313" s="2"/>
      <c r="D313" s="31"/>
      <c r="E313" s="1"/>
      <c r="F313" s="1"/>
    </row>
    <row r="314" spans="3:6" ht="12.75" x14ac:dyDescent="0.2">
      <c r="C314" s="2"/>
      <c r="D314" s="31"/>
      <c r="E314" s="1"/>
      <c r="F314" s="1"/>
    </row>
    <row r="315" spans="3:6" ht="12.75" x14ac:dyDescent="0.2">
      <c r="C315" s="2"/>
      <c r="D315" s="31"/>
      <c r="E315" s="1"/>
      <c r="F315" s="1"/>
    </row>
    <row r="316" spans="3:6" ht="12.75" x14ac:dyDescent="0.2">
      <c r="C316" s="2"/>
      <c r="D316" s="31"/>
      <c r="E316" s="1"/>
      <c r="F316" s="1"/>
    </row>
    <row r="317" spans="3:6" ht="12.75" x14ac:dyDescent="0.2">
      <c r="C317" s="2"/>
      <c r="D317" s="31"/>
      <c r="E317" s="1"/>
      <c r="F317" s="1"/>
    </row>
    <row r="318" spans="3:6" ht="12.75" x14ac:dyDescent="0.2">
      <c r="C318" s="2"/>
      <c r="D318" s="31"/>
      <c r="E318" s="1"/>
      <c r="F318" s="1"/>
    </row>
    <row r="319" spans="3:6" ht="12.75" x14ac:dyDescent="0.2">
      <c r="C319" s="2"/>
      <c r="D319" s="31"/>
      <c r="E319" s="1"/>
      <c r="F319" s="1"/>
    </row>
    <row r="320" spans="3:6" ht="12.75" x14ac:dyDescent="0.2">
      <c r="C320" s="2"/>
      <c r="D320" s="31"/>
      <c r="E320" s="1"/>
      <c r="F320" s="1"/>
    </row>
    <row r="321" spans="3:6" ht="12.75" x14ac:dyDescent="0.2">
      <c r="C321" s="2"/>
      <c r="D321" s="31"/>
      <c r="E321" s="1"/>
      <c r="F321" s="1"/>
    </row>
    <row r="322" spans="3:6" ht="12.75" x14ac:dyDescent="0.2">
      <c r="C322" s="2"/>
      <c r="D322" s="31"/>
      <c r="E322" s="1"/>
      <c r="F322" s="1"/>
    </row>
    <row r="323" spans="3:6" ht="12.75" x14ac:dyDescent="0.2">
      <c r="C323" s="2"/>
      <c r="D323" s="31"/>
      <c r="E323" s="1"/>
      <c r="F323" s="1"/>
    </row>
    <row r="324" spans="3:6" ht="12.75" x14ac:dyDescent="0.2">
      <c r="C324" s="2"/>
      <c r="D324" s="31"/>
      <c r="E324" s="1"/>
      <c r="F324" s="1"/>
    </row>
    <row r="325" spans="3:6" ht="12.75" x14ac:dyDescent="0.2">
      <c r="C325" s="2"/>
      <c r="D325" s="31"/>
      <c r="E325" s="1"/>
      <c r="F325" s="1"/>
    </row>
    <row r="326" spans="3:6" ht="12.75" x14ac:dyDescent="0.2">
      <c r="C326" s="2"/>
      <c r="D326" s="31"/>
      <c r="E326" s="1"/>
      <c r="F326" s="1"/>
    </row>
    <row r="327" spans="3:6" ht="12.75" x14ac:dyDescent="0.2">
      <c r="C327" s="2"/>
      <c r="D327" s="31"/>
      <c r="E327" s="1"/>
      <c r="F327" s="1"/>
    </row>
    <row r="328" spans="3:6" ht="12.75" x14ac:dyDescent="0.2">
      <c r="C328" s="2"/>
      <c r="D328" s="31"/>
      <c r="E328" s="1"/>
      <c r="F328" s="1"/>
    </row>
    <row r="329" spans="3:6" ht="12.75" x14ac:dyDescent="0.2">
      <c r="C329" s="2"/>
      <c r="D329" s="31"/>
      <c r="E329" s="1"/>
      <c r="F329" s="1"/>
    </row>
    <row r="330" spans="3:6" ht="12.75" x14ac:dyDescent="0.2">
      <c r="C330" s="2"/>
      <c r="D330" s="31"/>
      <c r="E330" s="1"/>
      <c r="F330" s="1"/>
    </row>
    <row r="331" spans="3:6" ht="12.75" x14ac:dyDescent="0.2">
      <c r="C331" s="2"/>
      <c r="D331" s="31"/>
      <c r="E331" s="1"/>
      <c r="F331" s="1"/>
    </row>
    <row r="332" spans="3:6" ht="12.75" x14ac:dyDescent="0.2">
      <c r="C332" s="2"/>
      <c r="D332" s="31"/>
      <c r="E332" s="1"/>
      <c r="F332" s="1"/>
    </row>
    <row r="333" spans="3:6" ht="12.75" x14ac:dyDescent="0.2">
      <c r="C333" s="2"/>
      <c r="D333" s="31"/>
      <c r="E333" s="1"/>
      <c r="F333" s="1"/>
    </row>
    <row r="334" spans="3:6" ht="12.75" x14ac:dyDescent="0.2">
      <c r="C334" s="2"/>
      <c r="D334" s="31"/>
      <c r="E334" s="1"/>
      <c r="F334" s="1"/>
    </row>
    <row r="335" spans="3:6" ht="12.75" x14ac:dyDescent="0.2">
      <c r="C335" s="2"/>
      <c r="D335" s="31"/>
      <c r="E335" s="1"/>
      <c r="F335" s="1"/>
    </row>
    <row r="336" spans="3:6" ht="12.75" x14ac:dyDescent="0.2">
      <c r="C336" s="2"/>
      <c r="D336" s="31"/>
      <c r="E336" s="1"/>
      <c r="F336" s="1"/>
    </row>
    <row r="337" spans="3:6" ht="12.75" x14ac:dyDescent="0.2">
      <c r="C337" s="2"/>
      <c r="D337" s="31"/>
      <c r="E337" s="1"/>
      <c r="F337" s="1"/>
    </row>
    <row r="338" spans="3:6" ht="12.75" x14ac:dyDescent="0.2">
      <c r="C338" s="2"/>
      <c r="D338" s="31"/>
      <c r="E338" s="1"/>
      <c r="F338" s="1"/>
    </row>
    <row r="339" spans="3:6" ht="12.75" x14ac:dyDescent="0.2">
      <c r="C339" s="2"/>
      <c r="D339" s="31"/>
      <c r="E339" s="1"/>
      <c r="F339" s="1"/>
    </row>
    <row r="340" spans="3:6" ht="12.75" x14ac:dyDescent="0.2">
      <c r="C340" s="2"/>
      <c r="D340" s="31"/>
      <c r="E340" s="1"/>
      <c r="F340" s="1"/>
    </row>
    <row r="341" spans="3:6" ht="12.75" x14ac:dyDescent="0.2">
      <c r="C341" s="2"/>
      <c r="D341" s="31"/>
      <c r="E341" s="1"/>
      <c r="F341" s="1"/>
    </row>
    <row r="342" spans="3:6" ht="12.75" x14ac:dyDescent="0.2">
      <c r="C342" s="2"/>
      <c r="D342" s="31"/>
      <c r="E342" s="1"/>
      <c r="F342" s="1"/>
    </row>
    <row r="343" spans="3:6" ht="12.75" x14ac:dyDescent="0.2">
      <c r="C343" s="2"/>
      <c r="D343" s="31"/>
      <c r="E343" s="1"/>
      <c r="F343" s="1"/>
    </row>
    <row r="344" spans="3:6" ht="12.75" x14ac:dyDescent="0.2">
      <c r="C344" s="2"/>
      <c r="D344" s="31"/>
      <c r="E344" s="1"/>
      <c r="F344" s="1"/>
    </row>
    <row r="345" spans="3:6" ht="12.75" x14ac:dyDescent="0.2">
      <c r="C345" s="2"/>
      <c r="D345" s="31"/>
      <c r="E345" s="1"/>
      <c r="F345" s="1"/>
    </row>
    <row r="346" spans="3:6" ht="12.75" x14ac:dyDescent="0.2">
      <c r="C346" s="2"/>
      <c r="D346" s="31"/>
      <c r="E346" s="1"/>
      <c r="F346" s="1"/>
    </row>
    <row r="347" spans="3:6" ht="12.75" x14ac:dyDescent="0.2">
      <c r="C347" s="2"/>
      <c r="D347" s="31"/>
      <c r="E347" s="1"/>
      <c r="F347" s="1"/>
    </row>
    <row r="348" spans="3:6" ht="12.75" x14ac:dyDescent="0.2">
      <c r="C348" s="2"/>
      <c r="D348" s="31"/>
      <c r="E348" s="1"/>
      <c r="F348" s="1"/>
    </row>
    <row r="349" spans="3:6" ht="12.75" x14ac:dyDescent="0.2">
      <c r="C349" s="2"/>
      <c r="D349" s="31"/>
      <c r="E349" s="1"/>
      <c r="F349" s="1"/>
    </row>
    <row r="350" spans="3:6" ht="12.75" x14ac:dyDescent="0.2">
      <c r="C350" s="2"/>
      <c r="D350" s="31"/>
      <c r="E350" s="1"/>
      <c r="F350" s="1"/>
    </row>
    <row r="351" spans="3:6" ht="12.75" x14ac:dyDescent="0.2">
      <c r="C351" s="2"/>
      <c r="D351" s="31"/>
      <c r="E351" s="1"/>
      <c r="F351" s="1"/>
    </row>
    <row r="352" spans="3:6" ht="12.75" x14ac:dyDescent="0.2">
      <c r="C352" s="2"/>
      <c r="D352" s="31"/>
      <c r="E352" s="1"/>
      <c r="F352" s="1"/>
    </row>
    <row r="353" spans="3:6" ht="12.75" x14ac:dyDescent="0.2">
      <c r="C353" s="2"/>
      <c r="D353" s="31"/>
      <c r="E353" s="1"/>
      <c r="F353" s="1"/>
    </row>
    <row r="354" spans="3:6" ht="12.75" x14ac:dyDescent="0.2">
      <c r="C354" s="2"/>
      <c r="D354" s="31"/>
      <c r="E354" s="1"/>
      <c r="F354" s="1"/>
    </row>
    <row r="355" spans="3:6" ht="12.75" x14ac:dyDescent="0.2">
      <c r="C355" s="2"/>
      <c r="D355" s="31"/>
      <c r="E355" s="1"/>
      <c r="F355" s="1"/>
    </row>
    <row r="356" spans="3:6" ht="12.75" x14ac:dyDescent="0.2">
      <c r="C356" s="2"/>
      <c r="D356" s="31"/>
      <c r="E356" s="1"/>
      <c r="F356" s="1"/>
    </row>
    <row r="357" spans="3:6" ht="12.75" x14ac:dyDescent="0.2">
      <c r="C357" s="2"/>
      <c r="D357" s="31"/>
      <c r="E357" s="1"/>
      <c r="F357" s="1"/>
    </row>
    <row r="358" spans="3:6" ht="12.75" x14ac:dyDescent="0.2">
      <c r="C358" s="2"/>
      <c r="D358" s="31"/>
      <c r="E358" s="1"/>
      <c r="F358" s="1"/>
    </row>
    <row r="359" spans="3:6" ht="12.75" x14ac:dyDescent="0.2">
      <c r="C359" s="2"/>
      <c r="D359" s="31"/>
      <c r="E359" s="1"/>
      <c r="F359" s="1"/>
    </row>
    <row r="360" spans="3:6" ht="12.75" x14ac:dyDescent="0.2">
      <c r="C360" s="2"/>
      <c r="D360" s="31"/>
      <c r="E360" s="1"/>
      <c r="F360" s="1"/>
    </row>
    <row r="361" spans="3:6" ht="12.75" x14ac:dyDescent="0.2">
      <c r="C361" s="2"/>
      <c r="D361" s="31"/>
      <c r="E361" s="1"/>
      <c r="F361" s="1"/>
    </row>
    <row r="362" spans="3:6" ht="12.75" x14ac:dyDescent="0.2">
      <c r="C362" s="2"/>
      <c r="D362" s="31"/>
      <c r="E362" s="1"/>
      <c r="F362" s="1"/>
    </row>
    <row r="363" spans="3:6" ht="12.75" x14ac:dyDescent="0.2">
      <c r="C363" s="2"/>
      <c r="D363" s="31"/>
      <c r="E363" s="1"/>
      <c r="F363" s="1"/>
    </row>
    <row r="364" spans="3:6" ht="12.75" x14ac:dyDescent="0.2">
      <c r="C364" s="2"/>
      <c r="D364" s="31"/>
      <c r="E364" s="1"/>
      <c r="F364" s="1"/>
    </row>
    <row r="365" spans="3:6" ht="12.75" x14ac:dyDescent="0.2">
      <c r="C365" s="2"/>
      <c r="D365" s="31"/>
      <c r="E365" s="1"/>
      <c r="F365" s="1"/>
    </row>
    <row r="366" spans="3:6" ht="12.75" x14ac:dyDescent="0.2">
      <c r="C366" s="2"/>
      <c r="D366" s="31"/>
      <c r="E366" s="1"/>
      <c r="F366" s="1"/>
    </row>
    <row r="367" spans="3:6" ht="12.75" x14ac:dyDescent="0.2">
      <c r="C367" s="2"/>
      <c r="D367" s="31"/>
      <c r="E367" s="1"/>
      <c r="F367" s="1"/>
    </row>
    <row r="368" spans="3:6" ht="12.75" x14ac:dyDescent="0.2">
      <c r="C368" s="2"/>
      <c r="D368" s="31"/>
      <c r="E368" s="1"/>
      <c r="F368" s="1"/>
    </row>
    <row r="369" spans="3:6" ht="12.75" x14ac:dyDescent="0.2">
      <c r="C369" s="2"/>
      <c r="D369" s="31"/>
      <c r="E369" s="1"/>
      <c r="F369" s="1"/>
    </row>
    <row r="370" spans="3:6" ht="12.75" x14ac:dyDescent="0.2">
      <c r="C370" s="2"/>
      <c r="D370" s="31"/>
      <c r="E370" s="1"/>
      <c r="F370" s="1"/>
    </row>
    <row r="371" spans="3:6" ht="12.75" x14ac:dyDescent="0.2">
      <c r="C371" s="2"/>
      <c r="D371" s="31"/>
      <c r="E371" s="1"/>
      <c r="F371" s="1"/>
    </row>
    <row r="372" spans="3:6" ht="12.75" x14ac:dyDescent="0.2">
      <c r="C372" s="2"/>
      <c r="D372" s="31"/>
      <c r="E372" s="1"/>
      <c r="F372" s="1"/>
    </row>
    <row r="373" spans="3:6" ht="12.75" x14ac:dyDescent="0.2">
      <c r="C373" s="2"/>
      <c r="D373" s="31"/>
      <c r="E373" s="1"/>
      <c r="F373" s="1"/>
    </row>
    <row r="374" spans="3:6" ht="12.75" x14ac:dyDescent="0.2">
      <c r="C374" s="2"/>
      <c r="D374" s="31"/>
      <c r="E374" s="1"/>
      <c r="F374" s="1"/>
    </row>
    <row r="375" spans="3:6" ht="12.75" x14ac:dyDescent="0.2">
      <c r="C375" s="2"/>
      <c r="D375" s="31"/>
      <c r="E375" s="1"/>
      <c r="F375" s="1"/>
    </row>
    <row r="376" spans="3:6" ht="12.75" x14ac:dyDescent="0.2">
      <c r="C376" s="2"/>
      <c r="D376" s="31"/>
      <c r="E376" s="1"/>
      <c r="F376" s="1"/>
    </row>
    <row r="377" spans="3:6" ht="12.75" x14ac:dyDescent="0.2">
      <c r="C377" s="2"/>
      <c r="D377" s="31"/>
      <c r="E377" s="1"/>
      <c r="F377" s="1"/>
    </row>
    <row r="378" spans="3:6" ht="12.75" x14ac:dyDescent="0.2">
      <c r="C378" s="2"/>
      <c r="D378" s="31"/>
      <c r="E378" s="1"/>
      <c r="F378" s="1"/>
    </row>
    <row r="379" spans="3:6" ht="12.75" x14ac:dyDescent="0.2">
      <c r="C379" s="2"/>
      <c r="D379" s="31"/>
      <c r="E379" s="1"/>
      <c r="F379" s="1"/>
    </row>
    <row r="380" spans="3:6" ht="12.75" x14ac:dyDescent="0.2">
      <c r="C380" s="2"/>
      <c r="D380" s="31"/>
      <c r="E380" s="1"/>
      <c r="F380" s="1"/>
    </row>
    <row r="381" spans="3:6" ht="12.75" x14ac:dyDescent="0.2">
      <c r="C381" s="2"/>
      <c r="D381" s="31"/>
      <c r="E381" s="1"/>
      <c r="F381" s="1"/>
    </row>
    <row r="382" spans="3:6" ht="12.75" x14ac:dyDescent="0.2">
      <c r="C382" s="2"/>
      <c r="D382" s="31"/>
      <c r="E382" s="1"/>
      <c r="F382" s="1"/>
    </row>
    <row r="383" spans="3:6" ht="12.75" x14ac:dyDescent="0.2">
      <c r="C383" s="2"/>
      <c r="D383" s="31"/>
      <c r="E383" s="1"/>
      <c r="F383" s="1"/>
    </row>
    <row r="384" spans="3:6" ht="12.75" x14ac:dyDescent="0.2">
      <c r="C384" s="2"/>
      <c r="D384" s="31"/>
      <c r="E384" s="1"/>
      <c r="F384" s="1"/>
    </row>
    <row r="385" spans="3:6" ht="12.75" x14ac:dyDescent="0.2">
      <c r="C385" s="2"/>
      <c r="D385" s="31"/>
      <c r="E385" s="1"/>
      <c r="F385" s="1"/>
    </row>
    <row r="386" spans="3:6" ht="12.75" x14ac:dyDescent="0.2">
      <c r="C386" s="2"/>
      <c r="D386" s="31"/>
      <c r="E386" s="1"/>
      <c r="F386" s="1"/>
    </row>
    <row r="387" spans="3:6" ht="12.75" x14ac:dyDescent="0.2">
      <c r="C387" s="2"/>
      <c r="D387" s="31"/>
      <c r="E387" s="1"/>
      <c r="F387" s="1"/>
    </row>
    <row r="388" spans="3:6" ht="12.75" x14ac:dyDescent="0.2">
      <c r="C388" s="2"/>
      <c r="D388" s="31"/>
      <c r="E388" s="1"/>
      <c r="F388" s="1"/>
    </row>
    <row r="389" spans="3:6" ht="12.75" x14ac:dyDescent="0.2">
      <c r="C389" s="2"/>
      <c r="D389" s="31"/>
      <c r="E389" s="1"/>
      <c r="F389" s="1"/>
    </row>
    <row r="390" spans="3:6" ht="12.75" x14ac:dyDescent="0.2">
      <c r="C390" s="2"/>
      <c r="D390" s="31"/>
      <c r="E390" s="1"/>
      <c r="F390" s="1"/>
    </row>
    <row r="391" spans="3:6" ht="12.75" x14ac:dyDescent="0.2">
      <c r="C391" s="2"/>
      <c r="D391" s="31"/>
      <c r="E391" s="1"/>
      <c r="F391" s="1"/>
    </row>
    <row r="392" spans="3:6" ht="12.75" x14ac:dyDescent="0.2">
      <c r="C392" s="2"/>
      <c r="D392" s="31"/>
      <c r="E392" s="1"/>
      <c r="F392" s="1"/>
    </row>
    <row r="393" spans="3:6" ht="12.75" x14ac:dyDescent="0.2">
      <c r="C393" s="2"/>
      <c r="D393" s="31"/>
      <c r="E393" s="1"/>
      <c r="F393" s="1"/>
    </row>
    <row r="394" spans="3:6" ht="12.75" x14ac:dyDescent="0.2">
      <c r="C394" s="2"/>
      <c r="D394" s="31"/>
      <c r="E394" s="1"/>
      <c r="F394" s="1"/>
    </row>
    <row r="395" spans="3:6" ht="12.75" x14ac:dyDescent="0.2">
      <c r="C395" s="2"/>
      <c r="D395" s="31"/>
      <c r="E395" s="1"/>
      <c r="F395" s="1"/>
    </row>
    <row r="396" spans="3:6" ht="12.75" x14ac:dyDescent="0.2">
      <c r="C396" s="2"/>
      <c r="D396" s="31"/>
      <c r="E396" s="1"/>
      <c r="F396" s="1"/>
    </row>
    <row r="397" spans="3:6" ht="12.75" x14ac:dyDescent="0.2">
      <c r="C397" s="2"/>
      <c r="D397" s="31"/>
      <c r="E397" s="1"/>
      <c r="F397" s="1"/>
    </row>
    <row r="398" spans="3:6" ht="12.75" x14ac:dyDescent="0.2">
      <c r="C398" s="2"/>
      <c r="D398" s="31"/>
      <c r="E398" s="1"/>
      <c r="F398" s="1"/>
    </row>
    <row r="399" spans="3:6" ht="12.75" x14ac:dyDescent="0.2">
      <c r="C399" s="2"/>
      <c r="D399" s="31"/>
      <c r="E399" s="1"/>
      <c r="F399" s="1"/>
    </row>
    <row r="400" spans="3:6" ht="12.75" x14ac:dyDescent="0.2">
      <c r="C400" s="2"/>
      <c r="D400" s="31"/>
      <c r="E400" s="1"/>
      <c r="F400" s="1"/>
    </row>
    <row r="401" spans="3:6" ht="12.75" x14ac:dyDescent="0.2">
      <c r="C401" s="2"/>
      <c r="D401" s="31"/>
      <c r="E401" s="1"/>
      <c r="F401" s="1"/>
    </row>
    <row r="402" spans="3:6" ht="12.75" x14ac:dyDescent="0.2">
      <c r="C402" s="2"/>
      <c r="D402" s="31"/>
      <c r="E402" s="1"/>
      <c r="F402" s="1"/>
    </row>
    <row r="403" spans="3:6" ht="12.75" x14ac:dyDescent="0.2">
      <c r="C403" s="2"/>
      <c r="D403" s="31"/>
      <c r="E403" s="1"/>
      <c r="F403" s="1"/>
    </row>
    <row r="404" spans="3:6" ht="12.75" x14ac:dyDescent="0.2">
      <c r="C404" s="2"/>
      <c r="D404" s="31"/>
      <c r="E404" s="1"/>
      <c r="F404" s="1"/>
    </row>
    <row r="405" spans="3:6" ht="12.75" x14ac:dyDescent="0.2">
      <c r="C405" s="2"/>
      <c r="D405" s="31"/>
      <c r="E405" s="1"/>
      <c r="F405" s="1"/>
    </row>
    <row r="406" spans="3:6" ht="12.75" x14ac:dyDescent="0.2">
      <c r="C406" s="2"/>
      <c r="D406" s="31"/>
      <c r="E406" s="1"/>
      <c r="F406" s="1"/>
    </row>
    <row r="407" spans="3:6" ht="12.75" x14ac:dyDescent="0.2">
      <c r="C407" s="2"/>
      <c r="D407" s="31"/>
      <c r="E407" s="1"/>
      <c r="F407" s="1"/>
    </row>
    <row r="408" spans="3:6" ht="12.75" x14ac:dyDescent="0.2">
      <c r="C408" s="2"/>
      <c r="D408" s="31"/>
      <c r="E408" s="1"/>
      <c r="F408" s="1"/>
    </row>
    <row r="409" spans="3:6" ht="12.75" x14ac:dyDescent="0.2">
      <c r="C409" s="2"/>
      <c r="D409" s="31"/>
      <c r="E409" s="1"/>
      <c r="F409" s="1"/>
    </row>
    <row r="410" spans="3:6" ht="12.75" x14ac:dyDescent="0.2">
      <c r="C410" s="2"/>
      <c r="D410" s="31"/>
      <c r="E410" s="1"/>
      <c r="F410" s="1"/>
    </row>
    <row r="411" spans="3:6" ht="12.75" x14ac:dyDescent="0.2">
      <c r="C411" s="2"/>
      <c r="D411" s="31"/>
      <c r="E411" s="1"/>
      <c r="F411" s="1"/>
    </row>
    <row r="412" spans="3:6" ht="12.75" x14ac:dyDescent="0.2">
      <c r="C412" s="2"/>
      <c r="D412" s="31"/>
      <c r="E412" s="1"/>
      <c r="F412" s="1"/>
    </row>
    <row r="413" spans="3:6" ht="12.75" x14ac:dyDescent="0.2">
      <c r="C413" s="2"/>
      <c r="D413" s="31"/>
      <c r="E413" s="1"/>
      <c r="F413" s="1"/>
    </row>
    <row r="414" spans="3:6" ht="12.75" x14ac:dyDescent="0.2">
      <c r="C414" s="2"/>
      <c r="D414" s="31"/>
      <c r="E414" s="1"/>
      <c r="F414" s="1"/>
    </row>
    <row r="415" spans="3:6" ht="12.75" x14ac:dyDescent="0.2">
      <c r="C415" s="2"/>
      <c r="D415" s="31"/>
      <c r="E415" s="1"/>
      <c r="F415" s="1"/>
    </row>
    <row r="416" spans="3:6" ht="12.75" x14ac:dyDescent="0.2">
      <c r="C416" s="2"/>
      <c r="D416" s="31"/>
      <c r="E416" s="1"/>
      <c r="F416" s="1"/>
    </row>
    <row r="417" spans="3:6" ht="12.75" x14ac:dyDescent="0.2">
      <c r="C417" s="2"/>
      <c r="D417" s="31"/>
      <c r="E417" s="1"/>
      <c r="F417" s="1"/>
    </row>
    <row r="418" spans="3:6" ht="12.75" x14ac:dyDescent="0.2">
      <c r="C418" s="2"/>
      <c r="D418" s="31"/>
      <c r="E418" s="1"/>
      <c r="F418" s="1"/>
    </row>
    <row r="419" spans="3:6" ht="12.75" x14ac:dyDescent="0.2">
      <c r="C419" s="2"/>
      <c r="D419" s="31"/>
      <c r="E419" s="1"/>
      <c r="F419" s="1"/>
    </row>
    <row r="420" spans="3:6" ht="12.75" x14ac:dyDescent="0.2">
      <c r="C420" s="2"/>
      <c r="D420" s="31"/>
      <c r="E420" s="1"/>
      <c r="F420" s="1"/>
    </row>
    <row r="421" spans="3:6" ht="12.75" x14ac:dyDescent="0.2">
      <c r="C421" s="2"/>
      <c r="D421" s="31"/>
      <c r="E421" s="1"/>
      <c r="F421" s="1"/>
    </row>
    <row r="422" spans="3:6" ht="12.75" x14ac:dyDescent="0.2">
      <c r="C422" s="2"/>
      <c r="D422" s="31"/>
      <c r="E422" s="1"/>
      <c r="F422" s="1"/>
    </row>
    <row r="423" spans="3:6" ht="12.75" x14ac:dyDescent="0.2">
      <c r="C423" s="2"/>
      <c r="D423" s="31"/>
      <c r="E423" s="1"/>
      <c r="F423" s="1"/>
    </row>
    <row r="424" spans="3:6" ht="12.75" x14ac:dyDescent="0.2">
      <c r="C424" s="2"/>
      <c r="D424" s="31"/>
      <c r="E424" s="1"/>
      <c r="F424" s="1"/>
    </row>
    <row r="425" spans="3:6" ht="12.75" x14ac:dyDescent="0.2">
      <c r="C425" s="2"/>
      <c r="D425" s="31"/>
      <c r="E425" s="1"/>
      <c r="F425" s="1"/>
    </row>
    <row r="426" spans="3:6" ht="12.75" x14ac:dyDescent="0.2">
      <c r="C426" s="2"/>
      <c r="D426" s="31"/>
      <c r="E426" s="1"/>
      <c r="F426" s="1"/>
    </row>
    <row r="427" spans="3:6" ht="12.75" x14ac:dyDescent="0.2">
      <c r="C427" s="2"/>
      <c r="D427" s="31"/>
      <c r="E427" s="1"/>
      <c r="F427" s="1"/>
    </row>
    <row r="428" spans="3:6" ht="12.75" x14ac:dyDescent="0.2">
      <c r="C428" s="2"/>
      <c r="D428" s="31"/>
      <c r="E428" s="1"/>
      <c r="F428" s="1"/>
    </row>
    <row r="429" spans="3:6" ht="12.75" x14ac:dyDescent="0.2">
      <c r="C429" s="2"/>
      <c r="D429" s="31"/>
      <c r="E429" s="1"/>
      <c r="F429" s="1"/>
    </row>
    <row r="430" spans="3:6" ht="12.75" x14ac:dyDescent="0.2">
      <c r="C430" s="2"/>
      <c r="D430" s="31"/>
      <c r="E430" s="1"/>
      <c r="F430" s="1"/>
    </row>
    <row r="431" spans="3:6" ht="12.75" x14ac:dyDescent="0.2">
      <c r="C431" s="2"/>
      <c r="D431" s="31"/>
      <c r="E431" s="1"/>
      <c r="F431" s="1"/>
    </row>
    <row r="432" spans="3:6" ht="12.75" x14ac:dyDescent="0.2">
      <c r="C432" s="2"/>
      <c r="D432" s="31"/>
      <c r="E432" s="1"/>
      <c r="F432" s="1"/>
    </row>
    <row r="433" spans="3:6" ht="12.75" x14ac:dyDescent="0.2">
      <c r="C433" s="2"/>
      <c r="D433" s="31"/>
      <c r="E433" s="1"/>
      <c r="F433" s="1"/>
    </row>
    <row r="434" spans="3:6" ht="12.75" x14ac:dyDescent="0.2">
      <c r="C434" s="2"/>
      <c r="D434" s="31"/>
      <c r="E434" s="1"/>
      <c r="F434" s="1"/>
    </row>
    <row r="435" spans="3:6" ht="12.75" x14ac:dyDescent="0.2">
      <c r="C435" s="2"/>
      <c r="D435" s="31"/>
      <c r="E435" s="1"/>
      <c r="F435" s="1"/>
    </row>
    <row r="436" spans="3:6" ht="12.75" x14ac:dyDescent="0.2">
      <c r="C436" s="2"/>
      <c r="D436" s="31"/>
      <c r="E436" s="1"/>
      <c r="F436" s="1"/>
    </row>
    <row r="437" spans="3:6" ht="12.75" x14ac:dyDescent="0.2">
      <c r="C437" s="2"/>
      <c r="D437" s="31"/>
      <c r="E437" s="1"/>
      <c r="F437" s="1"/>
    </row>
    <row r="438" spans="3:6" ht="12.75" x14ac:dyDescent="0.2">
      <c r="C438" s="2"/>
      <c r="D438" s="31"/>
      <c r="E438" s="1"/>
      <c r="F438" s="1"/>
    </row>
    <row r="439" spans="3:6" ht="12.75" x14ac:dyDescent="0.2">
      <c r="C439" s="2"/>
      <c r="D439" s="31"/>
      <c r="E439" s="1"/>
      <c r="F439" s="1"/>
    </row>
    <row r="440" spans="3:6" ht="12.75" x14ac:dyDescent="0.2">
      <c r="C440" s="2"/>
      <c r="D440" s="31"/>
      <c r="E440" s="1"/>
      <c r="F440" s="1"/>
    </row>
    <row r="441" spans="3:6" ht="12.75" x14ac:dyDescent="0.2">
      <c r="C441" s="2"/>
      <c r="D441" s="31"/>
      <c r="E441" s="1"/>
      <c r="F441" s="1"/>
    </row>
    <row r="442" spans="3:6" ht="12.75" x14ac:dyDescent="0.2">
      <c r="C442" s="2"/>
      <c r="D442" s="31"/>
      <c r="E442" s="1"/>
      <c r="F442" s="1"/>
    </row>
    <row r="443" spans="3:6" ht="12.75" x14ac:dyDescent="0.2">
      <c r="C443" s="2"/>
      <c r="D443" s="31"/>
      <c r="E443" s="1"/>
      <c r="F443" s="1"/>
    </row>
    <row r="444" spans="3:6" ht="12.75" x14ac:dyDescent="0.2">
      <c r="C444" s="2"/>
      <c r="D444" s="31"/>
      <c r="E444" s="1"/>
      <c r="F444" s="1"/>
    </row>
    <row r="445" spans="3:6" ht="12.75" x14ac:dyDescent="0.2">
      <c r="C445" s="2"/>
      <c r="D445" s="31"/>
      <c r="E445" s="1"/>
      <c r="F445" s="1"/>
    </row>
    <row r="446" spans="3:6" ht="12.75" x14ac:dyDescent="0.2">
      <c r="C446" s="2"/>
      <c r="D446" s="31"/>
      <c r="E446" s="1"/>
      <c r="F446" s="1"/>
    </row>
    <row r="447" spans="3:6" ht="12.75" x14ac:dyDescent="0.2">
      <c r="C447" s="2"/>
      <c r="D447" s="31"/>
      <c r="E447" s="1"/>
      <c r="F447" s="1"/>
    </row>
    <row r="448" spans="3:6" ht="12.75" x14ac:dyDescent="0.2">
      <c r="C448" s="2"/>
      <c r="D448" s="31"/>
      <c r="E448" s="1"/>
      <c r="F448" s="1"/>
    </row>
    <row r="449" spans="3:6" ht="12.75" x14ac:dyDescent="0.2">
      <c r="C449" s="2"/>
      <c r="D449" s="31"/>
      <c r="E449" s="1"/>
      <c r="F449" s="1"/>
    </row>
    <row r="450" spans="3:6" ht="12.75" x14ac:dyDescent="0.2">
      <c r="C450" s="2"/>
      <c r="D450" s="31"/>
      <c r="E450" s="1"/>
      <c r="F450" s="1"/>
    </row>
    <row r="451" spans="3:6" ht="12.75" x14ac:dyDescent="0.2">
      <c r="C451" s="2"/>
      <c r="D451" s="31"/>
      <c r="E451" s="1"/>
      <c r="F451" s="1"/>
    </row>
    <row r="452" spans="3:6" ht="12.75" x14ac:dyDescent="0.2">
      <c r="C452" s="2"/>
      <c r="D452" s="31"/>
      <c r="E452" s="1"/>
      <c r="F452" s="1"/>
    </row>
    <row r="453" spans="3:6" ht="12.75" x14ac:dyDescent="0.2">
      <c r="C453" s="2"/>
      <c r="D453" s="31"/>
      <c r="E453" s="1"/>
      <c r="F453" s="1"/>
    </row>
    <row r="454" spans="3:6" ht="12.75" x14ac:dyDescent="0.2">
      <c r="C454" s="2"/>
      <c r="D454" s="31"/>
      <c r="E454" s="1"/>
      <c r="F454" s="1"/>
    </row>
    <row r="455" spans="3:6" ht="12.75" x14ac:dyDescent="0.2">
      <c r="C455" s="2"/>
      <c r="D455" s="31"/>
      <c r="E455" s="1"/>
      <c r="F455" s="1"/>
    </row>
    <row r="456" spans="3:6" ht="12.75" x14ac:dyDescent="0.2">
      <c r="C456" s="2"/>
      <c r="D456" s="31"/>
      <c r="E456" s="1"/>
      <c r="F456" s="1"/>
    </row>
    <row r="457" spans="3:6" ht="12.75" x14ac:dyDescent="0.2">
      <c r="C457" s="2"/>
      <c r="D457" s="31"/>
      <c r="E457" s="1"/>
      <c r="F457" s="1"/>
    </row>
    <row r="458" spans="3:6" ht="12.75" x14ac:dyDescent="0.2">
      <c r="C458" s="2"/>
      <c r="D458" s="31"/>
      <c r="E458" s="1"/>
      <c r="F458" s="1"/>
    </row>
    <row r="459" spans="3:6" ht="12.75" x14ac:dyDescent="0.2">
      <c r="C459" s="2"/>
      <c r="D459" s="31"/>
      <c r="E459" s="1"/>
      <c r="F459" s="1"/>
    </row>
    <row r="460" spans="3:6" ht="12.75" x14ac:dyDescent="0.2">
      <c r="C460" s="2"/>
      <c r="D460" s="31"/>
      <c r="E460" s="1"/>
      <c r="F460" s="1"/>
    </row>
    <row r="461" spans="3:6" ht="12.75" x14ac:dyDescent="0.2">
      <c r="C461" s="2"/>
      <c r="D461" s="31"/>
      <c r="E461" s="1"/>
      <c r="F461" s="1"/>
    </row>
    <row r="462" spans="3:6" ht="12.75" x14ac:dyDescent="0.2">
      <c r="C462" s="2"/>
      <c r="D462" s="31"/>
      <c r="E462" s="1"/>
      <c r="F462" s="1"/>
    </row>
    <row r="463" spans="3:6" ht="12.75" x14ac:dyDescent="0.2">
      <c r="C463" s="2"/>
      <c r="D463" s="31"/>
      <c r="E463" s="1"/>
      <c r="F463" s="1"/>
    </row>
    <row r="464" spans="3:6" ht="12.75" x14ac:dyDescent="0.2">
      <c r="C464" s="2"/>
      <c r="D464" s="31"/>
      <c r="E464" s="1"/>
      <c r="F464" s="1"/>
    </row>
    <row r="465" spans="3:6" ht="12.75" x14ac:dyDescent="0.2">
      <c r="C465" s="2"/>
      <c r="D465" s="31"/>
      <c r="E465" s="1"/>
      <c r="F465" s="1"/>
    </row>
    <row r="466" spans="3:6" ht="12.75" x14ac:dyDescent="0.2">
      <c r="C466" s="2"/>
      <c r="D466" s="31"/>
      <c r="E466" s="1"/>
      <c r="F466" s="1"/>
    </row>
    <row r="467" spans="3:6" ht="12.75" x14ac:dyDescent="0.2">
      <c r="C467" s="2"/>
      <c r="D467" s="31"/>
      <c r="E467" s="1"/>
      <c r="F467" s="1"/>
    </row>
    <row r="468" spans="3:6" ht="12.75" x14ac:dyDescent="0.2">
      <c r="C468" s="2"/>
      <c r="D468" s="31"/>
      <c r="E468" s="1"/>
      <c r="F468" s="1"/>
    </row>
    <row r="469" spans="3:6" ht="12.75" x14ac:dyDescent="0.2">
      <c r="C469" s="2"/>
      <c r="D469" s="31"/>
      <c r="E469" s="1"/>
      <c r="F469" s="1"/>
    </row>
    <row r="470" spans="3:6" ht="12.75" x14ac:dyDescent="0.2">
      <c r="C470" s="2"/>
      <c r="D470" s="31"/>
      <c r="E470" s="1"/>
      <c r="F470" s="1"/>
    </row>
    <row r="471" spans="3:6" ht="12.75" x14ac:dyDescent="0.2">
      <c r="C471" s="2"/>
      <c r="D471" s="31"/>
      <c r="E471" s="1"/>
      <c r="F471" s="1"/>
    </row>
    <row r="472" spans="3:6" ht="12.75" x14ac:dyDescent="0.2">
      <c r="C472" s="2"/>
      <c r="D472" s="31"/>
      <c r="E472" s="1"/>
      <c r="F472" s="1"/>
    </row>
    <row r="473" spans="3:6" ht="12.75" x14ac:dyDescent="0.2">
      <c r="C473" s="2"/>
      <c r="D473" s="31"/>
      <c r="E473" s="1"/>
      <c r="F473" s="1"/>
    </row>
    <row r="474" spans="3:6" ht="12.75" x14ac:dyDescent="0.2">
      <c r="C474" s="2"/>
      <c r="D474" s="31"/>
      <c r="E474" s="1"/>
      <c r="F474" s="1"/>
    </row>
    <row r="475" spans="3:6" ht="12.75" x14ac:dyDescent="0.2">
      <c r="C475" s="2"/>
      <c r="D475" s="31"/>
      <c r="E475" s="1"/>
      <c r="F475" s="1"/>
    </row>
    <row r="476" spans="3:6" ht="12.75" x14ac:dyDescent="0.2">
      <c r="C476" s="2"/>
      <c r="D476" s="31"/>
      <c r="E476" s="1"/>
      <c r="F476" s="1"/>
    </row>
    <row r="477" spans="3:6" ht="12.75" x14ac:dyDescent="0.2">
      <c r="C477" s="2"/>
      <c r="D477" s="31"/>
      <c r="E477" s="1"/>
      <c r="F477" s="1"/>
    </row>
    <row r="478" spans="3:6" ht="12.75" x14ac:dyDescent="0.2">
      <c r="C478" s="2"/>
      <c r="D478" s="31"/>
      <c r="E478" s="1"/>
      <c r="F478" s="1"/>
    </row>
    <row r="479" spans="3:6" ht="12.75" x14ac:dyDescent="0.2">
      <c r="C479" s="2"/>
      <c r="D479" s="31"/>
      <c r="E479" s="1"/>
      <c r="F479" s="1"/>
    </row>
    <row r="480" spans="3:6" ht="12.75" x14ac:dyDescent="0.2">
      <c r="C480" s="2"/>
      <c r="D480" s="31"/>
      <c r="E480" s="1"/>
      <c r="F480" s="1"/>
    </row>
    <row r="481" spans="3:6" ht="12.75" x14ac:dyDescent="0.2">
      <c r="C481" s="2"/>
      <c r="D481" s="31"/>
      <c r="E481" s="1"/>
      <c r="F481" s="1"/>
    </row>
    <row r="482" spans="3:6" ht="12.75" x14ac:dyDescent="0.2">
      <c r="C482" s="2"/>
      <c r="D482" s="31"/>
      <c r="E482" s="1"/>
      <c r="F482" s="1"/>
    </row>
    <row r="483" spans="3:6" ht="12.75" x14ac:dyDescent="0.2">
      <c r="C483" s="2"/>
      <c r="D483" s="31"/>
      <c r="E483" s="1"/>
      <c r="F483" s="1"/>
    </row>
    <row r="484" spans="3:6" ht="12.75" x14ac:dyDescent="0.2">
      <c r="C484" s="2"/>
      <c r="D484" s="31"/>
      <c r="E484" s="1"/>
      <c r="F484" s="1"/>
    </row>
    <row r="485" spans="3:6" ht="12.75" x14ac:dyDescent="0.2">
      <c r="C485" s="2"/>
      <c r="D485" s="31"/>
      <c r="E485" s="1"/>
      <c r="F485" s="1"/>
    </row>
    <row r="486" spans="3:6" ht="12.75" x14ac:dyDescent="0.2">
      <c r="C486" s="2"/>
      <c r="D486" s="31"/>
      <c r="E486" s="1"/>
      <c r="F486" s="1"/>
    </row>
    <row r="487" spans="3:6" ht="12.75" x14ac:dyDescent="0.2">
      <c r="C487" s="2"/>
      <c r="D487" s="31"/>
      <c r="E487" s="1"/>
      <c r="F487" s="1"/>
    </row>
    <row r="488" spans="3:6" ht="12.75" x14ac:dyDescent="0.2">
      <c r="C488" s="2"/>
      <c r="D488" s="31"/>
      <c r="E488" s="1"/>
      <c r="F488" s="1"/>
    </row>
    <row r="489" spans="3:6" ht="12.75" x14ac:dyDescent="0.2">
      <c r="C489" s="2"/>
      <c r="D489" s="31"/>
      <c r="E489" s="1"/>
      <c r="F489" s="1"/>
    </row>
    <row r="490" spans="3:6" ht="12.75" x14ac:dyDescent="0.2">
      <c r="C490" s="2"/>
      <c r="D490" s="31"/>
      <c r="E490" s="1"/>
      <c r="F490" s="1"/>
    </row>
    <row r="491" spans="3:6" ht="12.75" x14ac:dyDescent="0.2">
      <c r="C491" s="2"/>
      <c r="D491" s="31"/>
      <c r="E491" s="1"/>
      <c r="F491" s="1"/>
    </row>
    <row r="492" spans="3:6" ht="12.75" x14ac:dyDescent="0.2">
      <c r="C492" s="2"/>
      <c r="D492" s="31"/>
      <c r="E492" s="1"/>
      <c r="F492" s="1"/>
    </row>
    <row r="493" spans="3:6" ht="12.75" x14ac:dyDescent="0.2">
      <c r="C493" s="2"/>
      <c r="D493" s="31"/>
      <c r="E493" s="1"/>
      <c r="F493" s="1"/>
    </row>
    <row r="494" spans="3:6" ht="12.75" x14ac:dyDescent="0.2">
      <c r="C494" s="2"/>
      <c r="D494" s="31"/>
      <c r="E494" s="1"/>
      <c r="F494" s="1"/>
    </row>
    <row r="495" spans="3:6" ht="12.75" x14ac:dyDescent="0.2">
      <c r="C495" s="2"/>
      <c r="D495" s="31"/>
      <c r="E495" s="1"/>
      <c r="F495" s="1"/>
    </row>
    <row r="496" spans="3:6" ht="12.75" x14ac:dyDescent="0.2">
      <c r="C496" s="2"/>
      <c r="D496" s="31"/>
      <c r="E496" s="1"/>
      <c r="F496" s="1"/>
    </row>
    <row r="497" spans="3:6" ht="12.75" x14ac:dyDescent="0.2">
      <c r="C497" s="2"/>
      <c r="D497" s="31"/>
      <c r="E497" s="1"/>
      <c r="F497" s="1"/>
    </row>
    <row r="498" spans="3:6" ht="12.75" x14ac:dyDescent="0.2">
      <c r="C498" s="2"/>
      <c r="D498" s="31"/>
      <c r="E498" s="1"/>
      <c r="F498" s="1"/>
    </row>
    <row r="499" spans="3:6" ht="12.75" x14ac:dyDescent="0.2">
      <c r="C499" s="2"/>
      <c r="D499" s="31"/>
      <c r="E499" s="1"/>
      <c r="F499" s="1"/>
    </row>
    <row r="500" spans="3:6" ht="12.75" x14ac:dyDescent="0.2">
      <c r="C500" s="2"/>
      <c r="D500" s="31"/>
      <c r="E500" s="1"/>
      <c r="F500" s="1"/>
    </row>
    <row r="501" spans="3:6" ht="12.75" x14ac:dyDescent="0.2">
      <c r="C501" s="2"/>
      <c r="D501" s="31"/>
      <c r="E501" s="1"/>
      <c r="F501" s="1"/>
    </row>
    <row r="502" spans="3:6" ht="12.75" x14ac:dyDescent="0.2">
      <c r="C502" s="2"/>
      <c r="D502" s="31"/>
      <c r="E502" s="1"/>
      <c r="F502" s="1"/>
    </row>
    <row r="503" spans="3:6" ht="12.75" x14ac:dyDescent="0.2">
      <c r="C503" s="2"/>
      <c r="D503" s="31"/>
      <c r="E503" s="1"/>
      <c r="F503" s="1"/>
    </row>
    <row r="504" spans="3:6" ht="12.75" x14ac:dyDescent="0.2">
      <c r="C504" s="2"/>
      <c r="D504" s="31"/>
      <c r="E504" s="1"/>
      <c r="F504" s="1"/>
    </row>
    <row r="505" spans="3:6" ht="12.75" x14ac:dyDescent="0.2">
      <c r="C505" s="2"/>
      <c r="D505" s="31"/>
      <c r="E505" s="1"/>
      <c r="F505" s="1"/>
    </row>
    <row r="506" spans="3:6" ht="12.75" x14ac:dyDescent="0.2">
      <c r="C506" s="2"/>
      <c r="D506" s="31"/>
      <c r="E506" s="1"/>
      <c r="F506" s="1"/>
    </row>
    <row r="507" spans="3:6" ht="12.75" x14ac:dyDescent="0.2">
      <c r="C507" s="2"/>
      <c r="D507" s="31"/>
      <c r="E507" s="1"/>
      <c r="F507" s="1"/>
    </row>
    <row r="508" spans="3:6" ht="12.75" x14ac:dyDescent="0.2">
      <c r="C508" s="2"/>
      <c r="D508" s="31"/>
      <c r="E508" s="1"/>
      <c r="F508" s="1"/>
    </row>
    <row r="509" spans="3:6" ht="12.75" x14ac:dyDescent="0.2">
      <c r="C509" s="2"/>
      <c r="D509" s="31"/>
      <c r="E509" s="1"/>
      <c r="F509" s="1"/>
    </row>
    <row r="510" spans="3:6" ht="12.75" x14ac:dyDescent="0.2">
      <c r="C510" s="2"/>
      <c r="D510" s="31"/>
      <c r="E510" s="1"/>
      <c r="F510" s="1"/>
    </row>
    <row r="511" spans="3:6" ht="12.75" x14ac:dyDescent="0.2">
      <c r="C511" s="2"/>
      <c r="D511" s="31"/>
      <c r="E511" s="1"/>
      <c r="F511" s="1"/>
    </row>
    <row r="512" spans="3:6" ht="12.75" x14ac:dyDescent="0.2">
      <c r="C512" s="2"/>
      <c r="D512" s="31"/>
      <c r="E512" s="1"/>
      <c r="F512" s="1"/>
    </row>
    <row r="513" spans="3:6" ht="12.75" x14ac:dyDescent="0.2">
      <c r="C513" s="2"/>
      <c r="D513" s="31"/>
      <c r="E513" s="1"/>
      <c r="F513" s="1"/>
    </row>
    <row r="514" spans="3:6" ht="12.75" x14ac:dyDescent="0.2">
      <c r="C514" s="2"/>
      <c r="D514" s="31"/>
      <c r="E514" s="1"/>
      <c r="F514" s="1"/>
    </row>
    <row r="515" spans="3:6" ht="12.75" x14ac:dyDescent="0.2">
      <c r="C515" s="2"/>
      <c r="D515" s="31"/>
      <c r="E515" s="1"/>
      <c r="F515" s="1"/>
    </row>
    <row r="516" spans="3:6" ht="12.75" x14ac:dyDescent="0.2">
      <c r="C516" s="2"/>
      <c r="D516" s="31"/>
      <c r="E516" s="1"/>
      <c r="F516" s="1"/>
    </row>
    <row r="517" spans="3:6" ht="12.75" x14ac:dyDescent="0.2">
      <c r="C517" s="2"/>
      <c r="D517" s="31"/>
      <c r="E517" s="1"/>
      <c r="F517" s="1"/>
    </row>
    <row r="518" spans="3:6" ht="12.75" x14ac:dyDescent="0.2">
      <c r="C518" s="2"/>
      <c r="D518" s="31"/>
      <c r="E518" s="1"/>
      <c r="F518" s="1"/>
    </row>
    <row r="519" spans="3:6" ht="12.75" x14ac:dyDescent="0.2">
      <c r="C519" s="2"/>
      <c r="D519" s="31"/>
      <c r="E519" s="1"/>
      <c r="F519" s="1"/>
    </row>
    <row r="520" spans="3:6" ht="12.75" x14ac:dyDescent="0.2">
      <c r="C520" s="2"/>
      <c r="D520" s="31"/>
      <c r="E520" s="1"/>
      <c r="F520" s="1"/>
    </row>
    <row r="521" spans="3:6" ht="12.75" x14ac:dyDescent="0.2">
      <c r="C521" s="2"/>
      <c r="D521" s="31"/>
      <c r="E521" s="1"/>
      <c r="F521" s="1"/>
    </row>
    <row r="522" spans="3:6" ht="12.75" x14ac:dyDescent="0.2">
      <c r="C522" s="2"/>
      <c r="D522" s="31"/>
      <c r="E522" s="1"/>
      <c r="F522" s="1"/>
    </row>
    <row r="523" spans="3:6" ht="12.75" x14ac:dyDescent="0.2">
      <c r="C523" s="2"/>
      <c r="D523" s="31"/>
      <c r="E523" s="1"/>
      <c r="F523" s="1"/>
    </row>
    <row r="524" spans="3:6" ht="12.75" x14ac:dyDescent="0.2">
      <c r="C524" s="2"/>
      <c r="D524" s="31"/>
      <c r="E524" s="1"/>
      <c r="F524" s="1"/>
    </row>
    <row r="525" spans="3:6" ht="12.75" x14ac:dyDescent="0.2">
      <c r="C525" s="2"/>
      <c r="D525" s="31"/>
      <c r="E525" s="1"/>
      <c r="F525" s="1"/>
    </row>
    <row r="526" spans="3:6" ht="12.75" x14ac:dyDescent="0.2">
      <c r="C526" s="2"/>
      <c r="D526" s="31"/>
      <c r="E526" s="1"/>
      <c r="F526" s="1"/>
    </row>
    <row r="527" spans="3:6" ht="12.75" x14ac:dyDescent="0.2">
      <c r="C527" s="2"/>
      <c r="D527" s="31"/>
      <c r="E527" s="1"/>
      <c r="F527" s="1"/>
    </row>
    <row r="528" spans="3:6" ht="12.75" x14ac:dyDescent="0.2">
      <c r="C528" s="2"/>
      <c r="D528" s="31"/>
      <c r="E528" s="1"/>
      <c r="F528" s="1"/>
    </row>
    <row r="529" spans="3:6" ht="12.75" x14ac:dyDescent="0.2">
      <c r="C529" s="2"/>
      <c r="D529" s="31"/>
      <c r="E529" s="1"/>
      <c r="F529" s="1"/>
    </row>
    <row r="530" spans="3:6" ht="12.75" x14ac:dyDescent="0.2">
      <c r="C530" s="2"/>
      <c r="D530" s="31"/>
      <c r="E530" s="1"/>
      <c r="F530" s="1"/>
    </row>
    <row r="531" spans="3:6" ht="12.75" x14ac:dyDescent="0.2">
      <c r="C531" s="2"/>
      <c r="D531" s="31"/>
      <c r="E531" s="1"/>
      <c r="F531" s="1"/>
    </row>
    <row r="532" spans="3:6" ht="12.75" x14ac:dyDescent="0.2">
      <c r="C532" s="2"/>
      <c r="D532" s="31"/>
      <c r="E532" s="1"/>
      <c r="F532" s="1"/>
    </row>
    <row r="533" spans="3:6" ht="12.75" x14ac:dyDescent="0.2">
      <c r="C533" s="2"/>
      <c r="D533" s="31"/>
      <c r="E533" s="1"/>
      <c r="F533" s="1"/>
    </row>
    <row r="534" spans="3:6" ht="12.75" x14ac:dyDescent="0.2">
      <c r="C534" s="2"/>
      <c r="D534" s="31"/>
      <c r="E534" s="1"/>
      <c r="F534" s="1"/>
    </row>
    <row r="535" spans="3:6" ht="12.75" x14ac:dyDescent="0.2">
      <c r="C535" s="2"/>
      <c r="D535" s="31"/>
      <c r="E535" s="1"/>
      <c r="F535" s="1"/>
    </row>
    <row r="536" spans="3:6" ht="12.75" x14ac:dyDescent="0.2">
      <c r="C536" s="2"/>
      <c r="D536" s="31"/>
      <c r="E536" s="1"/>
      <c r="F536" s="1"/>
    </row>
    <row r="537" spans="3:6" ht="12.75" x14ac:dyDescent="0.2">
      <c r="C537" s="2"/>
      <c r="D537" s="31"/>
      <c r="E537" s="1"/>
      <c r="F537" s="1"/>
    </row>
    <row r="538" spans="3:6" ht="12.75" x14ac:dyDescent="0.2">
      <c r="C538" s="2"/>
      <c r="D538" s="31"/>
      <c r="E538" s="1"/>
      <c r="F538" s="1"/>
    </row>
    <row r="539" spans="3:6" ht="12.75" x14ac:dyDescent="0.2">
      <c r="C539" s="2"/>
      <c r="D539" s="31"/>
      <c r="E539" s="1"/>
      <c r="F539" s="1"/>
    </row>
    <row r="540" spans="3:6" ht="12.75" x14ac:dyDescent="0.2">
      <c r="C540" s="2"/>
      <c r="D540" s="31"/>
      <c r="E540" s="1"/>
      <c r="F540" s="1"/>
    </row>
    <row r="541" spans="3:6" ht="12.75" x14ac:dyDescent="0.2">
      <c r="C541" s="2"/>
      <c r="D541" s="31"/>
      <c r="E541" s="1"/>
      <c r="F541" s="1"/>
    </row>
    <row r="542" spans="3:6" ht="12.75" x14ac:dyDescent="0.2">
      <c r="C542" s="2"/>
      <c r="D542" s="31"/>
      <c r="E542" s="1"/>
      <c r="F542" s="1"/>
    </row>
    <row r="543" spans="3:6" ht="12.75" x14ac:dyDescent="0.2">
      <c r="C543" s="2"/>
      <c r="D543" s="31"/>
      <c r="E543" s="1"/>
      <c r="F543" s="1"/>
    </row>
    <row r="544" spans="3:6" ht="12.75" x14ac:dyDescent="0.2">
      <c r="C544" s="2"/>
      <c r="D544" s="31"/>
      <c r="E544" s="1"/>
      <c r="F544" s="1"/>
    </row>
    <row r="545" spans="3:6" ht="12.75" x14ac:dyDescent="0.2">
      <c r="C545" s="2"/>
      <c r="D545" s="31"/>
      <c r="E545" s="1"/>
      <c r="F545" s="1"/>
    </row>
    <row r="546" spans="3:6" ht="12.75" x14ac:dyDescent="0.2">
      <c r="C546" s="2"/>
      <c r="D546" s="31"/>
      <c r="E546" s="1"/>
      <c r="F546" s="1"/>
    </row>
    <row r="547" spans="3:6" ht="12.75" x14ac:dyDescent="0.2">
      <c r="C547" s="2"/>
      <c r="D547" s="31"/>
      <c r="E547" s="1"/>
      <c r="F547" s="1"/>
    </row>
    <row r="548" spans="3:6" ht="12.75" x14ac:dyDescent="0.2">
      <c r="C548" s="2"/>
      <c r="D548" s="31"/>
      <c r="E548" s="1"/>
      <c r="F548" s="1"/>
    </row>
    <row r="549" spans="3:6" ht="12.75" x14ac:dyDescent="0.2">
      <c r="C549" s="2"/>
      <c r="D549" s="31"/>
      <c r="E549" s="1"/>
      <c r="F549" s="1"/>
    </row>
    <row r="550" spans="3:6" ht="12.75" x14ac:dyDescent="0.2">
      <c r="C550" s="2"/>
      <c r="D550" s="31"/>
      <c r="E550" s="1"/>
      <c r="F550" s="1"/>
    </row>
    <row r="551" spans="3:6" ht="12.75" x14ac:dyDescent="0.2">
      <c r="C551" s="2"/>
      <c r="D551" s="31"/>
      <c r="E551" s="1"/>
      <c r="F551" s="1"/>
    </row>
    <row r="552" spans="3:6" ht="12.75" x14ac:dyDescent="0.2">
      <c r="C552" s="2"/>
      <c r="D552" s="31"/>
      <c r="E552" s="1"/>
      <c r="F552" s="1"/>
    </row>
    <row r="553" spans="3:6" ht="12.75" x14ac:dyDescent="0.2">
      <c r="C553" s="2"/>
      <c r="D553" s="31"/>
      <c r="E553" s="1"/>
      <c r="F553" s="1"/>
    </row>
    <row r="554" spans="3:6" ht="12.75" x14ac:dyDescent="0.2">
      <c r="C554" s="2"/>
      <c r="D554" s="31"/>
      <c r="E554" s="1"/>
      <c r="F554" s="1"/>
    </row>
    <row r="555" spans="3:6" ht="12.75" x14ac:dyDescent="0.2">
      <c r="C555" s="2"/>
      <c r="D555" s="31"/>
      <c r="E555" s="1"/>
      <c r="F555" s="1"/>
    </row>
    <row r="556" spans="3:6" ht="12.75" x14ac:dyDescent="0.2">
      <c r="C556" s="2"/>
      <c r="D556" s="31"/>
      <c r="E556" s="1"/>
      <c r="F556" s="1"/>
    </row>
    <row r="557" spans="3:6" ht="12.75" x14ac:dyDescent="0.2">
      <c r="C557" s="2"/>
      <c r="D557" s="31"/>
      <c r="E557" s="1"/>
      <c r="F557" s="1"/>
    </row>
    <row r="558" spans="3:6" ht="12.75" x14ac:dyDescent="0.2">
      <c r="C558" s="2"/>
      <c r="D558" s="31"/>
      <c r="E558" s="1"/>
      <c r="F558" s="1"/>
    </row>
    <row r="559" spans="3:6" ht="12.75" x14ac:dyDescent="0.2">
      <c r="C559" s="2"/>
      <c r="D559" s="31"/>
      <c r="E559" s="1"/>
      <c r="F559" s="1"/>
    </row>
    <row r="560" spans="3:6" ht="12.75" x14ac:dyDescent="0.2">
      <c r="C560" s="2"/>
      <c r="D560" s="31"/>
      <c r="E560" s="1"/>
      <c r="F560" s="1"/>
    </row>
    <row r="561" spans="3:6" ht="12.75" x14ac:dyDescent="0.2">
      <c r="C561" s="2"/>
      <c r="D561" s="31"/>
      <c r="E561" s="1"/>
      <c r="F561" s="1"/>
    </row>
    <row r="562" spans="3:6" ht="12.75" x14ac:dyDescent="0.2">
      <c r="C562" s="2"/>
      <c r="D562" s="31"/>
      <c r="E562" s="1"/>
      <c r="F562" s="1"/>
    </row>
    <row r="563" spans="3:6" ht="12.75" x14ac:dyDescent="0.2">
      <c r="C563" s="2"/>
      <c r="D563" s="31"/>
      <c r="E563" s="1"/>
      <c r="F563" s="1"/>
    </row>
    <row r="564" spans="3:6" ht="12.75" x14ac:dyDescent="0.2">
      <c r="C564" s="2"/>
      <c r="D564" s="31"/>
      <c r="E564" s="1"/>
      <c r="F564" s="1"/>
    </row>
    <row r="565" spans="3:6" ht="12.75" x14ac:dyDescent="0.2">
      <c r="C565" s="2"/>
      <c r="D565" s="31"/>
      <c r="E565" s="1"/>
      <c r="F565" s="1"/>
    </row>
    <row r="566" spans="3:6" ht="12.75" x14ac:dyDescent="0.2">
      <c r="C566" s="2"/>
      <c r="D566" s="31"/>
      <c r="E566" s="1"/>
      <c r="F566" s="1"/>
    </row>
    <row r="567" spans="3:6" ht="12.75" x14ac:dyDescent="0.2">
      <c r="C567" s="2"/>
      <c r="D567" s="31"/>
      <c r="E567" s="1"/>
      <c r="F567" s="1"/>
    </row>
    <row r="568" spans="3:6" ht="12.75" x14ac:dyDescent="0.2">
      <c r="C568" s="2"/>
      <c r="D568" s="31"/>
      <c r="E568" s="1"/>
      <c r="F568" s="1"/>
    </row>
    <row r="569" spans="3:6" ht="12.75" x14ac:dyDescent="0.2">
      <c r="C569" s="2"/>
      <c r="D569" s="31"/>
      <c r="E569" s="1"/>
      <c r="F569" s="1"/>
    </row>
    <row r="570" spans="3:6" ht="12.75" x14ac:dyDescent="0.2">
      <c r="C570" s="2"/>
      <c r="D570" s="31"/>
      <c r="E570" s="1"/>
      <c r="F570" s="1"/>
    </row>
    <row r="571" spans="3:6" ht="12.75" x14ac:dyDescent="0.2">
      <c r="C571" s="2"/>
      <c r="D571" s="31"/>
      <c r="E571" s="1"/>
      <c r="F571" s="1"/>
    </row>
    <row r="572" spans="3:6" ht="12.75" x14ac:dyDescent="0.2">
      <c r="C572" s="2"/>
      <c r="D572" s="31"/>
      <c r="E572" s="1"/>
      <c r="F572" s="1"/>
    </row>
    <row r="573" spans="3:6" ht="12.75" x14ac:dyDescent="0.2">
      <c r="C573" s="2"/>
      <c r="D573" s="31"/>
      <c r="E573" s="1"/>
      <c r="F573" s="1"/>
    </row>
    <row r="574" spans="3:6" ht="12.75" x14ac:dyDescent="0.2">
      <c r="C574" s="2"/>
      <c r="D574" s="31"/>
      <c r="E574" s="1"/>
      <c r="F574" s="1"/>
    </row>
    <row r="575" spans="3:6" ht="12.75" x14ac:dyDescent="0.2">
      <c r="C575" s="2"/>
      <c r="D575" s="31"/>
      <c r="E575" s="1"/>
      <c r="F575" s="1"/>
    </row>
    <row r="576" spans="3:6" ht="12.75" x14ac:dyDescent="0.2">
      <c r="C576" s="2"/>
      <c r="D576" s="31"/>
      <c r="E576" s="1"/>
      <c r="F576" s="1"/>
    </row>
    <row r="577" spans="3:6" ht="12.75" x14ac:dyDescent="0.2">
      <c r="C577" s="2"/>
      <c r="D577" s="31"/>
      <c r="E577" s="1"/>
      <c r="F577" s="1"/>
    </row>
    <row r="578" spans="3:6" ht="12.75" x14ac:dyDescent="0.2">
      <c r="C578" s="2"/>
      <c r="D578" s="31"/>
      <c r="E578" s="1"/>
      <c r="F578" s="1"/>
    </row>
    <row r="579" spans="3:6" ht="12.75" x14ac:dyDescent="0.2">
      <c r="C579" s="2"/>
      <c r="D579" s="31"/>
      <c r="E579" s="1"/>
      <c r="F579" s="1"/>
    </row>
    <row r="580" spans="3:6" ht="12.75" x14ac:dyDescent="0.2">
      <c r="C580" s="2"/>
      <c r="D580" s="31"/>
      <c r="E580" s="1"/>
      <c r="F580" s="1"/>
    </row>
    <row r="581" spans="3:6" ht="12.75" x14ac:dyDescent="0.2">
      <c r="C581" s="2"/>
      <c r="D581" s="31"/>
      <c r="E581" s="1"/>
      <c r="F581" s="1"/>
    </row>
    <row r="582" spans="3:6" ht="12.75" x14ac:dyDescent="0.2">
      <c r="C582" s="2"/>
      <c r="D582" s="31"/>
      <c r="E582" s="1"/>
      <c r="F582" s="1"/>
    </row>
    <row r="583" spans="3:6" ht="12.75" x14ac:dyDescent="0.2">
      <c r="C583" s="2"/>
      <c r="D583" s="31"/>
      <c r="E583" s="1"/>
      <c r="F583" s="1"/>
    </row>
    <row r="584" spans="3:6" ht="12.75" x14ac:dyDescent="0.2">
      <c r="C584" s="2"/>
      <c r="D584" s="31"/>
      <c r="E584" s="1"/>
      <c r="F584" s="1"/>
    </row>
    <row r="585" spans="3:6" ht="12.75" x14ac:dyDescent="0.2">
      <c r="C585" s="2"/>
      <c r="D585" s="31"/>
      <c r="E585" s="1"/>
      <c r="F585" s="1"/>
    </row>
    <row r="586" spans="3:6" ht="12.75" x14ac:dyDescent="0.2">
      <c r="C586" s="2"/>
      <c r="D586" s="31"/>
      <c r="E586" s="1"/>
      <c r="F586" s="1"/>
    </row>
    <row r="587" spans="3:6" ht="12.75" x14ac:dyDescent="0.2">
      <c r="C587" s="2"/>
      <c r="D587" s="31"/>
      <c r="E587" s="1"/>
      <c r="F587" s="1"/>
    </row>
    <row r="588" spans="3:6" ht="12.75" x14ac:dyDescent="0.2">
      <c r="C588" s="2"/>
      <c r="D588" s="31"/>
      <c r="E588" s="1"/>
      <c r="F588" s="1"/>
    </row>
    <row r="589" spans="3:6" ht="12.75" x14ac:dyDescent="0.2">
      <c r="C589" s="2"/>
      <c r="D589" s="31"/>
      <c r="E589" s="1"/>
      <c r="F589" s="1"/>
    </row>
    <row r="590" spans="3:6" ht="12.75" x14ac:dyDescent="0.2">
      <c r="C590" s="2"/>
      <c r="D590" s="31"/>
      <c r="E590" s="1"/>
      <c r="F590" s="1"/>
    </row>
    <row r="591" spans="3:6" ht="12.75" x14ac:dyDescent="0.2">
      <c r="C591" s="2"/>
      <c r="D591" s="31"/>
      <c r="E591" s="1"/>
      <c r="F591" s="1"/>
    </row>
    <row r="592" spans="3:6" ht="12.75" x14ac:dyDescent="0.2">
      <c r="C592" s="2"/>
      <c r="D592" s="31"/>
      <c r="E592" s="1"/>
      <c r="F592" s="1"/>
    </row>
    <row r="593" spans="3:6" ht="12.75" x14ac:dyDescent="0.2">
      <c r="C593" s="2"/>
      <c r="D593" s="31"/>
      <c r="E593" s="1"/>
      <c r="F593" s="1"/>
    </row>
    <row r="594" spans="3:6" ht="12.75" x14ac:dyDescent="0.2">
      <c r="C594" s="2"/>
      <c r="D594" s="31"/>
      <c r="E594" s="1"/>
      <c r="F594" s="1"/>
    </row>
    <row r="595" spans="3:6" ht="12.75" x14ac:dyDescent="0.2">
      <c r="C595" s="2"/>
      <c r="D595" s="31"/>
      <c r="E595" s="1"/>
      <c r="F595" s="1"/>
    </row>
    <row r="596" spans="3:6" ht="12.75" x14ac:dyDescent="0.2">
      <c r="C596" s="2"/>
      <c r="D596" s="31"/>
      <c r="E596" s="1"/>
      <c r="F596" s="1"/>
    </row>
    <row r="597" spans="3:6" ht="12.75" x14ac:dyDescent="0.2">
      <c r="C597" s="2"/>
      <c r="D597" s="31"/>
      <c r="E597" s="1"/>
      <c r="F597" s="1"/>
    </row>
    <row r="598" spans="3:6" ht="12.75" x14ac:dyDescent="0.2">
      <c r="C598" s="2"/>
      <c r="D598" s="31"/>
      <c r="E598" s="1"/>
      <c r="F598" s="1"/>
    </row>
    <row r="599" spans="3:6" ht="12.75" x14ac:dyDescent="0.2">
      <c r="C599" s="2"/>
      <c r="D599" s="31"/>
      <c r="E599" s="1"/>
      <c r="F599" s="1"/>
    </row>
    <row r="600" spans="3:6" ht="12.75" x14ac:dyDescent="0.2">
      <c r="C600" s="2"/>
      <c r="D600" s="31"/>
      <c r="E600" s="1"/>
      <c r="F600" s="1"/>
    </row>
    <row r="601" spans="3:6" ht="12.75" x14ac:dyDescent="0.2">
      <c r="C601" s="2"/>
      <c r="D601" s="31"/>
      <c r="E601" s="1"/>
      <c r="F601" s="1"/>
    </row>
    <row r="602" spans="3:6" ht="12.75" x14ac:dyDescent="0.2">
      <c r="C602" s="2"/>
      <c r="D602" s="31"/>
      <c r="E602" s="1"/>
      <c r="F602" s="1"/>
    </row>
    <row r="603" spans="3:6" ht="12.75" x14ac:dyDescent="0.2">
      <c r="C603" s="2"/>
      <c r="D603" s="31"/>
      <c r="E603" s="1"/>
      <c r="F603" s="1"/>
    </row>
    <row r="604" spans="3:6" ht="12.75" x14ac:dyDescent="0.2">
      <c r="C604" s="2"/>
      <c r="D604" s="31"/>
      <c r="E604" s="1"/>
      <c r="F604" s="1"/>
    </row>
    <row r="605" spans="3:6" ht="12.75" x14ac:dyDescent="0.2">
      <c r="C605" s="2"/>
      <c r="D605" s="31"/>
      <c r="E605" s="1"/>
      <c r="F605" s="1"/>
    </row>
    <row r="606" spans="3:6" ht="12.75" x14ac:dyDescent="0.2">
      <c r="C606" s="2"/>
      <c r="D606" s="31"/>
      <c r="E606" s="1"/>
      <c r="F606" s="1"/>
    </row>
    <row r="607" spans="3:6" ht="12.75" x14ac:dyDescent="0.2">
      <c r="C607" s="2"/>
      <c r="D607" s="31"/>
      <c r="E607" s="1"/>
      <c r="F607" s="1"/>
    </row>
    <row r="608" spans="3:6" ht="12.75" x14ac:dyDescent="0.2">
      <c r="C608" s="2"/>
      <c r="D608" s="31"/>
      <c r="E608" s="1"/>
      <c r="F608" s="1"/>
    </row>
    <row r="609" spans="3:6" ht="12.75" x14ac:dyDescent="0.2">
      <c r="C609" s="2"/>
      <c r="D609" s="31"/>
      <c r="E609" s="1"/>
      <c r="F609" s="1"/>
    </row>
    <row r="610" spans="3:6" ht="12.75" x14ac:dyDescent="0.2">
      <c r="C610" s="2"/>
      <c r="D610" s="31"/>
      <c r="E610" s="1"/>
      <c r="F610" s="1"/>
    </row>
    <row r="611" spans="3:6" ht="12.75" x14ac:dyDescent="0.2">
      <c r="C611" s="2"/>
      <c r="D611" s="31"/>
      <c r="E611" s="1"/>
      <c r="F611" s="1"/>
    </row>
    <row r="612" spans="3:6" ht="12.75" x14ac:dyDescent="0.2">
      <c r="C612" s="2"/>
      <c r="D612" s="31"/>
      <c r="E612" s="1"/>
      <c r="F612" s="1"/>
    </row>
    <row r="613" spans="3:6" ht="12.75" x14ac:dyDescent="0.2">
      <c r="C613" s="2"/>
      <c r="D613" s="31"/>
      <c r="E613" s="1"/>
      <c r="F613" s="1"/>
    </row>
    <row r="614" spans="3:6" ht="12.75" x14ac:dyDescent="0.2">
      <c r="C614" s="2"/>
      <c r="D614" s="31"/>
      <c r="E614" s="1"/>
      <c r="F614" s="1"/>
    </row>
    <row r="615" spans="3:6" ht="12.75" x14ac:dyDescent="0.2">
      <c r="C615" s="2"/>
      <c r="D615" s="31"/>
      <c r="E615" s="1"/>
      <c r="F615" s="1"/>
    </row>
    <row r="616" spans="3:6" ht="12.75" x14ac:dyDescent="0.2">
      <c r="C616" s="2"/>
      <c r="D616" s="31"/>
      <c r="E616" s="1"/>
      <c r="F616" s="1"/>
    </row>
    <row r="617" spans="3:6" ht="12.75" x14ac:dyDescent="0.2">
      <c r="C617" s="2"/>
      <c r="D617" s="31"/>
      <c r="E617" s="1"/>
      <c r="F617" s="1"/>
    </row>
    <row r="618" spans="3:6" ht="12.75" x14ac:dyDescent="0.2">
      <c r="C618" s="2"/>
      <c r="D618" s="31"/>
      <c r="E618" s="1"/>
      <c r="F618" s="1"/>
    </row>
    <row r="619" spans="3:6" ht="12.75" x14ac:dyDescent="0.2">
      <c r="C619" s="2"/>
      <c r="D619" s="31"/>
      <c r="E619" s="1"/>
      <c r="F619" s="1"/>
    </row>
    <row r="620" spans="3:6" ht="12.75" x14ac:dyDescent="0.2">
      <c r="C620" s="2"/>
      <c r="D620" s="31"/>
      <c r="E620" s="1"/>
      <c r="F620" s="1"/>
    </row>
    <row r="621" spans="3:6" ht="12.75" x14ac:dyDescent="0.2">
      <c r="C621" s="2"/>
      <c r="D621" s="31"/>
      <c r="E621" s="1"/>
      <c r="F621" s="1"/>
    </row>
    <row r="622" spans="3:6" ht="12.75" x14ac:dyDescent="0.2">
      <c r="C622" s="2"/>
      <c r="D622" s="31"/>
      <c r="E622" s="1"/>
      <c r="F622" s="1"/>
    </row>
    <row r="623" spans="3:6" ht="12.75" x14ac:dyDescent="0.2">
      <c r="C623" s="2"/>
      <c r="D623" s="31"/>
      <c r="E623" s="1"/>
      <c r="F623" s="1"/>
    </row>
    <row r="624" spans="3:6" ht="12.75" x14ac:dyDescent="0.2">
      <c r="C624" s="2"/>
      <c r="D624" s="31"/>
      <c r="E624" s="1"/>
      <c r="F624" s="1"/>
    </row>
    <row r="625" spans="3:6" ht="12.75" x14ac:dyDescent="0.2">
      <c r="C625" s="2"/>
      <c r="D625" s="31"/>
      <c r="E625" s="1"/>
      <c r="F625" s="1"/>
    </row>
    <row r="626" spans="3:6" ht="12.75" x14ac:dyDescent="0.2">
      <c r="C626" s="2"/>
      <c r="D626" s="31"/>
      <c r="E626" s="1"/>
      <c r="F626" s="1"/>
    </row>
    <row r="627" spans="3:6" ht="12.75" x14ac:dyDescent="0.2">
      <c r="C627" s="2"/>
      <c r="D627" s="31"/>
      <c r="E627" s="1"/>
      <c r="F627" s="1"/>
    </row>
    <row r="628" spans="3:6" ht="12.75" x14ac:dyDescent="0.2">
      <c r="C628" s="2"/>
      <c r="D628" s="31"/>
      <c r="E628" s="1"/>
      <c r="F628" s="1"/>
    </row>
    <row r="629" spans="3:6" ht="12.75" x14ac:dyDescent="0.2">
      <c r="C629" s="2"/>
      <c r="D629" s="31"/>
      <c r="E629" s="1"/>
      <c r="F629" s="1"/>
    </row>
    <row r="630" spans="3:6" ht="12.75" x14ac:dyDescent="0.2">
      <c r="C630" s="2"/>
      <c r="D630" s="31"/>
      <c r="E630" s="1"/>
      <c r="F630" s="1"/>
    </row>
    <row r="631" spans="3:6" ht="12.75" x14ac:dyDescent="0.2">
      <c r="C631" s="2"/>
      <c r="D631" s="31"/>
      <c r="E631" s="1"/>
      <c r="F631" s="1"/>
    </row>
    <row r="632" spans="3:6" ht="12.75" x14ac:dyDescent="0.2">
      <c r="C632" s="2"/>
      <c r="D632" s="31"/>
      <c r="E632" s="1"/>
      <c r="F632" s="1"/>
    </row>
    <row r="633" spans="3:6" ht="12.75" x14ac:dyDescent="0.2">
      <c r="C633" s="2"/>
      <c r="D633" s="31"/>
      <c r="E633" s="1"/>
      <c r="F633" s="1"/>
    </row>
    <row r="634" spans="3:6" ht="12.75" x14ac:dyDescent="0.2">
      <c r="C634" s="2"/>
      <c r="D634" s="31"/>
      <c r="E634" s="1"/>
      <c r="F634" s="1"/>
    </row>
    <row r="635" spans="3:6" ht="12.75" x14ac:dyDescent="0.2">
      <c r="C635" s="2"/>
      <c r="D635" s="31"/>
      <c r="E635" s="1"/>
      <c r="F635" s="1"/>
    </row>
    <row r="636" spans="3:6" ht="12.75" x14ac:dyDescent="0.2">
      <c r="C636" s="2"/>
      <c r="D636" s="31"/>
      <c r="E636" s="1"/>
      <c r="F636" s="1"/>
    </row>
    <row r="637" spans="3:6" ht="12.75" x14ac:dyDescent="0.2">
      <c r="C637" s="2"/>
      <c r="D637" s="31"/>
      <c r="E637" s="1"/>
      <c r="F637" s="1"/>
    </row>
    <row r="638" spans="3:6" ht="12.75" x14ac:dyDescent="0.2">
      <c r="C638" s="2"/>
      <c r="D638" s="31"/>
      <c r="E638" s="1"/>
      <c r="F638" s="1"/>
    </row>
    <row r="639" spans="3:6" ht="12.75" x14ac:dyDescent="0.2">
      <c r="C639" s="2"/>
      <c r="D639" s="31"/>
      <c r="E639" s="1"/>
      <c r="F639" s="1"/>
    </row>
    <row r="640" spans="3:6" ht="12.75" x14ac:dyDescent="0.2">
      <c r="C640" s="2"/>
      <c r="D640" s="31"/>
      <c r="E640" s="1"/>
      <c r="F640" s="1"/>
    </row>
    <row r="641" spans="3:6" ht="12.75" x14ac:dyDescent="0.2">
      <c r="C641" s="2"/>
      <c r="D641" s="31"/>
      <c r="E641" s="1"/>
      <c r="F641" s="1"/>
    </row>
    <row r="642" spans="3:6" ht="12.75" x14ac:dyDescent="0.2">
      <c r="C642" s="2"/>
      <c r="D642" s="31"/>
      <c r="E642" s="1"/>
      <c r="F642" s="1"/>
    </row>
    <row r="643" spans="3:6" ht="12.75" x14ac:dyDescent="0.2">
      <c r="C643" s="2"/>
      <c r="D643" s="31"/>
      <c r="E643" s="1"/>
      <c r="F643" s="1"/>
    </row>
    <row r="644" spans="3:6" ht="12.75" x14ac:dyDescent="0.2">
      <c r="C644" s="2"/>
      <c r="D644" s="31"/>
      <c r="E644" s="1"/>
      <c r="F644" s="1"/>
    </row>
    <row r="645" spans="3:6" ht="12.75" x14ac:dyDescent="0.2">
      <c r="C645" s="2"/>
      <c r="D645" s="31"/>
      <c r="E645" s="1"/>
      <c r="F645" s="1"/>
    </row>
    <row r="646" spans="3:6" ht="12.75" x14ac:dyDescent="0.2">
      <c r="C646" s="2"/>
      <c r="D646" s="31"/>
      <c r="E646" s="1"/>
      <c r="F646" s="1"/>
    </row>
    <row r="647" spans="3:6" ht="12.75" x14ac:dyDescent="0.2">
      <c r="C647" s="2"/>
      <c r="D647" s="31"/>
      <c r="E647" s="1"/>
      <c r="F647" s="1"/>
    </row>
    <row r="648" spans="3:6" ht="12.75" x14ac:dyDescent="0.2">
      <c r="C648" s="2"/>
      <c r="D648" s="31"/>
      <c r="E648" s="1"/>
      <c r="F648" s="1"/>
    </row>
    <row r="649" spans="3:6" ht="12.75" x14ac:dyDescent="0.2">
      <c r="C649" s="2"/>
      <c r="D649" s="31"/>
      <c r="E649" s="1"/>
      <c r="F649" s="1"/>
    </row>
    <row r="650" spans="3:6" ht="12.75" x14ac:dyDescent="0.2">
      <c r="C650" s="2"/>
      <c r="D650" s="31"/>
      <c r="E650" s="1"/>
      <c r="F650" s="1"/>
    </row>
    <row r="651" spans="3:6" ht="12.75" x14ac:dyDescent="0.2">
      <c r="C651" s="2"/>
      <c r="D651" s="31"/>
      <c r="E651" s="1"/>
      <c r="F651" s="1"/>
    </row>
    <row r="652" spans="3:6" ht="12.75" x14ac:dyDescent="0.2">
      <c r="C652" s="2"/>
      <c r="D652" s="31"/>
      <c r="E652" s="1"/>
      <c r="F652" s="1"/>
    </row>
    <row r="653" spans="3:6" ht="12.75" x14ac:dyDescent="0.2">
      <c r="C653" s="2"/>
      <c r="D653" s="31"/>
      <c r="E653" s="1"/>
      <c r="F653" s="1"/>
    </row>
    <row r="654" spans="3:6" ht="12.75" x14ac:dyDescent="0.2">
      <c r="C654" s="2"/>
      <c r="D654" s="31"/>
      <c r="E654" s="1"/>
      <c r="F654" s="1"/>
    </row>
    <row r="655" spans="3:6" ht="12.75" x14ac:dyDescent="0.2">
      <c r="C655" s="2"/>
      <c r="D655" s="31"/>
      <c r="E655" s="1"/>
      <c r="F655" s="1"/>
    </row>
    <row r="656" spans="3:6" ht="12.75" x14ac:dyDescent="0.2">
      <c r="C656" s="2"/>
      <c r="D656" s="31"/>
      <c r="E656" s="1"/>
      <c r="F656" s="1"/>
    </row>
    <row r="657" spans="3:6" ht="12.75" x14ac:dyDescent="0.2">
      <c r="C657" s="2"/>
      <c r="D657" s="31"/>
      <c r="E657" s="1"/>
      <c r="F657" s="1"/>
    </row>
    <row r="658" spans="3:6" ht="12.75" x14ac:dyDescent="0.2">
      <c r="C658" s="2"/>
      <c r="D658" s="31"/>
      <c r="E658" s="1"/>
      <c r="F658" s="1"/>
    </row>
    <row r="659" spans="3:6" ht="12.75" x14ac:dyDescent="0.2">
      <c r="C659" s="2"/>
      <c r="D659" s="31"/>
      <c r="E659" s="1"/>
      <c r="F659" s="1"/>
    </row>
    <row r="660" spans="3:6" ht="12.75" x14ac:dyDescent="0.2">
      <c r="C660" s="2"/>
      <c r="D660" s="31"/>
      <c r="E660" s="1"/>
      <c r="F660" s="1"/>
    </row>
    <row r="661" spans="3:6" ht="12.75" x14ac:dyDescent="0.2">
      <c r="C661" s="2"/>
      <c r="D661" s="31"/>
      <c r="E661" s="1"/>
      <c r="F661" s="1"/>
    </row>
    <row r="662" spans="3:6" ht="12.75" x14ac:dyDescent="0.2">
      <c r="C662" s="2"/>
      <c r="D662" s="31"/>
      <c r="E662" s="1"/>
      <c r="F662" s="1"/>
    </row>
    <row r="663" spans="3:6" ht="12.75" x14ac:dyDescent="0.2">
      <c r="C663" s="2"/>
      <c r="D663" s="31"/>
      <c r="E663" s="1"/>
      <c r="F663" s="1"/>
    </row>
    <row r="664" spans="3:6" ht="12.75" x14ac:dyDescent="0.2">
      <c r="C664" s="2"/>
      <c r="D664" s="31"/>
      <c r="E664" s="1"/>
      <c r="F664" s="1"/>
    </row>
    <row r="665" spans="3:6" ht="12.75" x14ac:dyDescent="0.2">
      <c r="C665" s="2"/>
      <c r="D665" s="31"/>
      <c r="E665" s="1"/>
      <c r="F665" s="1"/>
    </row>
    <row r="666" spans="3:6" ht="12.75" x14ac:dyDescent="0.2">
      <c r="C666" s="2"/>
      <c r="D666" s="31"/>
      <c r="E666" s="1"/>
      <c r="F666" s="1"/>
    </row>
    <row r="667" spans="3:6" ht="12.75" x14ac:dyDescent="0.2">
      <c r="C667" s="2"/>
      <c r="D667" s="31"/>
      <c r="E667" s="1"/>
      <c r="F667" s="1"/>
    </row>
    <row r="668" spans="3:6" ht="12.75" x14ac:dyDescent="0.2">
      <c r="C668" s="2"/>
      <c r="D668" s="31"/>
      <c r="E668" s="1"/>
      <c r="F668" s="1"/>
    </row>
    <row r="669" spans="3:6" ht="12.75" x14ac:dyDescent="0.2">
      <c r="C669" s="2"/>
      <c r="D669" s="31"/>
      <c r="E669" s="1"/>
      <c r="F669" s="1"/>
    </row>
    <row r="670" spans="3:6" ht="12.75" x14ac:dyDescent="0.2">
      <c r="C670" s="2"/>
      <c r="D670" s="31"/>
      <c r="E670" s="1"/>
      <c r="F670" s="1"/>
    </row>
    <row r="671" spans="3:6" ht="12.75" x14ac:dyDescent="0.2">
      <c r="C671" s="2"/>
      <c r="D671" s="31"/>
      <c r="E671" s="1"/>
      <c r="F671" s="1"/>
    </row>
    <row r="672" spans="3:6" ht="12.75" x14ac:dyDescent="0.2">
      <c r="C672" s="2"/>
      <c r="D672" s="31"/>
      <c r="E672" s="1"/>
      <c r="F672" s="1"/>
    </row>
    <row r="673" spans="3:6" ht="12.75" x14ac:dyDescent="0.2">
      <c r="C673" s="2"/>
      <c r="D673" s="31"/>
      <c r="E673" s="1"/>
      <c r="F673" s="1"/>
    </row>
    <row r="674" spans="3:6" ht="12.75" x14ac:dyDescent="0.2">
      <c r="C674" s="2"/>
      <c r="D674" s="31"/>
      <c r="E674" s="1"/>
      <c r="F674" s="1"/>
    </row>
    <row r="675" spans="3:6" ht="12.75" x14ac:dyDescent="0.2">
      <c r="C675" s="2"/>
      <c r="D675" s="31"/>
      <c r="E675" s="1"/>
      <c r="F675" s="1"/>
    </row>
    <row r="676" spans="3:6" ht="12.75" x14ac:dyDescent="0.2">
      <c r="C676" s="2"/>
      <c r="D676" s="31"/>
      <c r="E676" s="1"/>
      <c r="F676" s="1"/>
    </row>
    <row r="677" spans="3:6" ht="12.75" x14ac:dyDescent="0.2">
      <c r="C677" s="2"/>
      <c r="D677" s="31"/>
      <c r="E677" s="1"/>
      <c r="F677" s="1"/>
    </row>
    <row r="678" spans="3:6" ht="12.75" x14ac:dyDescent="0.2">
      <c r="C678" s="2"/>
      <c r="D678" s="31"/>
      <c r="E678" s="1"/>
      <c r="F678" s="1"/>
    </row>
    <row r="679" spans="3:6" ht="12.75" x14ac:dyDescent="0.2">
      <c r="C679" s="2"/>
      <c r="D679" s="31"/>
      <c r="E679" s="1"/>
      <c r="F679" s="1"/>
    </row>
    <row r="680" spans="3:6" ht="12.75" x14ac:dyDescent="0.2">
      <c r="C680" s="2"/>
      <c r="D680" s="31"/>
      <c r="E680" s="1"/>
      <c r="F680" s="1"/>
    </row>
    <row r="681" spans="3:6" ht="12.75" x14ac:dyDescent="0.2">
      <c r="C681" s="2"/>
      <c r="D681" s="31"/>
      <c r="E681" s="1"/>
      <c r="F681" s="1"/>
    </row>
    <row r="682" spans="3:6" ht="12.75" x14ac:dyDescent="0.2">
      <c r="C682" s="2"/>
      <c r="D682" s="31"/>
      <c r="E682" s="1"/>
      <c r="F682" s="1"/>
    </row>
    <row r="683" spans="3:6" ht="12.75" x14ac:dyDescent="0.2">
      <c r="C683" s="2"/>
      <c r="D683" s="31"/>
      <c r="E683" s="1"/>
      <c r="F683" s="1"/>
    </row>
    <row r="684" spans="3:6" ht="12.75" x14ac:dyDescent="0.2">
      <c r="C684" s="2"/>
      <c r="D684" s="31"/>
      <c r="E684" s="1"/>
      <c r="F684" s="1"/>
    </row>
    <row r="685" spans="3:6" ht="12.75" x14ac:dyDescent="0.2">
      <c r="C685" s="2"/>
      <c r="D685" s="31"/>
      <c r="E685" s="1"/>
      <c r="F685" s="1"/>
    </row>
    <row r="686" spans="3:6" ht="12.75" x14ac:dyDescent="0.2">
      <c r="C686" s="2"/>
      <c r="D686" s="31"/>
      <c r="E686" s="1"/>
      <c r="F686" s="1"/>
    </row>
    <row r="687" spans="3:6" ht="12.75" x14ac:dyDescent="0.2">
      <c r="C687" s="2"/>
      <c r="D687" s="31"/>
      <c r="E687" s="1"/>
      <c r="F687" s="1"/>
    </row>
    <row r="688" spans="3:6" ht="12.75" x14ac:dyDescent="0.2">
      <c r="C688" s="2"/>
      <c r="D688" s="31"/>
      <c r="E688" s="1"/>
      <c r="F688" s="1"/>
    </row>
    <row r="689" spans="3:6" ht="12.75" x14ac:dyDescent="0.2">
      <c r="C689" s="2"/>
      <c r="D689" s="31"/>
      <c r="E689" s="1"/>
      <c r="F689" s="1"/>
    </row>
    <row r="690" spans="3:6" ht="12.75" x14ac:dyDescent="0.2">
      <c r="C690" s="2"/>
      <c r="D690" s="31"/>
      <c r="E690" s="1"/>
      <c r="F690" s="1"/>
    </row>
    <row r="691" spans="3:6" ht="12.75" x14ac:dyDescent="0.2">
      <c r="C691" s="2"/>
      <c r="D691" s="31"/>
      <c r="E691" s="1"/>
      <c r="F691" s="1"/>
    </row>
    <row r="692" spans="3:6" ht="12.75" x14ac:dyDescent="0.2">
      <c r="C692" s="2"/>
      <c r="D692" s="31"/>
      <c r="E692" s="1"/>
      <c r="F692" s="1"/>
    </row>
    <row r="693" spans="3:6" ht="12.75" x14ac:dyDescent="0.2">
      <c r="C693" s="2"/>
      <c r="D693" s="31"/>
      <c r="E693" s="1"/>
      <c r="F693" s="1"/>
    </row>
    <row r="694" spans="3:6" ht="12.75" x14ac:dyDescent="0.2">
      <c r="C694" s="2"/>
      <c r="D694" s="31"/>
      <c r="E694" s="1"/>
      <c r="F694" s="1"/>
    </row>
    <row r="695" spans="3:6" ht="12.75" x14ac:dyDescent="0.2">
      <c r="C695" s="2"/>
      <c r="D695" s="31"/>
      <c r="E695" s="1"/>
      <c r="F695" s="1"/>
    </row>
    <row r="696" spans="3:6" ht="12.75" x14ac:dyDescent="0.2">
      <c r="C696" s="2"/>
      <c r="D696" s="31"/>
      <c r="E696" s="1"/>
      <c r="F696" s="1"/>
    </row>
    <row r="697" spans="3:6" ht="12.75" x14ac:dyDescent="0.2">
      <c r="C697" s="2"/>
      <c r="D697" s="31"/>
      <c r="E697" s="1"/>
      <c r="F697" s="1"/>
    </row>
    <row r="698" spans="3:6" ht="12.75" x14ac:dyDescent="0.2">
      <c r="C698" s="2"/>
      <c r="D698" s="31"/>
      <c r="E698" s="1"/>
      <c r="F698" s="1"/>
    </row>
    <row r="699" spans="3:6" ht="12.75" x14ac:dyDescent="0.2">
      <c r="C699" s="2"/>
      <c r="D699" s="31"/>
      <c r="E699" s="1"/>
      <c r="F699" s="1"/>
    </row>
    <row r="700" spans="3:6" ht="12.75" x14ac:dyDescent="0.2">
      <c r="C700" s="2"/>
      <c r="D700" s="31"/>
      <c r="E700" s="1"/>
      <c r="F700" s="1"/>
    </row>
    <row r="701" spans="3:6" ht="12.75" x14ac:dyDescent="0.2">
      <c r="C701" s="2"/>
      <c r="D701" s="31"/>
      <c r="E701" s="1"/>
      <c r="F701" s="1"/>
    </row>
    <row r="702" spans="3:6" ht="12.75" x14ac:dyDescent="0.2">
      <c r="C702" s="2"/>
      <c r="D702" s="31"/>
      <c r="E702" s="1"/>
      <c r="F702" s="1"/>
    </row>
    <row r="703" spans="3:6" ht="12.75" x14ac:dyDescent="0.2">
      <c r="C703" s="2"/>
      <c r="D703" s="31"/>
      <c r="E703" s="1"/>
      <c r="F703" s="1"/>
    </row>
    <row r="704" spans="3:6" ht="12.75" x14ac:dyDescent="0.2">
      <c r="C704" s="2"/>
      <c r="D704" s="31"/>
      <c r="E704" s="1"/>
      <c r="F704" s="1"/>
    </row>
    <row r="705" spans="3:6" ht="12.75" x14ac:dyDescent="0.2">
      <c r="C705" s="2"/>
      <c r="D705" s="31"/>
      <c r="E705" s="1"/>
      <c r="F705" s="1"/>
    </row>
    <row r="706" spans="3:6" ht="12.75" x14ac:dyDescent="0.2">
      <c r="C706" s="2"/>
      <c r="D706" s="31"/>
      <c r="E706" s="1"/>
      <c r="F706" s="1"/>
    </row>
    <row r="707" spans="3:6" ht="12.75" x14ac:dyDescent="0.2">
      <c r="C707" s="2"/>
      <c r="D707" s="31"/>
      <c r="E707" s="1"/>
      <c r="F707" s="1"/>
    </row>
    <row r="708" spans="3:6" ht="12.75" x14ac:dyDescent="0.2">
      <c r="C708" s="2"/>
      <c r="D708" s="31"/>
      <c r="E708" s="1"/>
      <c r="F708" s="1"/>
    </row>
    <row r="709" spans="3:6" ht="12.75" x14ac:dyDescent="0.2">
      <c r="C709" s="2"/>
      <c r="D709" s="31"/>
      <c r="E709" s="1"/>
      <c r="F709" s="1"/>
    </row>
    <row r="710" spans="3:6" ht="12.75" x14ac:dyDescent="0.2">
      <c r="C710" s="2"/>
      <c r="D710" s="31"/>
      <c r="E710" s="1"/>
      <c r="F710" s="1"/>
    </row>
    <row r="711" spans="3:6" ht="12.75" x14ac:dyDescent="0.2">
      <c r="C711" s="2"/>
      <c r="D711" s="31"/>
      <c r="E711" s="1"/>
      <c r="F711" s="1"/>
    </row>
    <row r="712" spans="3:6" ht="12.75" x14ac:dyDescent="0.2">
      <c r="C712" s="2"/>
      <c r="D712" s="31"/>
      <c r="E712" s="1"/>
      <c r="F712" s="1"/>
    </row>
    <row r="713" spans="3:6" ht="12.75" x14ac:dyDescent="0.2">
      <c r="C713" s="2"/>
      <c r="D713" s="31"/>
      <c r="E713" s="1"/>
      <c r="F713" s="1"/>
    </row>
    <row r="714" spans="3:6" ht="12.75" x14ac:dyDescent="0.2">
      <c r="C714" s="2"/>
      <c r="D714" s="31"/>
      <c r="E714" s="1"/>
      <c r="F714" s="1"/>
    </row>
    <row r="715" spans="3:6" ht="12.75" x14ac:dyDescent="0.2">
      <c r="C715" s="2"/>
      <c r="D715" s="31"/>
      <c r="E715" s="1"/>
      <c r="F715" s="1"/>
    </row>
    <row r="716" spans="3:6" ht="12.75" x14ac:dyDescent="0.2">
      <c r="C716" s="2"/>
      <c r="D716" s="31"/>
      <c r="E716" s="1"/>
      <c r="F716" s="1"/>
    </row>
    <row r="717" spans="3:6" ht="12.75" x14ac:dyDescent="0.2">
      <c r="C717" s="2"/>
      <c r="D717" s="31"/>
      <c r="E717" s="1"/>
      <c r="F717" s="1"/>
    </row>
    <row r="718" spans="3:6" ht="12.75" x14ac:dyDescent="0.2">
      <c r="C718" s="2"/>
      <c r="D718" s="31"/>
      <c r="E718" s="1"/>
      <c r="F718" s="1"/>
    </row>
    <row r="719" spans="3:6" ht="12.75" x14ac:dyDescent="0.2">
      <c r="C719" s="2"/>
      <c r="D719" s="31"/>
      <c r="E719" s="1"/>
      <c r="F719" s="1"/>
    </row>
    <row r="720" spans="3:6" ht="12.75" x14ac:dyDescent="0.2">
      <c r="C720" s="2"/>
      <c r="D720" s="31"/>
      <c r="E720" s="1"/>
      <c r="F720" s="1"/>
    </row>
    <row r="721" spans="3:6" ht="12.75" x14ac:dyDescent="0.2">
      <c r="C721" s="2"/>
      <c r="D721" s="31"/>
      <c r="E721" s="1"/>
      <c r="F721" s="1"/>
    </row>
    <row r="722" spans="3:6" ht="12.75" x14ac:dyDescent="0.2">
      <c r="C722" s="2"/>
      <c r="D722" s="31"/>
      <c r="E722" s="1"/>
      <c r="F722" s="1"/>
    </row>
    <row r="723" spans="3:6" ht="12.75" x14ac:dyDescent="0.2">
      <c r="C723" s="2"/>
      <c r="D723" s="31"/>
      <c r="E723" s="1"/>
      <c r="F723" s="1"/>
    </row>
    <row r="724" spans="3:6" ht="12.75" x14ac:dyDescent="0.2">
      <c r="C724" s="2"/>
      <c r="D724" s="31"/>
      <c r="E724" s="1"/>
      <c r="F724" s="1"/>
    </row>
    <row r="725" spans="3:6" ht="12.75" x14ac:dyDescent="0.2">
      <c r="C725" s="2"/>
      <c r="D725" s="31"/>
      <c r="E725" s="1"/>
      <c r="F725" s="1"/>
    </row>
    <row r="726" spans="3:6" ht="12.75" x14ac:dyDescent="0.2">
      <c r="C726" s="2"/>
      <c r="D726" s="31"/>
      <c r="E726" s="1"/>
      <c r="F726" s="1"/>
    </row>
    <row r="727" spans="3:6" ht="12.75" x14ac:dyDescent="0.2">
      <c r="C727" s="2"/>
      <c r="D727" s="31"/>
      <c r="E727" s="1"/>
      <c r="F727" s="1"/>
    </row>
    <row r="728" spans="3:6" ht="12.75" x14ac:dyDescent="0.2">
      <c r="C728" s="2"/>
      <c r="D728" s="31"/>
      <c r="E728" s="1"/>
      <c r="F728" s="1"/>
    </row>
    <row r="729" spans="3:6" ht="12.75" x14ac:dyDescent="0.2">
      <c r="C729" s="2"/>
      <c r="D729" s="31"/>
      <c r="E729" s="1"/>
      <c r="F729" s="1"/>
    </row>
    <row r="730" spans="3:6" ht="12.75" x14ac:dyDescent="0.2">
      <c r="C730" s="2"/>
      <c r="D730" s="31"/>
      <c r="E730" s="1"/>
      <c r="F730" s="1"/>
    </row>
    <row r="731" spans="3:6" ht="12.75" x14ac:dyDescent="0.2">
      <c r="C731" s="2"/>
      <c r="D731" s="31"/>
      <c r="E731" s="1"/>
      <c r="F731" s="1"/>
    </row>
    <row r="732" spans="3:6" ht="12.75" x14ac:dyDescent="0.2">
      <c r="C732" s="2"/>
      <c r="D732" s="31"/>
      <c r="E732" s="1"/>
      <c r="F732" s="1"/>
    </row>
    <row r="733" spans="3:6" ht="12.75" x14ac:dyDescent="0.2">
      <c r="C733" s="2"/>
      <c r="D733" s="31"/>
      <c r="E733" s="1"/>
      <c r="F733" s="1"/>
    </row>
    <row r="734" spans="3:6" ht="12.75" x14ac:dyDescent="0.2">
      <c r="C734" s="2"/>
      <c r="D734" s="31"/>
      <c r="E734" s="1"/>
      <c r="F734" s="1"/>
    </row>
    <row r="735" spans="3:6" ht="12.75" x14ac:dyDescent="0.2">
      <c r="C735" s="2"/>
      <c r="D735" s="31"/>
      <c r="E735" s="1"/>
      <c r="F735" s="1"/>
    </row>
    <row r="736" spans="3:6" ht="12.75" x14ac:dyDescent="0.2">
      <c r="C736" s="2"/>
      <c r="D736" s="31"/>
      <c r="E736" s="1"/>
      <c r="F736" s="1"/>
    </row>
    <row r="737" spans="3:6" ht="12.75" x14ac:dyDescent="0.2">
      <c r="C737" s="2"/>
      <c r="D737" s="31"/>
      <c r="E737" s="1"/>
      <c r="F737" s="1"/>
    </row>
    <row r="738" spans="3:6" ht="12.75" x14ac:dyDescent="0.2">
      <c r="C738" s="2"/>
      <c r="D738" s="31"/>
      <c r="E738" s="1"/>
      <c r="F738" s="1"/>
    </row>
    <row r="739" spans="3:6" ht="12.75" x14ac:dyDescent="0.2">
      <c r="C739" s="2"/>
      <c r="D739" s="31"/>
      <c r="E739" s="1"/>
      <c r="F739" s="1"/>
    </row>
    <row r="740" spans="3:6" ht="12.75" x14ac:dyDescent="0.2">
      <c r="C740" s="2"/>
      <c r="D740" s="31"/>
      <c r="E740" s="1"/>
      <c r="F740" s="1"/>
    </row>
    <row r="741" spans="3:6" ht="12.75" x14ac:dyDescent="0.2">
      <c r="C741" s="2"/>
      <c r="D741" s="31"/>
      <c r="E741" s="1"/>
      <c r="F741" s="1"/>
    </row>
    <row r="742" spans="3:6" ht="12.75" x14ac:dyDescent="0.2">
      <c r="C742" s="2"/>
      <c r="D742" s="31"/>
      <c r="E742" s="1"/>
      <c r="F742" s="1"/>
    </row>
    <row r="743" spans="3:6" ht="12.75" x14ac:dyDescent="0.2">
      <c r="C743" s="2"/>
      <c r="D743" s="31"/>
      <c r="E743" s="1"/>
      <c r="F743" s="1"/>
    </row>
    <row r="744" spans="3:6" ht="12.75" x14ac:dyDescent="0.2">
      <c r="C744" s="2"/>
      <c r="D744" s="31"/>
      <c r="E744" s="1"/>
      <c r="F744" s="1"/>
    </row>
    <row r="745" spans="3:6" ht="12.75" x14ac:dyDescent="0.2">
      <c r="C745" s="2"/>
      <c r="D745" s="31"/>
      <c r="E745" s="1"/>
      <c r="F745" s="1"/>
    </row>
    <row r="746" spans="3:6" ht="12.75" x14ac:dyDescent="0.2">
      <c r="C746" s="2"/>
      <c r="D746" s="31"/>
      <c r="E746" s="1"/>
      <c r="F746" s="1"/>
    </row>
    <row r="747" spans="3:6" ht="12.75" x14ac:dyDescent="0.2">
      <c r="C747" s="2"/>
      <c r="D747" s="31"/>
      <c r="E747" s="1"/>
      <c r="F747" s="1"/>
    </row>
    <row r="748" spans="3:6" ht="12.75" x14ac:dyDescent="0.2">
      <c r="C748" s="2"/>
      <c r="D748" s="31"/>
      <c r="E748" s="1"/>
      <c r="F748" s="1"/>
    </row>
    <row r="749" spans="3:6" ht="12.75" x14ac:dyDescent="0.2">
      <c r="C749" s="2"/>
      <c r="D749" s="31"/>
      <c r="E749" s="1"/>
      <c r="F749" s="1"/>
    </row>
    <row r="750" spans="3:6" ht="12.75" x14ac:dyDescent="0.2">
      <c r="C750" s="2"/>
      <c r="D750" s="31"/>
      <c r="E750" s="1"/>
      <c r="F750" s="1"/>
    </row>
    <row r="751" spans="3:6" ht="12.75" x14ac:dyDescent="0.2">
      <c r="C751" s="2"/>
      <c r="D751" s="31"/>
      <c r="E751" s="1"/>
      <c r="F751" s="1"/>
    </row>
    <row r="752" spans="3:6" ht="12.75" x14ac:dyDescent="0.2">
      <c r="C752" s="2"/>
      <c r="D752" s="31"/>
      <c r="E752" s="1"/>
      <c r="F752" s="1"/>
    </row>
    <row r="753" spans="3:6" ht="12.75" x14ac:dyDescent="0.2">
      <c r="C753" s="2"/>
      <c r="D753" s="31"/>
      <c r="E753" s="1"/>
      <c r="F753" s="1"/>
    </row>
    <row r="754" spans="3:6" ht="12.75" x14ac:dyDescent="0.2">
      <c r="C754" s="2"/>
      <c r="D754" s="31"/>
      <c r="E754" s="1"/>
      <c r="F754" s="1"/>
    </row>
    <row r="755" spans="3:6" ht="12.75" x14ac:dyDescent="0.2">
      <c r="C755" s="2"/>
      <c r="D755" s="31"/>
      <c r="E755" s="1"/>
      <c r="F755" s="1"/>
    </row>
    <row r="756" spans="3:6" ht="12.75" x14ac:dyDescent="0.2">
      <c r="C756" s="2"/>
      <c r="D756" s="31"/>
      <c r="E756" s="1"/>
      <c r="F756" s="1"/>
    </row>
    <row r="757" spans="3:6" ht="12.75" x14ac:dyDescent="0.2">
      <c r="C757" s="2"/>
      <c r="D757" s="31"/>
      <c r="E757" s="1"/>
      <c r="F757" s="1"/>
    </row>
    <row r="758" spans="3:6" ht="12.75" x14ac:dyDescent="0.2">
      <c r="C758" s="2"/>
      <c r="D758" s="31"/>
      <c r="E758" s="1"/>
      <c r="F758" s="1"/>
    </row>
    <row r="759" spans="3:6" ht="12.75" x14ac:dyDescent="0.2">
      <c r="C759" s="2"/>
      <c r="D759" s="31"/>
      <c r="E759" s="1"/>
      <c r="F759" s="1"/>
    </row>
    <row r="760" spans="3:6" ht="12.75" x14ac:dyDescent="0.2">
      <c r="C760" s="2"/>
      <c r="D760" s="31"/>
      <c r="E760" s="1"/>
      <c r="F760" s="1"/>
    </row>
    <row r="761" spans="3:6" ht="12.75" x14ac:dyDescent="0.2">
      <c r="C761" s="2"/>
      <c r="D761" s="31"/>
      <c r="E761" s="1"/>
      <c r="F761" s="1"/>
    </row>
    <row r="762" spans="3:6" ht="12.75" x14ac:dyDescent="0.2">
      <c r="C762" s="2"/>
      <c r="D762" s="31"/>
      <c r="E762" s="1"/>
      <c r="F762" s="1"/>
    </row>
    <row r="763" spans="3:6" ht="12.75" x14ac:dyDescent="0.2">
      <c r="C763" s="2"/>
      <c r="D763" s="31"/>
      <c r="E763" s="1"/>
      <c r="F763" s="1"/>
    </row>
    <row r="764" spans="3:6" ht="12.75" x14ac:dyDescent="0.2">
      <c r="C764" s="2"/>
      <c r="D764" s="31"/>
      <c r="E764" s="1"/>
      <c r="F764" s="1"/>
    </row>
    <row r="765" spans="3:6" ht="12.75" x14ac:dyDescent="0.2">
      <c r="C765" s="2"/>
      <c r="D765" s="31"/>
      <c r="E765" s="1"/>
      <c r="F765" s="1"/>
    </row>
    <row r="766" spans="3:6" ht="12.75" x14ac:dyDescent="0.2">
      <c r="C766" s="2"/>
      <c r="D766" s="31"/>
      <c r="E766" s="1"/>
      <c r="F766" s="1"/>
    </row>
    <row r="767" spans="3:6" ht="12.75" x14ac:dyDescent="0.2">
      <c r="C767" s="2"/>
      <c r="D767" s="31"/>
      <c r="E767" s="1"/>
      <c r="F767" s="1"/>
    </row>
    <row r="768" spans="3:6" ht="12.75" x14ac:dyDescent="0.2">
      <c r="C768" s="2"/>
      <c r="D768" s="31"/>
      <c r="E768" s="1"/>
      <c r="F768" s="1"/>
    </row>
    <row r="769" spans="3:6" ht="12.75" x14ac:dyDescent="0.2">
      <c r="C769" s="2"/>
      <c r="D769" s="31"/>
      <c r="E769" s="1"/>
      <c r="F769" s="1"/>
    </row>
    <row r="770" spans="3:6" ht="12.75" x14ac:dyDescent="0.2">
      <c r="C770" s="2"/>
      <c r="D770" s="31"/>
      <c r="E770" s="1"/>
      <c r="F770" s="1"/>
    </row>
    <row r="771" spans="3:6" ht="12.75" x14ac:dyDescent="0.2">
      <c r="C771" s="2"/>
      <c r="D771" s="31"/>
      <c r="E771" s="1"/>
      <c r="F771" s="1"/>
    </row>
    <row r="772" spans="3:6" ht="12.75" x14ac:dyDescent="0.2">
      <c r="C772" s="2"/>
      <c r="D772" s="31"/>
      <c r="E772" s="1"/>
      <c r="F772" s="1"/>
    </row>
    <row r="773" spans="3:6" ht="12.75" x14ac:dyDescent="0.2">
      <c r="C773" s="2"/>
      <c r="D773" s="31"/>
      <c r="E773" s="1"/>
      <c r="F773" s="1"/>
    </row>
    <row r="774" spans="3:6" ht="12.75" x14ac:dyDescent="0.2">
      <c r="C774" s="2"/>
      <c r="D774" s="31"/>
      <c r="E774" s="1"/>
      <c r="F774" s="1"/>
    </row>
    <row r="775" spans="3:6" ht="12.75" x14ac:dyDescent="0.2">
      <c r="C775" s="2"/>
      <c r="D775" s="31"/>
      <c r="E775" s="1"/>
      <c r="F775" s="1"/>
    </row>
    <row r="776" spans="3:6" ht="12.75" x14ac:dyDescent="0.2">
      <c r="C776" s="2"/>
      <c r="D776" s="31"/>
      <c r="E776" s="1"/>
      <c r="F776" s="1"/>
    </row>
    <row r="777" spans="3:6" ht="12.75" x14ac:dyDescent="0.2">
      <c r="C777" s="2"/>
      <c r="D777" s="31"/>
      <c r="E777" s="1"/>
      <c r="F777" s="1"/>
    </row>
    <row r="778" spans="3:6" ht="12.75" x14ac:dyDescent="0.2">
      <c r="C778" s="2"/>
      <c r="D778" s="31"/>
      <c r="E778" s="1"/>
      <c r="F778" s="1"/>
    </row>
    <row r="779" spans="3:6" ht="12.75" x14ac:dyDescent="0.2">
      <c r="C779" s="2"/>
      <c r="D779" s="31"/>
      <c r="E779" s="1"/>
      <c r="F779" s="1"/>
    </row>
    <row r="780" spans="3:6" ht="12.75" x14ac:dyDescent="0.2">
      <c r="C780" s="2"/>
      <c r="D780" s="31"/>
      <c r="E780" s="1"/>
      <c r="F780" s="1"/>
    </row>
    <row r="781" spans="3:6" ht="12.75" x14ac:dyDescent="0.2">
      <c r="C781" s="2"/>
      <c r="D781" s="31"/>
      <c r="E781" s="1"/>
      <c r="F781" s="1"/>
    </row>
    <row r="782" spans="3:6" ht="12.75" x14ac:dyDescent="0.2">
      <c r="C782" s="2"/>
      <c r="D782" s="31"/>
      <c r="E782" s="1"/>
      <c r="F782" s="1"/>
    </row>
    <row r="783" spans="3:6" ht="12.75" x14ac:dyDescent="0.2">
      <c r="C783" s="2"/>
      <c r="D783" s="31"/>
      <c r="E783" s="1"/>
      <c r="F783" s="1"/>
    </row>
    <row r="784" spans="3:6" ht="12.75" x14ac:dyDescent="0.2">
      <c r="C784" s="2"/>
      <c r="D784" s="31"/>
      <c r="E784" s="1"/>
      <c r="F784" s="1"/>
    </row>
    <row r="785" spans="3:6" ht="12.75" x14ac:dyDescent="0.2">
      <c r="C785" s="2"/>
      <c r="D785" s="31"/>
      <c r="E785" s="1"/>
      <c r="F785" s="1"/>
    </row>
    <row r="786" spans="3:6" ht="12.75" x14ac:dyDescent="0.2">
      <c r="C786" s="2"/>
      <c r="D786" s="31"/>
      <c r="E786" s="1"/>
      <c r="F786" s="1"/>
    </row>
    <row r="787" spans="3:6" ht="12.75" x14ac:dyDescent="0.2">
      <c r="C787" s="2"/>
      <c r="D787" s="31"/>
      <c r="E787" s="1"/>
      <c r="F787" s="1"/>
    </row>
    <row r="788" spans="3:6" ht="12.75" x14ac:dyDescent="0.2">
      <c r="C788" s="2"/>
      <c r="D788" s="31"/>
      <c r="E788" s="1"/>
      <c r="F788" s="1"/>
    </row>
    <row r="789" spans="3:6" ht="12.75" x14ac:dyDescent="0.2">
      <c r="C789" s="2"/>
      <c r="D789" s="31"/>
      <c r="E789" s="1"/>
      <c r="F789" s="1"/>
    </row>
    <row r="790" spans="3:6" ht="12.75" x14ac:dyDescent="0.2">
      <c r="C790" s="2"/>
      <c r="D790" s="31"/>
      <c r="E790" s="1"/>
      <c r="F790" s="1"/>
    </row>
    <row r="791" spans="3:6" ht="12.75" x14ac:dyDescent="0.2">
      <c r="C791" s="2"/>
      <c r="D791" s="31"/>
      <c r="E791" s="1"/>
      <c r="F791" s="1"/>
    </row>
    <row r="792" spans="3:6" ht="12.75" x14ac:dyDescent="0.2">
      <c r="C792" s="2"/>
      <c r="D792" s="31"/>
      <c r="E792" s="1"/>
      <c r="F792" s="1"/>
    </row>
    <row r="793" spans="3:6" ht="12.75" x14ac:dyDescent="0.2">
      <c r="C793" s="2"/>
      <c r="D793" s="31"/>
      <c r="E793" s="1"/>
      <c r="F793" s="1"/>
    </row>
    <row r="794" spans="3:6" ht="12.75" x14ac:dyDescent="0.2">
      <c r="C794" s="2"/>
      <c r="D794" s="31"/>
      <c r="E794" s="1"/>
      <c r="F794" s="1"/>
    </row>
    <row r="795" spans="3:6" ht="12.75" x14ac:dyDescent="0.2">
      <c r="C795" s="2"/>
      <c r="D795" s="31"/>
      <c r="E795" s="1"/>
      <c r="F795" s="1"/>
    </row>
    <row r="796" spans="3:6" ht="12.75" x14ac:dyDescent="0.2">
      <c r="C796" s="2"/>
      <c r="D796" s="31"/>
      <c r="E796" s="1"/>
      <c r="F796" s="1"/>
    </row>
    <row r="797" spans="3:6" ht="12.75" x14ac:dyDescent="0.2">
      <c r="C797" s="2"/>
      <c r="D797" s="31"/>
      <c r="E797" s="1"/>
      <c r="F797" s="1"/>
    </row>
    <row r="798" spans="3:6" ht="12.75" x14ac:dyDescent="0.2">
      <c r="C798" s="2"/>
      <c r="D798" s="31"/>
      <c r="E798" s="1"/>
      <c r="F798" s="1"/>
    </row>
    <row r="799" spans="3:6" ht="12.75" x14ac:dyDescent="0.2">
      <c r="C799" s="2"/>
      <c r="D799" s="31"/>
      <c r="E799" s="1"/>
      <c r="F799" s="1"/>
    </row>
    <row r="800" spans="3:6" ht="12.75" x14ac:dyDescent="0.2">
      <c r="C800" s="2"/>
      <c r="D800" s="31"/>
      <c r="E800" s="1"/>
      <c r="F800" s="1"/>
    </row>
    <row r="801" spans="3:6" ht="12.75" x14ac:dyDescent="0.2">
      <c r="C801" s="2"/>
      <c r="D801" s="31"/>
      <c r="E801" s="1"/>
      <c r="F801" s="1"/>
    </row>
    <row r="802" spans="3:6" ht="12.75" x14ac:dyDescent="0.2">
      <c r="C802" s="2"/>
      <c r="D802" s="31"/>
      <c r="E802" s="1"/>
      <c r="F802" s="1"/>
    </row>
    <row r="803" spans="3:6" ht="12.75" x14ac:dyDescent="0.2">
      <c r="C803" s="2"/>
      <c r="D803" s="31"/>
      <c r="E803" s="1"/>
      <c r="F803" s="1"/>
    </row>
    <row r="804" spans="3:6" ht="12.75" x14ac:dyDescent="0.2">
      <c r="C804" s="2"/>
      <c r="D804" s="31"/>
      <c r="E804" s="1"/>
      <c r="F804" s="1"/>
    </row>
    <row r="805" spans="3:6" ht="12.75" x14ac:dyDescent="0.2">
      <c r="C805" s="2"/>
      <c r="D805" s="31"/>
      <c r="E805" s="1"/>
      <c r="F805" s="1"/>
    </row>
    <row r="806" spans="3:6" ht="12.75" x14ac:dyDescent="0.2">
      <c r="C806" s="2"/>
      <c r="D806" s="31"/>
      <c r="E806" s="1"/>
      <c r="F806" s="1"/>
    </row>
    <row r="807" spans="3:6" ht="12.75" x14ac:dyDescent="0.2">
      <c r="C807" s="2"/>
      <c r="D807" s="31"/>
      <c r="E807" s="1"/>
      <c r="F807" s="1"/>
    </row>
    <row r="808" spans="3:6" ht="12.75" x14ac:dyDescent="0.2">
      <c r="C808" s="2"/>
      <c r="D808" s="31"/>
      <c r="E808" s="1"/>
      <c r="F808" s="1"/>
    </row>
    <row r="809" spans="3:6" ht="12.75" x14ac:dyDescent="0.2">
      <c r="C809" s="2"/>
      <c r="D809" s="31"/>
      <c r="E809" s="1"/>
      <c r="F809" s="1"/>
    </row>
    <row r="810" spans="3:6" ht="12.75" x14ac:dyDescent="0.2">
      <c r="C810" s="2"/>
      <c r="D810" s="31"/>
      <c r="E810" s="1"/>
      <c r="F810" s="1"/>
    </row>
    <row r="811" spans="3:6" ht="12.75" x14ac:dyDescent="0.2">
      <c r="C811" s="2"/>
      <c r="D811" s="31"/>
      <c r="E811" s="1"/>
      <c r="F811" s="1"/>
    </row>
    <row r="812" spans="3:6" ht="12.75" x14ac:dyDescent="0.2">
      <c r="C812" s="2"/>
      <c r="D812" s="31"/>
      <c r="E812" s="1"/>
      <c r="F812" s="1"/>
    </row>
    <row r="813" spans="3:6" ht="12.75" x14ac:dyDescent="0.2">
      <c r="C813" s="2"/>
      <c r="D813" s="31"/>
      <c r="E813" s="1"/>
      <c r="F813" s="1"/>
    </row>
    <row r="814" spans="3:6" ht="12.75" x14ac:dyDescent="0.2">
      <c r="C814" s="2"/>
      <c r="D814" s="31"/>
      <c r="E814" s="1"/>
      <c r="F814" s="1"/>
    </row>
    <row r="815" spans="3:6" ht="12.75" x14ac:dyDescent="0.2">
      <c r="C815" s="2"/>
      <c r="D815" s="31"/>
      <c r="E815" s="1"/>
      <c r="F815" s="1"/>
    </row>
    <row r="816" spans="3:6" ht="12.75" x14ac:dyDescent="0.2">
      <c r="C816" s="2"/>
      <c r="D816" s="31"/>
      <c r="E816" s="1"/>
      <c r="F816" s="1"/>
    </row>
    <row r="817" spans="3:6" ht="12.75" x14ac:dyDescent="0.2">
      <c r="C817" s="2"/>
      <c r="D817" s="31"/>
      <c r="E817" s="1"/>
      <c r="F817" s="1"/>
    </row>
    <row r="818" spans="3:6" ht="12.75" x14ac:dyDescent="0.2">
      <c r="C818" s="2"/>
      <c r="D818" s="31"/>
      <c r="E818" s="1"/>
      <c r="F818" s="1"/>
    </row>
    <row r="819" spans="3:6" ht="12.75" x14ac:dyDescent="0.2">
      <c r="C819" s="2"/>
      <c r="D819" s="31"/>
      <c r="E819" s="1"/>
      <c r="F819" s="1"/>
    </row>
    <row r="820" spans="3:6" ht="12.75" x14ac:dyDescent="0.2">
      <c r="C820" s="2"/>
      <c r="D820" s="31"/>
      <c r="E820" s="1"/>
      <c r="F820" s="1"/>
    </row>
    <row r="821" spans="3:6" ht="12.75" x14ac:dyDescent="0.2">
      <c r="C821" s="2"/>
      <c r="D821" s="31"/>
      <c r="E821" s="1"/>
      <c r="F821" s="1"/>
    </row>
    <row r="822" spans="3:6" ht="12.75" x14ac:dyDescent="0.2">
      <c r="C822" s="2"/>
      <c r="D822" s="31"/>
      <c r="E822" s="1"/>
      <c r="F822" s="1"/>
    </row>
    <row r="823" spans="3:6" ht="12.75" x14ac:dyDescent="0.2">
      <c r="C823" s="2"/>
      <c r="D823" s="31"/>
      <c r="E823" s="1"/>
      <c r="F823" s="1"/>
    </row>
    <row r="824" spans="3:6" ht="12.75" x14ac:dyDescent="0.2">
      <c r="C824" s="2"/>
      <c r="D824" s="31"/>
      <c r="E824" s="1"/>
      <c r="F824" s="1"/>
    </row>
    <row r="825" spans="3:6" ht="12.75" x14ac:dyDescent="0.2">
      <c r="C825" s="2"/>
      <c r="D825" s="31"/>
      <c r="E825" s="1"/>
      <c r="F825" s="1"/>
    </row>
    <row r="826" spans="3:6" ht="12.75" x14ac:dyDescent="0.2">
      <c r="C826" s="2"/>
      <c r="D826" s="31"/>
      <c r="E826" s="1"/>
      <c r="F826" s="1"/>
    </row>
    <row r="827" spans="3:6" ht="12.75" x14ac:dyDescent="0.2">
      <c r="C827" s="2"/>
      <c r="D827" s="31"/>
      <c r="E827" s="1"/>
      <c r="F827" s="1"/>
    </row>
    <row r="828" spans="3:6" ht="12.75" x14ac:dyDescent="0.2">
      <c r="C828" s="2"/>
      <c r="D828" s="31"/>
      <c r="E828" s="1"/>
      <c r="F828" s="1"/>
    </row>
    <row r="829" spans="3:6" ht="12.75" x14ac:dyDescent="0.2">
      <c r="C829" s="2"/>
      <c r="D829" s="31"/>
      <c r="E829" s="1"/>
      <c r="F829" s="1"/>
    </row>
    <row r="830" spans="3:6" ht="12.75" x14ac:dyDescent="0.2">
      <c r="C830" s="2"/>
      <c r="D830" s="31"/>
      <c r="E830" s="1"/>
      <c r="F830" s="1"/>
    </row>
    <row r="831" spans="3:6" ht="12.75" x14ac:dyDescent="0.2">
      <c r="C831" s="2"/>
      <c r="D831" s="31"/>
      <c r="E831" s="1"/>
      <c r="F831" s="1"/>
    </row>
    <row r="832" spans="3:6" ht="12.75" x14ac:dyDescent="0.2">
      <c r="C832" s="2"/>
      <c r="D832" s="31"/>
      <c r="E832" s="1"/>
      <c r="F832" s="1"/>
    </row>
    <row r="833" spans="3:6" ht="12.75" x14ac:dyDescent="0.2">
      <c r="C833" s="2"/>
      <c r="D833" s="31"/>
      <c r="E833" s="1"/>
      <c r="F833" s="1"/>
    </row>
    <row r="834" spans="3:6" ht="12.75" x14ac:dyDescent="0.2">
      <c r="C834" s="2"/>
      <c r="D834" s="31"/>
      <c r="E834" s="1"/>
      <c r="F834" s="1"/>
    </row>
    <row r="835" spans="3:6" ht="12.75" x14ac:dyDescent="0.2">
      <c r="C835" s="2"/>
      <c r="D835" s="31"/>
      <c r="E835" s="1"/>
      <c r="F835" s="1"/>
    </row>
    <row r="836" spans="3:6" ht="12.75" x14ac:dyDescent="0.2">
      <c r="C836" s="2"/>
      <c r="D836" s="31"/>
      <c r="E836" s="1"/>
      <c r="F836" s="1"/>
    </row>
    <row r="837" spans="3:6" ht="12.75" x14ac:dyDescent="0.2">
      <c r="C837" s="2"/>
      <c r="D837" s="31"/>
      <c r="E837" s="1"/>
      <c r="F837" s="1"/>
    </row>
    <row r="838" spans="3:6" ht="12.75" x14ac:dyDescent="0.2">
      <c r="C838" s="2"/>
      <c r="D838" s="31"/>
      <c r="E838" s="1"/>
      <c r="F838" s="1"/>
    </row>
    <row r="839" spans="3:6" ht="12.75" x14ac:dyDescent="0.2">
      <c r="C839" s="2"/>
      <c r="D839" s="31"/>
      <c r="E839" s="1"/>
      <c r="F839" s="1"/>
    </row>
    <row r="840" spans="3:6" ht="12.75" x14ac:dyDescent="0.2">
      <c r="C840" s="2"/>
      <c r="D840" s="31"/>
      <c r="E840" s="1"/>
      <c r="F840" s="1"/>
    </row>
    <row r="841" spans="3:6" ht="12.75" x14ac:dyDescent="0.2">
      <c r="C841" s="2"/>
      <c r="D841" s="31"/>
      <c r="E841" s="1"/>
      <c r="F841" s="1"/>
    </row>
    <row r="842" spans="3:6" ht="12.75" x14ac:dyDescent="0.2">
      <c r="C842" s="2"/>
      <c r="D842" s="31"/>
      <c r="E842" s="1"/>
      <c r="F842" s="1"/>
    </row>
    <row r="843" spans="3:6" ht="12.75" x14ac:dyDescent="0.2">
      <c r="C843" s="2"/>
      <c r="D843" s="31"/>
      <c r="E843" s="1"/>
      <c r="F843" s="1"/>
    </row>
    <row r="844" spans="3:6" ht="12.75" x14ac:dyDescent="0.2">
      <c r="C844" s="2"/>
      <c r="D844" s="31"/>
      <c r="E844" s="1"/>
      <c r="F844" s="1"/>
    </row>
    <row r="845" spans="3:6" ht="12.75" x14ac:dyDescent="0.2">
      <c r="C845" s="2"/>
      <c r="D845" s="31"/>
      <c r="E845" s="1"/>
      <c r="F845" s="1"/>
    </row>
    <row r="846" spans="3:6" ht="12.75" x14ac:dyDescent="0.2">
      <c r="C846" s="2"/>
      <c r="D846" s="31"/>
      <c r="E846" s="1"/>
      <c r="F846" s="1"/>
    </row>
    <row r="847" spans="3:6" ht="12.75" x14ac:dyDescent="0.2">
      <c r="C847" s="2"/>
      <c r="D847" s="31"/>
      <c r="E847" s="1"/>
      <c r="F847" s="1"/>
    </row>
    <row r="848" spans="3:6" ht="12.75" x14ac:dyDescent="0.2">
      <c r="C848" s="2"/>
      <c r="D848" s="31"/>
      <c r="E848" s="1"/>
      <c r="F848" s="1"/>
    </row>
    <row r="849" spans="3:6" ht="12.75" x14ac:dyDescent="0.2">
      <c r="C849" s="2"/>
      <c r="D849" s="31"/>
      <c r="E849" s="1"/>
      <c r="F849" s="1"/>
    </row>
    <row r="850" spans="3:6" ht="12.75" x14ac:dyDescent="0.2">
      <c r="C850" s="2"/>
      <c r="D850" s="31"/>
      <c r="E850" s="1"/>
      <c r="F850" s="1"/>
    </row>
    <row r="851" spans="3:6" ht="12.75" x14ac:dyDescent="0.2">
      <c r="C851" s="2"/>
      <c r="D851" s="31"/>
      <c r="E851" s="1"/>
      <c r="F851" s="1"/>
    </row>
    <row r="852" spans="3:6" ht="12.75" x14ac:dyDescent="0.2">
      <c r="C852" s="2"/>
      <c r="D852" s="31"/>
      <c r="E852" s="1"/>
      <c r="F852" s="1"/>
    </row>
    <row r="853" spans="3:6" ht="12.75" x14ac:dyDescent="0.2">
      <c r="C853" s="2"/>
      <c r="D853" s="31"/>
      <c r="E853" s="1"/>
      <c r="F853" s="1"/>
    </row>
    <row r="854" spans="3:6" ht="12.75" x14ac:dyDescent="0.2">
      <c r="C854" s="2"/>
      <c r="D854" s="31"/>
      <c r="E854" s="1"/>
      <c r="F854" s="1"/>
    </row>
    <row r="855" spans="3:6" ht="12.75" x14ac:dyDescent="0.2">
      <c r="C855" s="2"/>
      <c r="D855" s="31"/>
      <c r="E855" s="1"/>
      <c r="F855" s="1"/>
    </row>
    <row r="856" spans="3:6" ht="12.75" x14ac:dyDescent="0.2">
      <c r="C856" s="2"/>
      <c r="D856" s="31"/>
      <c r="E856" s="1"/>
      <c r="F856" s="1"/>
    </row>
    <row r="857" spans="3:6" ht="12.75" x14ac:dyDescent="0.2">
      <c r="C857" s="2"/>
      <c r="D857" s="31"/>
      <c r="E857" s="1"/>
      <c r="F857" s="1"/>
    </row>
    <row r="858" spans="3:6" ht="12.75" x14ac:dyDescent="0.2">
      <c r="C858" s="2"/>
      <c r="D858" s="31"/>
      <c r="E858" s="1"/>
      <c r="F858" s="1"/>
    </row>
    <row r="859" spans="3:6" ht="12.75" x14ac:dyDescent="0.2">
      <c r="C859" s="2"/>
      <c r="D859" s="31"/>
      <c r="E859" s="1"/>
      <c r="F859" s="1"/>
    </row>
    <row r="860" spans="3:6" ht="12.75" x14ac:dyDescent="0.2">
      <c r="C860" s="2"/>
      <c r="D860" s="31"/>
      <c r="E860" s="1"/>
      <c r="F860" s="1"/>
    </row>
    <row r="861" spans="3:6" ht="12.75" x14ac:dyDescent="0.2">
      <c r="C861" s="2"/>
      <c r="D861" s="31"/>
      <c r="E861" s="1"/>
      <c r="F861" s="1"/>
    </row>
    <row r="862" spans="3:6" ht="12.75" x14ac:dyDescent="0.2">
      <c r="C862" s="2"/>
      <c r="D862" s="31"/>
      <c r="E862" s="1"/>
      <c r="F862" s="1"/>
    </row>
    <row r="863" spans="3:6" ht="12.75" x14ac:dyDescent="0.2">
      <c r="C863" s="2"/>
      <c r="D863" s="31"/>
      <c r="E863" s="1"/>
      <c r="F863" s="1"/>
    </row>
    <row r="864" spans="3:6" ht="12.75" x14ac:dyDescent="0.2">
      <c r="C864" s="2"/>
      <c r="D864" s="31"/>
      <c r="E864" s="1"/>
      <c r="F864" s="1"/>
    </row>
    <row r="865" spans="3:6" ht="12.75" x14ac:dyDescent="0.2">
      <c r="C865" s="2"/>
      <c r="D865" s="31"/>
      <c r="E865" s="1"/>
      <c r="F865" s="1"/>
    </row>
    <row r="866" spans="3:6" ht="12.75" x14ac:dyDescent="0.2">
      <c r="C866" s="2"/>
      <c r="D866" s="31"/>
      <c r="E866" s="1"/>
      <c r="F866" s="1"/>
    </row>
    <row r="867" spans="3:6" ht="12.75" x14ac:dyDescent="0.2">
      <c r="C867" s="2"/>
      <c r="D867" s="31"/>
      <c r="E867" s="1"/>
      <c r="F867" s="1"/>
    </row>
    <row r="868" spans="3:6" ht="12.75" x14ac:dyDescent="0.2">
      <c r="C868" s="2"/>
      <c r="D868" s="31"/>
      <c r="E868" s="1"/>
      <c r="F868" s="1"/>
    </row>
    <row r="869" spans="3:6" ht="12.75" x14ac:dyDescent="0.2">
      <c r="C869" s="2"/>
      <c r="D869" s="31"/>
      <c r="E869" s="1"/>
      <c r="F869" s="1"/>
    </row>
    <row r="870" spans="3:6" ht="12.75" x14ac:dyDescent="0.2">
      <c r="C870" s="2"/>
      <c r="D870" s="31"/>
      <c r="E870" s="1"/>
      <c r="F870" s="1"/>
    </row>
    <row r="871" spans="3:6" ht="12.75" x14ac:dyDescent="0.2">
      <c r="C871" s="2"/>
      <c r="D871" s="31"/>
      <c r="E871" s="1"/>
      <c r="F871" s="1"/>
    </row>
    <row r="872" spans="3:6" ht="12.75" x14ac:dyDescent="0.2">
      <c r="C872" s="2"/>
      <c r="D872" s="31"/>
      <c r="E872" s="1"/>
      <c r="F872" s="1"/>
    </row>
    <row r="873" spans="3:6" ht="12.75" x14ac:dyDescent="0.2">
      <c r="C873" s="2"/>
      <c r="D873" s="31"/>
      <c r="E873" s="1"/>
      <c r="F873" s="1"/>
    </row>
    <row r="874" spans="3:6" ht="12.75" x14ac:dyDescent="0.2">
      <c r="C874" s="2"/>
      <c r="D874" s="31"/>
      <c r="E874" s="1"/>
      <c r="F874" s="1"/>
    </row>
    <row r="875" spans="3:6" ht="12.75" x14ac:dyDescent="0.2">
      <c r="C875" s="2"/>
      <c r="D875" s="31"/>
      <c r="E875" s="1"/>
      <c r="F875" s="1"/>
    </row>
    <row r="876" spans="3:6" ht="12.75" x14ac:dyDescent="0.2">
      <c r="C876" s="2"/>
      <c r="D876" s="31"/>
      <c r="E876" s="1"/>
      <c r="F876" s="1"/>
    </row>
    <row r="877" spans="3:6" ht="12.75" x14ac:dyDescent="0.2">
      <c r="C877" s="2"/>
      <c r="D877" s="31"/>
      <c r="E877" s="1"/>
      <c r="F877" s="1"/>
    </row>
    <row r="878" spans="3:6" ht="12.75" x14ac:dyDescent="0.2">
      <c r="C878" s="2"/>
      <c r="D878" s="31"/>
      <c r="E878" s="1"/>
      <c r="F878" s="1"/>
    </row>
    <row r="879" spans="3:6" ht="12.75" x14ac:dyDescent="0.2">
      <c r="C879" s="2"/>
      <c r="D879" s="31"/>
      <c r="E879" s="1"/>
      <c r="F879" s="1"/>
    </row>
    <row r="880" spans="3:6" ht="12.75" x14ac:dyDescent="0.2">
      <c r="C880" s="2"/>
      <c r="D880" s="31"/>
      <c r="E880" s="1"/>
      <c r="F880" s="1"/>
    </row>
    <row r="881" spans="3:6" ht="12.75" x14ac:dyDescent="0.2">
      <c r="C881" s="2"/>
      <c r="D881" s="31"/>
      <c r="E881" s="1"/>
      <c r="F881" s="1"/>
    </row>
    <row r="882" spans="3:6" ht="12.75" x14ac:dyDescent="0.2">
      <c r="C882" s="2"/>
      <c r="D882" s="31"/>
      <c r="E882" s="1"/>
      <c r="F882" s="1"/>
    </row>
    <row r="883" spans="3:6" ht="12.75" x14ac:dyDescent="0.2">
      <c r="C883" s="2"/>
      <c r="D883" s="31"/>
      <c r="E883" s="1"/>
      <c r="F883" s="1"/>
    </row>
    <row r="884" spans="3:6" ht="12.75" x14ac:dyDescent="0.2">
      <c r="C884" s="2"/>
      <c r="D884" s="31"/>
      <c r="E884" s="1"/>
      <c r="F884" s="1"/>
    </row>
    <row r="885" spans="3:6" ht="12.75" x14ac:dyDescent="0.2">
      <c r="C885" s="2"/>
      <c r="D885" s="31"/>
      <c r="E885" s="1"/>
      <c r="F885" s="1"/>
    </row>
    <row r="886" spans="3:6" ht="12.75" x14ac:dyDescent="0.2">
      <c r="C886" s="2"/>
      <c r="D886" s="31"/>
      <c r="E886" s="1"/>
      <c r="F886" s="1"/>
    </row>
    <row r="887" spans="3:6" ht="12.75" x14ac:dyDescent="0.2">
      <c r="C887" s="2"/>
      <c r="D887" s="31"/>
      <c r="E887" s="1"/>
      <c r="F887" s="1"/>
    </row>
    <row r="888" spans="3:6" ht="12.75" x14ac:dyDescent="0.2">
      <c r="C888" s="2"/>
      <c r="D888" s="31"/>
      <c r="E888" s="1"/>
      <c r="F888" s="1"/>
    </row>
    <row r="889" spans="3:6" ht="12.75" x14ac:dyDescent="0.2">
      <c r="C889" s="2"/>
      <c r="D889" s="31"/>
      <c r="E889" s="1"/>
      <c r="F889" s="1"/>
    </row>
    <row r="890" spans="3:6" ht="12.75" x14ac:dyDescent="0.2">
      <c r="C890" s="2"/>
      <c r="D890" s="31"/>
      <c r="E890" s="1"/>
      <c r="F890" s="1"/>
    </row>
    <row r="891" spans="3:6" ht="12.75" x14ac:dyDescent="0.2">
      <c r="C891" s="2"/>
      <c r="D891" s="31"/>
      <c r="E891" s="1"/>
      <c r="F891" s="1"/>
    </row>
    <row r="892" spans="3:6" ht="12.75" x14ac:dyDescent="0.2">
      <c r="C892" s="2"/>
      <c r="D892" s="31"/>
      <c r="E892" s="1"/>
      <c r="F892" s="1"/>
    </row>
    <row r="893" spans="3:6" ht="12.75" x14ac:dyDescent="0.2">
      <c r="C893" s="2"/>
      <c r="D893" s="31"/>
      <c r="E893" s="1"/>
      <c r="F893" s="1"/>
    </row>
    <row r="894" spans="3:6" ht="12.75" x14ac:dyDescent="0.2">
      <c r="C894" s="2"/>
      <c r="D894" s="31"/>
      <c r="E894" s="1"/>
      <c r="F894" s="1"/>
    </row>
    <row r="895" spans="3:6" ht="12.75" x14ac:dyDescent="0.2">
      <c r="C895" s="2"/>
      <c r="D895" s="31"/>
      <c r="E895" s="1"/>
      <c r="F895" s="1"/>
    </row>
    <row r="896" spans="3:6" ht="12.75" x14ac:dyDescent="0.2">
      <c r="C896" s="2"/>
      <c r="D896" s="31"/>
      <c r="E896" s="1"/>
      <c r="F896" s="1"/>
    </row>
    <row r="897" spans="3:6" ht="12.75" x14ac:dyDescent="0.2">
      <c r="C897" s="2"/>
      <c r="D897" s="31"/>
      <c r="E897" s="1"/>
      <c r="F897" s="1"/>
    </row>
    <row r="898" spans="3:6" ht="12.75" x14ac:dyDescent="0.2">
      <c r="C898" s="2"/>
      <c r="D898" s="31"/>
      <c r="E898" s="1"/>
      <c r="F898" s="1"/>
    </row>
    <row r="899" spans="3:6" ht="12.75" x14ac:dyDescent="0.2">
      <c r="C899" s="2"/>
      <c r="D899" s="31"/>
      <c r="E899" s="1"/>
      <c r="F899" s="1"/>
    </row>
    <row r="900" spans="3:6" ht="12.75" x14ac:dyDescent="0.2">
      <c r="C900" s="2"/>
      <c r="D900" s="31"/>
      <c r="E900" s="1"/>
      <c r="F900" s="1"/>
    </row>
    <row r="901" spans="3:6" ht="12.75" x14ac:dyDescent="0.2">
      <c r="C901" s="2"/>
      <c r="D901" s="31"/>
      <c r="E901" s="1"/>
      <c r="F901" s="1"/>
    </row>
    <row r="902" spans="3:6" ht="12.75" x14ac:dyDescent="0.2">
      <c r="C902" s="2"/>
      <c r="D902" s="31"/>
      <c r="E902" s="1"/>
      <c r="F902" s="1"/>
    </row>
    <row r="903" spans="3:6" ht="12.75" x14ac:dyDescent="0.2">
      <c r="C903" s="2"/>
      <c r="D903" s="31"/>
      <c r="E903" s="1"/>
      <c r="F903" s="1"/>
    </row>
    <row r="904" spans="3:6" ht="12.75" x14ac:dyDescent="0.2">
      <c r="C904" s="2"/>
      <c r="D904" s="31"/>
      <c r="E904" s="1"/>
      <c r="F904" s="1"/>
    </row>
    <row r="905" spans="3:6" ht="12.75" x14ac:dyDescent="0.2">
      <c r="C905" s="2"/>
      <c r="D905" s="31"/>
      <c r="E905" s="1"/>
      <c r="F905" s="1"/>
    </row>
    <row r="906" spans="3:6" ht="12.75" x14ac:dyDescent="0.2">
      <c r="C906" s="2"/>
      <c r="D906" s="31"/>
      <c r="E906" s="1"/>
      <c r="F906" s="1"/>
    </row>
    <row r="907" spans="3:6" ht="12.75" x14ac:dyDescent="0.2">
      <c r="C907" s="2"/>
      <c r="D907" s="31"/>
      <c r="E907" s="1"/>
      <c r="F907" s="1"/>
    </row>
    <row r="908" spans="3:6" ht="12.75" x14ac:dyDescent="0.2">
      <c r="C908" s="2"/>
      <c r="D908" s="31"/>
      <c r="E908" s="1"/>
      <c r="F908" s="1"/>
    </row>
    <row r="909" spans="3:6" ht="12.75" x14ac:dyDescent="0.2">
      <c r="C909" s="2"/>
      <c r="D909" s="31"/>
      <c r="E909" s="1"/>
      <c r="F909" s="1"/>
    </row>
    <row r="910" spans="3:6" ht="12.75" x14ac:dyDescent="0.2">
      <c r="C910" s="2"/>
      <c r="D910" s="31"/>
      <c r="E910" s="1"/>
      <c r="F910" s="1"/>
    </row>
    <row r="911" spans="3:6" ht="12.75" x14ac:dyDescent="0.2">
      <c r="C911" s="2"/>
      <c r="D911" s="31"/>
      <c r="E911" s="1"/>
      <c r="F911" s="1"/>
    </row>
    <row r="912" spans="3:6" ht="12.75" x14ac:dyDescent="0.2">
      <c r="C912" s="2"/>
      <c r="D912" s="31"/>
      <c r="E912" s="1"/>
      <c r="F912" s="1"/>
    </row>
    <row r="913" spans="3:6" ht="12.75" x14ac:dyDescent="0.2">
      <c r="C913" s="2"/>
      <c r="D913" s="31"/>
      <c r="E913" s="1"/>
      <c r="F913" s="1"/>
    </row>
    <row r="914" spans="3:6" ht="12.75" x14ac:dyDescent="0.2">
      <c r="C914" s="2"/>
      <c r="D914" s="31"/>
      <c r="E914" s="1"/>
      <c r="F914" s="1"/>
    </row>
    <row r="915" spans="3:6" ht="12.75" x14ac:dyDescent="0.2">
      <c r="C915" s="2"/>
      <c r="D915" s="31"/>
      <c r="E915" s="1"/>
      <c r="F915" s="1"/>
    </row>
    <row r="916" spans="3:6" ht="12.75" x14ac:dyDescent="0.2">
      <c r="C916" s="2"/>
      <c r="D916" s="31"/>
      <c r="E916" s="1"/>
      <c r="F916" s="1"/>
    </row>
    <row r="917" spans="3:6" ht="12.75" x14ac:dyDescent="0.2">
      <c r="C917" s="2"/>
      <c r="D917" s="31"/>
      <c r="E917" s="1"/>
      <c r="F917" s="1"/>
    </row>
    <row r="918" spans="3:6" ht="12.75" x14ac:dyDescent="0.2">
      <c r="C918" s="2"/>
      <c r="D918" s="31"/>
      <c r="E918" s="1"/>
      <c r="F918" s="1"/>
    </row>
    <row r="919" spans="3:6" ht="12.75" x14ac:dyDescent="0.2">
      <c r="C919" s="2"/>
      <c r="D919" s="31"/>
      <c r="E919" s="1"/>
      <c r="F919" s="1"/>
    </row>
    <row r="920" spans="3:6" ht="12.75" x14ac:dyDescent="0.2">
      <c r="C920" s="2"/>
      <c r="D920" s="31"/>
      <c r="E920" s="1"/>
      <c r="F920" s="1"/>
    </row>
    <row r="921" spans="3:6" ht="12.75" x14ac:dyDescent="0.2">
      <c r="C921" s="2"/>
      <c r="D921" s="31"/>
      <c r="E921" s="1"/>
      <c r="F921" s="1"/>
    </row>
    <row r="922" spans="3:6" ht="12.75" x14ac:dyDescent="0.2">
      <c r="C922" s="2"/>
      <c r="D922" s="31"/>
      <c r="E922" s="1"/>
      <c r="F922" s="1"/>
    </row>
    <row r="923" spans="3:6" ht="12.75" x14ac:dyDescent="0.2">
      <c r="C923" s="2"/>
      <c r="D923" s="31"/>
      <c r="E923" s="1"/>
      <c r="F923" s="1"/>
    </row>
    <row r="924" spans="3:6" ht="12.75" x14ac:dyDescent="0.2">
      <c r="C924" s="2"/>
      <c r="D924" s="31"/>
      <c r="E924" s="1"/>
      <c r="F924" s="1"/>
    </row>
    <row r="925" spans="3:6" ht="12.75" x14ac:dyDescent="0.2">
      <c r="C925" s="2"/>
      <c r="D925" s="31"/>
      <c r="E925" s="1"/>
      <c r="F925" s="1"/>
    </row>
    <row r="926" spans="3:6" ht="12.75" x14ac:dyDescent="0.2">
      <c r="C926" s="2"/>
      <c r="D926" s="31"/>
      <c r="E926" s="1"/>
      <c r="F926" s="1"/>
    </row>
    <row r="927" spans="3:6" ht="12.75" x14ac:dyDescent="0.2">
      <c r="C927" s="2"/>
      <c r="D927" s="31"/>
      <c r="E927" s="1"/>
      <c r="F927" s="1"/>
    </row>
    <row r="928" spans="3:6" ht="12.75" x14ac:dyDescent="0.2">
      <c r="C928" s="2"/>
      <c r="D928" s="31"/>
      <c r="E928" s="1"/>
      <c r="F928" s="1"/>
    </row>
    <row r="929" spans="3:6" ht="12.75" x14ac:dyDescent="0.2">
      <c r="C929" s="2"/>
      <c r="D929" s="31"/>
      <c r="E929" s="1"/>
      <c r="F929" s="1"/>
    </row>
    <row r="930" spans="3:6" ht="12.75" x14ac:dyDescent="0.2">
      <c r="C930" s="2"/>
      <c r="D930" s="31"/>
      <c r="E930" s="1"/>
      <c r="F930" s="1"/>
    </row>
    <row r="931" spans="3:6" ht="12.75" x14ac:dyDescent="0.2">
      <c r="C931" s="2"/>
      <c r="D931" s="31"/>
      <c r="E931" s="1"/>
      <c r="F931" s="1"/>
    </row>
    <row r="932" spans="3:6" ht="12.75" x14ac:dyDescent="0.2">
      <c r="C932" s="2"/>
      <c r="D932" s="31"/>
      <c r="E932" s="1"/>
      <c r="F932" s="1"/>
    </row>
    <row r="933" spans="3:6" ht="12.75" x14ac:dyDescent="0.2">
      <c r="C933" s="2"/>
      <c r="D933" s="31"/>
      <c r="E933" s="1"/>
      <c r="F933" s="1"/>
    </row>
    <row r="934" spans="3:6" ht="12.75" x14ac:dyDescent="0.2">
      <c r="C934" s="2"/>
      <c r="D934" s="31"/>
      <c r="E934" s="1"/>
      <c r="F934" s="1"/>
    </row>
    <row r="935" spans="3:6" ht="12.75" x14ac:dyDescent="0.2">
      <c r="C935" s="2"/>
      <c r="D935" s="31"/>
      <c r="E935" s="1"/>
      <c r="F935" s="1"/>
    </row>
    <row r="936" spans="3:6" ht="12.75" x14ac:dyDescent="0.2">
      <c r="C936" s="2"/>
      <c r="D936" s="31"/>
      <c r="E936" s="1"/>
      <c r="F936" s="1"/>
    </row>
    <row r="937" spans="3:6" ht="12.75" x14ac:dyDescent="0.2">
      <c r="C937" s="2"/>
      <c r="D937" s="31"/>
      <c r="E937" s="1"/>
      <c r="F937" s="1"/>
    </row>
    <row r="938" spans="3:6" ht="12.75" x14ac:dyDescent="0.2">
      <c r="C938" s="2"/>
      <c r="D938" s="31"/>
      <c r="E938" s="1"/>
      <c r="F938" s="1"/>
    </row>
    <row r="939" spans="3:6" ht="12.75" x14ac:dyDescent="0.2">
      <c r="C939" s="2"/>
      <c r="D939" s="31"/>
      <c r="E939" s="1"/>
      <c r="F939" s="1"/>
    </row>
    <row r="940" spans="3:6" ht="12.75" x14ac:dyDescent="0.2">
      <c r="C940" s="2"/>
      <c r="D940" s="31"/>
      <c r="E940" s="1"/>
      <c r="F940" s="1"/>
    </row>
    <row r="941" spans="3:6" ht="12.75" x14ac:dyDescent="0.2">
      <c r="C941" s="2"/>
      <c r="D941" s="31"/>
      <c r="E941" s="1"/>
      <c r="F941" s="1"/>
    </row>
    <row r="942" spans="3:6" ht="12.75" x14ac:dyDescent="0.2">
      <c r="C942" s="2"/>
      <c r="D942" s="31"/>
      <c r="E942" s="1"/>
      <c r="F942" s="1"/>
    </row>
    <row r="943" spans="3:6" ht="12.75" x14ac:dyDescent="0.2">
      <c r="C943" s="2"/>
      <c r="D943" s="31"/>
      <c r="E943" s="1"/>
      <c r="F943" s="1"/>
    </row>
    <row r="944" spans="3:6" ht="12.75" x14ac:dyDescent="0.2">
      <c r="C944" s="2"/>
      <c r="D944" s="31"/>
      <c r="E944" s="1"/>
      <c r="F944" s="1"/>
    </row>
    <row r="945" spans="3:6" ht="12.75" x14ac:dyDescent="0.2">
      <c r="C945" s="2"/>
      <c r="D945" s="31"/>
      <c r="E945" s="1"/>
      <c r="F945" s="1"/>
    </row>
    <row r="946" spans="3:6" ht="12.75" x14ac:dyDescent="0.2">
      <c r="C946" s="2"/>
      <c r="D946" s="31"/>
      <c r="E946" s="1"/>
      <c r="F946" s="1"/>
    </row>
    <row r="947" spans="3:6" ht="12.75" x14ac:dyDescent="0.2">
      <c r="C947" s="2"/>
      <c r="D947" s="31"/>
      <c r="E947" s="1"/>
      <c r="F947" s="1"/>
    </row>
    <row r="948" spans="3:6" ht="12.75" x14ac:dyDescent="0.2">
      <c r="C948" s="2"/>
      <c r="D948" s="31"/>
      <c r="E948" s="1"/>
      <c r="F948" s="1"/>
    </row>
    <row r="949" spans="3:6" ht="12.75" x14ac:dyDescent="0.2">
      <c r="C949" s="2"/>
      <c r="D949" s="31"/>
      <c r="E949" s="1"/>
      <c r="F949" s="1"/>
    </row>
    <row r="950" spans="3:6" ht="12.75" x14ac:dyDescent="0.2">
      <c r="C950" s="2"/>
      <c r="D950" s="31"/>
      <c r="E950" s="1"/>
      <c r="F950" s="1"/>
    </row>
    <row r="951" spans="3:6" ht="12.75" x14ac:dyDescent="0.2">
      <c r="C951" s="2"/>
      <c r="D951" s="31"/>
      <c r="E951" s="1"/>
      <c r="F951" s="1"/>
    </row>
    <row r="952" spans="3:6" ht="12.75" x14ac:dyDescent="0.2">
      <c r="C952" s="2"/>
      <c r="D952" s="31"/>
      <c r="E952" s="1"/>
      <c r="F952" s="1"/>
    </row>
    <row r="953" spans="3:6" ht="12.75" x14ac:dyDescent="0.2">
      <c r="C953" s="2"/>
      <c r="D953" s="31"/>
      <c r="E953" s="1"/>
      <c r="F953" s="1"/>
    </row>
    <row r="954" spans="3:6" ht="12.75" x14ac:dyDescent="0.2">
      <c r="C954" s="2"/>
      <c r="D954" s="31"/>
      <c r="E954" s="1"/>
      <c r="F954" s="1"/>
    </row>
    <row r="955" spans="3:6" ht="12.75" x14ac:dyDescent="0.2">
      <c r="C955" s="2"/>
      <c r="D955" s="31"/>
      <c r="E955" s="1"/>
      <c r="F955" s="1"/>
    </row>
    <row r="956" spans="3:6" ht="12.75" x14ac:dyDescent="0.2">
      <c r="C956" s="2"/>
      <c r="D956" s="31"/>
      <c r="E956" s="1"/>
      <c r="F956" s="1"/>
    </row>
    <row r="957" spans="3:6" ht="12.75" x14ac:dyDescent="0.2">
      <c r="C957" s="2"/>
      <c r="D957" s="31"/>
      <c r="E957" s="1"/>
      <c r="F957" s="1"/>
    </row>
    <row r="958" spans="3:6" ht="12.75" x14ac:dyDescent="0.2">
      <c r="C958" s="2"/>
      <c r="D958" s="31"/>
      <c r="E958" s="1"/>
      <c r="F958" s="1"/>
    </row>
    <row r="959" spans="3:6" ht="12.75" x14ac:dyDescent="0.2">
      <c r="C959" s="2"/>
      <c r="D959" s="31"/>
      <c r="E959" s="1"/>
      <c r="F959" s="1"/>
    </row>
    <row r="960" spans="3:6" ht="12.75" x14ac:dyDescent="0.2">
      <c r="C960" s="2"/>
      <c r="D960" s="31"/>
      <c r="E960" s="1"/>
      <c r="F960" s="1"/>
    </row>
    <row r="961" spans="3:6" ht="12.75" x14ac:dyDescent="0.2">
      <c r="C961" s="2"/>
      <c r="D961" s="31"/>
      <c r="E961" s="1"/>
      <c r="F961" s="1"/>
    </row>
    <row r="962" spans="3:6" ht="12.75" x14ac:dyDescent="0.2">
      <c r="C962" s="2"/>
      <c r="D962" s="31"/>
      <c r="E962" s="1"/>
      <c r="F962" s="1"/>
    </row>
    <row r="963" spans="3:6" ht="12.75" x14ac:dyDescent="0.2">
      <c r="C963" s="2"/>
      <c r="D963" s="31"/>
      <c r="E963" s="1"/>
      <c r="F963" s="1"/>
    </row>
    <row r="964" spans="3:6" ht="12.75" x14ac:dyDescent="0.2">
      <c r="C964" s="2"/>
      <c r="D964" s="31"/>
      <c r="E964" s="1"/>
      <c r="F964" s="1"/>
    </row>
    <row r="965" spans="3:6" ht="12.75" x14ac:dyDescent="0.2">
      <c r="C965" s="2"/>
      <c r="D965" s="31"/>
      <c r="E965" s="1"/>
      <c r="F965" s="1"/>
    </row>
    <row r="966" spans="3:6" ht="12.75" x14ac:dyDescent="0.2">
      <c r="C966" s="2"/>
      <c r="D966" s="31"/>
      <c r="E966" s="1"/>
      <c r="F966" s="1"/>
    </row>
    <row r="967" spans="3:6" ht="12.75" x14ac:dyDescent="0.2">
      <c r="C967" s="2"/>
      <c r="D967" s="31"/>
      <c r="E967" s="1"/>
      <c r="F967" s="1"/>
    </row>
    <row r="968" spans="3:6" ht="12.75" x14ac:dyDescent="0.2">
      <c r="C968" s="2"/>
      <c r="D968" s="31"/>
      <c r="E968" s="1"/>
      <c r="F968" s="1"/>
    </row>
    <row r="969" spans="3:6" ht="12.75" x14ac:dyDescent="0.2">
      <c r="C969" s="2"/>
      <c r="D969" s="31"/>
      <c r="E969" s="1"/>
      <c r="F969" s="1"/>
    </row>
    <row r="970" spans="3:6" ht="12.75" x14ac:dyDescent="0.2">
      <c r="C970" s="2"/>
      <c r="D970" s="31"/>
      <c r="E970" s="1"/>
      <c r="F970" s="1"/>
    </row>
    <row r="971" spans="3:6" ht="12.75" x14ac:dyDescent="0.2">
      <c r="C971" s="2"/>
      <c r="D971" s="31"/>
      <c r="E971" s="1"/>
      <c r="F971" s="1"/>
    </row>
    <row r="972" spans="3:6" ht="12.75" x14ac:dyDescent="0.2">
      <c r="C972" s="2"/>
      <c r="D972" s="31"/>
      <c r="E972" s="1"/>
      <c r="F972" s="1"/>
    </row>
    <row r="973" spans="3:6" ht="12.75" x14ac:dyDescent="0.2">
      <c r="C973" s="2"/>
      <c r="D973" s="31"/>
      <c r="E973" s="1"/>
      <c r="F973" s="1"/>
    </row>
    <row r="974" spans="3:6" ht="12.75" x14ac:dyDescent="0.2">
      <c r="C974" s="2"/>
      <c r="D974" s="31"/>
      <c r="E974" s="1"/>
      <c r="F974" s="1"/>
    </row>
    <row r="975" spans="3:6" ht="12.75" x14ac:dyDescent="0.2">
      <c r="C975" s="2"/>
      <c r="D975" s="31"/>
      <c r="E975" s="1"/>
      <c r="F975" s="1"/>
    </row>
    <row r="976" spans="3:6" ht="12.75" x14ac:dyDescent="0.2">
      <c r="C976" s="2"/>
      <c r="D976" s="31"/>
      <c r="E976" s="1"/>
      <c r="F976" s="1"/>
    </row>
    <row r="977" spans="3:6" ht="12.75" x14ac:dyDescent="0.2">
      <c r="C977" s="2"/>
      <c r="D977" s="31"/>
      <c r="E977" s="1"/>
      <c r="F977" s="1"/>
    </row>
    <row r="978" spans="3:6" ht="12.75" x14ac:dyDescent="0.2">
      <c r="C978" s="2"/>
      <c r="D978" s="31"/>
      <c r="E978" s="1"/>
      <c r="F978" s="1"/>
    </row>
    <row r="979" spans="3:6" ht="12.75" x14ac:dyDescent="0.2">
      <c r="C979" s="2"/>
      <c r="D979" s="31"/>
      <c r="E979" s="1"/>
      <c r="F979" s="1"/>
    </row>
    <row r="980" spans="3:6" ht="12.75" x14ac:dyDescent="0.2">
      <c r="C980" s="2"/>
      <c r="D980" s="31"/>
      <c r="E980" s="1"/>
      <c r="F980" s="1"/>
    </row>
    <row r="981" spans="3:6" ht="12.75" x14ac:dyDescent="0.2">
      <c r="C981" s="2"/>
      <c r="D981" s="31"/>
      <c r="E981" s="1"/>
      <c r="F981" s="1"/>
    </row>
    <row r="982" spans="3:6" ht="12.75" x14ac:dyDescent="0.2">
      <c r="C982" s="2"/>
      <c r="D982" s="31"/>
      <c r="E982" s="1"/>
      <c r="F982" s="1"/>
    </row>
    <row r="983" spans="3:6" ht="12.75" x14ac:dyDescent="0.2">
      <c r="C983" s="2"/>
      <c r="D983" s="31"/>
      <c r="E983" s="1"/>
      <c r="F983" s="1"/>
    </row>
    <row r="984" spans="3:6" ht="12.75" x14ac:dyDescent="0.2">
      <c r="C984" s="2"/>
      <c r="D984" s="31"/>
      <c r="E984" s="1"/>
      <c r="F984" s="1"/>
    </row>
    <row r="985" spans="3:6" ht="12.75" x14ac:dyDescent="0.2">
      <c r="C985" s="2"/>
      <c r="D985" s="31"/>
      <c r="E985" s="1"/>
      <c r="F985" s="1"/>
    </row>
    <row r="986" spans="3:6" ht="12.75" x14ac:dyDescent="0.2">
      <c r="C986" s="2"/>
      <c r="D986" s="31"/>
      <c r="E986" s="1"/>
      <c r="F986" s="1"/>
    </row>
    <row r="987" spans="3:6" ht="12.75" x14ac:dyDescent="0.2">
      <c r="C987" s="2"/>
      <c r="D987" s="31"/>
      <c r="E987" s="1"/>
      <c r="F987" s="1"/>
    </row>
    <row r="988" spans="3:6" ht="12.75" x14ac:dyDescent="0.2">
      <c r="C988" s="2"/>
      <c r="D988" s="31"/>
      <c r="E988" s="1"/>
      <c r="F988" s="1"/>
    </row>
    <row r="989" spans="3:6" ht="12.75" x14ac:dyDescent="0.2">
      <c r="C989" s="2"/>
      <c r="D989" s="31"/>
      <c r="E989" s="1"/>
      <c r="F989" s="1"/>
    </row>
    <row r="990" spans="3:6" ht="12.75" x14ac:dyDescent="0.2">
      <c r="C990" s="2"/>
      <c r="D990" s="31"/>
      <c r="E990" s="1"/>
      <c r="F990" s="1"/>
    </row>
    <row r="991" spans="3:6" ht="12.75" x14ac:dyDescent="0.2">
      <c r="C991" s="2"/>
      <c r="D991" s="31"/>
      <c r="E991" s="1"/>
      <c r="F991" s="1"/>
    </row>
    <row r="992" spans="3:6" ht="12.75" x14ac:dyDescent="0.2">
      <c r="C992" s="2"/>
      <c r="D992" s="31"/>
      <c r="E992" s="1"/>
      <c r="F992" s="1"/>
    </row>
    <row r="993" spans="3:6" ht="12.75" x14ac:dyDescent="0.2">
      <c r="C993" s="2"/>
      <c r="D993" s="31"/>
      <c r="E993" s="1"/>
      <c r="F993" s="1"/>
    </row>
    <row r="994" spans="3:6" ht="12.75" x14ac:dyDescent="0.2">
      <c r="C994" s="2"/>
      <c r="D994" s="31"/>
      <c r="E994" s="1"/>
      <c r="F994" s="1"/>
    </row>
    <row r="995" spans="3:6" ht="12.75" x14ac:dyDescent="0.2">
      <c r="C995" s="2"/>
      <c r="D995" s="31"/>
      <c r="E995" s="1"/>
      <c r="F995" s="1"/>
    </row>
    <row r="996" spans="3:6" ht="12.75" x14ac:dyDescent="0.2">
      <c r="C996" s="2"/>
      <c r="D996" s="31"/>
      <c r="E996" s="1"/>
      <c r="F996" s="1"/>
    </row>
    <row r="997" spans="3:6" ht="12.75" x14ac:dyDescent="0.2">
      <c r="C997" s="2"/>
      <c r="D997" s="31"/>
      <c r="E997" s="1"/>
      <c r="F997" s="1"/>
    </row>
    <row r="998" spans="3:6" ht="12.75" x14ac:dyDescent="0.2">
      <c r="C998" s="2"/>
      <c r="D998" s="31"/>
      <c r="E998" s="1"/>
      <c r="F998" s="1"/>
    </row>
    <row r="999" spans="3:6" ht="12.75" x14ac:dyDescent="0.2">
      <c r="C999" s="2"/>
      <c r="D999" s="31"/>
      <c r="E999" s="1"/>
      <c r="F999" s="1"/>
    </row>
    <row r="1000" spans="3:6" ht="12.75" x14ac:dyDescent="0.2">
      <c r="C1000" s="2"/>
      <c r="D1000" s="31"/>
      <c r="E1000" s="1"/>
      <c r="F1000" s="1"/>
    </row>
    <row r="1001" spans="3:6" ht="12.75" x14ac:dyDescent="0.2">
      <c r="C1001" s="2"/>
      <c r="D1001" s="31"/>
      <c r="E1001" s="1"/>
      <c r="F1001" s="1"/>
    </row>
  </sheetData>
  <mergeCells count="3">
    <mergeCell ref="A3:A7"/>
    <mergeCell ref="A8:A16"/>
    <mergeCell ref="A17:A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0"/>
  <sheetViews>
    <sheetView workbookViewId="0">
      <selection sqref="A1:A2"/>
    </sheetView>
  </sheetViews>
  <sheetFormatPr baseColWidth="10" defaultColWidth="12.5703125" defaultRowHeight="15.75" customHeight="1" x14ac:dyDescent="0.2"/>
  <cols>
    <col min="5" max="6" width="20.42578125" customWidth="1"/>
    <col min="7" max="7" width="24.5703125" customWidth="1"/>
    <col min="11" max="11" width="16.140625" customWidth="1"/>
    <col min="40" max="42" width="17.42578125" customWidth="1"/>
  </cols>
  <sheetData>
    <row r="1" spans="1:48" x14ac:dyDescent="0.2">
      <c r="A1" s="78" t="s">
        <v>36</v>
      </c>
      <c r="B1" s="72" t="s">
        <v>37</v>
      </c>
      <c r="C1" s="76" t="s">
        <v>38</v>
      </c>
      <c r="D1" s="72" t="s">
        <v>39</v>
      </c>
      <c r="E1" s="75" t="s">
        <v>40</v>
      </c>
      <c r="F1" s="75" t="s">
        <v>41</v>
      </c>
      <c r="G1" s="72" t="s">
        <v>42</v>
      </c>
      <c r="H1" s="76" t="s">
        <v>43</v>
      </c>
      <c r="I1" s="72" t="s">
        <v>44</v>
      </c>
      <c r="J1" s="77" t="s">
        <v>45</v>
      </c>
      <c r="K1" s="72" t="s">
        <v>46</v>
      </c>
      <c r="L1" s="72" t="s">
        <v>47</v>
      </c>
      <c r="M1" s="73" t="s">
        <v>48</v>
      </c>
      <c r="N1" s="66"/>
      <c r="O1" s="66"/>
      <c r="P1" s="68" t="s">
        <v>49</v>
      </c>
      <c r="Q1" s="66"/>
      <c r="R1" s="66"/>
      <c r="S1" s="67" t="s">
        <v>50</v>
      </c>
      <c r="T1" s="66"/>
      <c r="U1" s="66"/>
      <c r="V1" s="68" t="s">
        <v>51</v>
      </c>
      <c r="W1" s="66"/>
      <c r="X1" s="66"/>
      <c r="Y1" s="69" t="s">
        <v>52</v>
      </c>
      <c r="Z1" s="66"/>
      <c r="AA1" s="66"/>
      <c r="AB1" s="70" t="s">
        <v>53</v>
      </c>
      <c r="AC1" s="66"/>
      <c r="AD1" s="66"/>
      <c r="AE1" s="71" t="s">
        <v>54</v>
      </c>
      <c r="AF1" s="66"/>
      <c r="AG1" s="66"/>
      <c r="AH1" s="72" t="s">
        <v>55</v>
      </c>
      <c r="AI1" s="66"/>
      <c r="AJ1" s="66"/>
      <c r="AK1" s="69" t="s">
        <v>56</v>
      </c>
      <c r="AL1" s="66"/>
      <c r="AM1" s="66"/>
      <c r="AN1" s="74" t="s">
        <v>57</v>
      </c>
      <c r="AO1" s="66"/>
      <c r="AP1" s="66"/>
      <c r="AQ1" s="65" t="s">
        <v>58</v>
      </c>
      <c r="AR1" s="66"/>
      <c r="AS1" s="66"/>
      <c r="AT1" s="65" t="s">
        <v>59</v>
      </c>
      <c r="AU1" s="66"/>
      <c r="AV1" s="66"/>
    </row>
    <row r="2" spans="1:48" x14ac:dyDescent="0.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5">
        <v>2023</v>
      </c>
      <c r="N2" s="5">
        <v>2024</v>
      </c>
      <c r="O2" s="5">
        <v>2025</v>
      </c>
      <c r="P2" s="6">
        <v>2023</v>
      </c>
      <c r="Q2" s="6">
        <v>2024</v>
      </c>
      <c r="R2" s="6">
        <v>2025</v>
      </c>
      <c r="S2" s="7">
        <v>2023</v>
      </c>
      <c r="T2" s="7">
        <v>2024</v>
      </c>
      <c r="U2" s="7">
        <v>2025</v>
      </c>
      <c r="V2" s="6">
        <v>2023</v>
      </c>
      <c r="W2" s="6">
        <v>2024</v>
      </c>
      <c r="X2" s="6">
        <v>2025</v>
      </c>
      <c r="Y2" s="8">
        <v>2022</v>
      </c>
      <c r="Z2" s="8">
        <v>2023</v>
      </c>
      <c r="AA2" s="8">
        <v>2024</v>
      </c>
      <c r="AB2" s="9">
        <v>2023</v>
      </c>
      <c r="AC2" s="9">
        <v>2024</v>
      </c>
      <c r="AD2" s="9">
        <v>2025</v>
      </c>
      <c r="AE2" s="10">
        <v>2023</v>
      </c>
      <c r="AF2" s="10">
        <v>2024</v>
      </c>
      <c r="AG2" s="10">
        <v>2025</v>
      </c>
      <c r="AH2" s="11">
        <v>2023</v>
      </c>
      <c r="AI2" s="11">
        <v>2024</v>
      </c>
      <c r="AJ2" s="11">
        <v>2025</v>
      </c>
      <c r="AK2" s="12">
        <v>2023</v>
      </c>
      <c r="AL2" s="12">
        <v>2024</v>
      </c>
      <c r="AM2" s="12">
        <v>2025</v>
      </c>
      <c r="AN2" s="13">
        <v>2023</v>
      </c>
      <c r="AO2" s="13">
        <v>2024</v>
      </c>
      <c r="AP2" s="13">
        <v>2025</v>
      </c>
      <c r="AQ2" s="14">
        <v>2022</v>
      </c>
      <c r="AR2" s="14">
        <v>2023</v>
      </c>
      <c r="AS2" s="14">
        <v>2024</v>
      </c>
      <c r="AT2" s="14">
        <v>2022</v>
      </c>
      <c r="AU2" s="14">
        <v>2023</v>
      </c>
      <c r="AV2" s="14">
        <v>2024</v>
      </c>
    </row>
    <row r="3" spans="1:48" x14ac:dyDescent="0.2">
      <c r="A3" s="15" t="s">
        <v>60</v>
      </c>
      <c r="B3" s="16">
        <v>665</v>
      </c>
      <c r="C3" s="15" t="s">
        <v>61</v>
      </c>
      <c r="D3" s="15" t="s">
        <v>62</v>
      </c>
      <c r="E3" s="15" t="s">
        <v>63</v>
      </c>
      <c r="F3" s="15" t="s">
        <v>64</v>
      </c>
      <c r="G3" s="17" t="s">
        <v>65</v>
      </c>
      <c r="H3" s="17"/>
      <c r="I3" s="15"/>
      <c r="S3" s="15"/>
      <c r="T3" s="15"/>
      <c r="U3" s="15"/>
      <c r="V3" s="15"/>
      <c r="W3" s="15"/>
      <c r="X3" s="15"/>
      <c r="Y3" s="15"/>
      <c r="Z3" s="15"/>
      <c r="AA3" s="15"/>
      <c r="AE3" s="15"/>
      <c r="AF3" s="15"/>
      <c r="AG3" s="15"/>
      <c r="AH3" s="15"/>
      <c r="AI3" s="15"/>
      <c r="AJ3" s="15"/>
      <c r="AK3" s="15"/>
      <c r="AL3" s="15"/>
      <c r="AM3" s="15"/>
      <c r="AN3" s="17">
        <v>5</v>
      </c>
      <c r="AO3" s="17"/>
      <c r="AP3" s="17"/>
    </row>
    <row r="4" spans="1:48" x14ac:dyDescent="0.2">
      <c r="A4" s="15"/>
      <c r="B4" s="16">
        <v>665</v>
      </c>
      <c r="C4" s="15" t="s">
        <v>66</v>
      </c>
      <c r="D4" s="15" t="s">
        <v>67</v>
      </c>
      <c r="E4" s="15" t="s">
        <v>68</v>
      </c>
      <c r="F4" s="15" t="s">
        <v>69</v>
      </c>
      <c r="G4" s="17"/>
      <c r="H4" s="17"/>
      <c r="I4" s="15"/>
      <c r="S4" s="15"/>
      <c r="T4" s="15"/>
      <c r="U4" s="15"/>
      <c r="V4" s="15"/>
      <c r="W4" s="15"/>
      <c r="X4" s="15"/>
      <c r="Y4" s="15"/>
      <c r="Z4" s="15"/>
      <c r="AA4" s="15"/>
      <c r="AE4" s="15"/>
      <c r="AF4" s="15"/>
      <c r="AG4" s="15"/>
      <c r="AH4" s="15"/>
      <c r="AI4" s="15"/>
      <c r="AJ4" s="15"/>
      <c r="AK4" s="15"/>
      <c r="AL4" s="15"/>
      <c r="AM4" s="15"/>
      <c r="AN4" s="17">
        <v>6</v>
      </c>
      <c r="AO4" s="17"/>
      <c r="AP4" s="17"/>
    </row>
    <row r="5" spans="1:48" x14ac:dyDescent="0.2">
      <c r="A5" s="15"/>
      <c r="B5" s="16"/>
      <c r="C5" s="15"/>
      <c r="D5" s="15"/>
      <c r="E5" s="15"/>
      <c r="F5" s="15"/>
      <c r="G5" s="17"/>
      <c r="H5" s="17"/>
      <c r="I5" s="15"/>
      <c r="S5" s="15"/>
      <c r="T5" s="15"/>
      <c r="U5" s="15"/>
      <c r="V5" s="15"/>
      <c r="W5" s="15"/>
      <c r="X5" s="15"/>
      <c r="Y5" s="15"/>
      <c r="Z5" s="15"/>
      <c r="AA5" s="15"/>
      <c r="AE5" s="15"/>
      <c r="AF5" s="15"/>
      <c r="AG5" s="15"/>
      <c r="AH5" s="15"/>
      <c r="AI5" s="15"/>
      <c r="AJ5" s="15"/>
      <c r="AK5" s="15"/>
      <c r="AL5" s="15"/>
      <c r="AM5" s="15"/>
      <c r="AN5" s="17"/>
      <c r="AO5" s="17"/>
      <c r="AP5" s="17"/>
    </row>
    <row r="6" spans="1:48" x14ac:dyDescent="0.2">
      <c r="A6" s="15"/>
      <c r="B6" s="16"/>
      <c r="C6" s="15"/>
      <c r="D6" s="15"/>
      <c r="E6" s="15"/>
      <c r="F6" s="15"/>
      <c r="G6" s="17"/>
      <c r="H6" s="17"/>
      <c r="I6" s="15"/>
      <c r="S6" s="15"/>
      <c r="T6" s="15"/>
      <c r="U6" s="15"/>
      <c r="V6" s="15"/>
      <c r="W6" s="15"/>
      <c r="X6" s="15"/>
      <c r="Y6" s="15"/>
      <c r="Z6" s="15"/>
      <c r="AA6" s="15"/>
      <c r="AE6" s="15"/>
      <c r="AF6" s="15"/>
      <c r="AG6" s="15"/>
      <c r="AH6" s="15"/>
      <c r="AI6" s="15"/>
      <c r="AJ6" s="15"/>
      <c r="AK6" s="15"/>
      <c r="AL6" s="15"/>
      <c r="AM6" s="15"/>
      <c r="AN6" s="17"/>
      <c r="AO6" s="17"/>
      <c r="AP6" s="17"/>
    </row>
    <row r="7" spans="1:48" x14ac:dyDescent="0.2">
      <c r="A7" s="15"/>
      <c r="B7" s="16"/>
      <c r="C7" s="15"/>
      <c r="D7" s="15"/>
      <c r="E7" s="15"/>
      <c r="F7" s="15"/>
      <c r="G7" s="17"/>
      <c r="H7" s="17"/>
      <c r="I7" s="15"/>
      <c r="S7" s="15"/>
      <c r="T7" s="15"/>
      <c r="U7" s="15"/>
      <c r="V7" s="15"/>
      <c r="W7" s="15"/>
      <c r="X7" s="15"/>
      <c r="Y7" s="15"/>
      <c r="Z7" s="15"/>
      <c r="AA7" s="15"/>
      <c r="AE7" s="15"/>
      <c r="AF7" s="15"/>
      <c r="AG7" s="15"/>
      <c r="AH7" s="15"/>
      <c r="AI7" s="15"/>
      <c r="AJ7" s="15"/>
      <c r="AK7" s="15"/>
      <c r="AL7" s="15"/>
      <c r="AM7" s="15"/>
      <c r="AN7" s="17"/>
      <c r="AO7" s="17"/>
      <c r="AP7" s="17"/>
    </row>
    <row r="8" spans="1:48" x14ac:dyDescent="0.2">
      <c r="A8" s="15"/>
      <c r="B8" s="16"/>
      <c r="C8" s="15"/>
      <c r="D8" s="15"/>
      <c r="E8" s="15"/>
      <c r="F8" s="15"/>
      <c r="G8" s="17"/>
      <c r="H8" s="17"/>
      <c r="I8" s="15"/>
      <c r="S8" s="15"/>
      <c r="T8" s="15"/>
      <c r="U8" s="15"/>
      <c r="V8" s="15"/>
      <c r="W8" s="15"/>
      <c r="X8" s="15"/>
      <c r="Y8" s="15"/>
      <c r="Z8" s="15"/>
      <c r="AA8" s="15"/>
      <c r="AE8" s="15"/>
      <c r="AF8" s="15"/>
      <c r="AG8" s="15"/>
      <c r="AH8" s="15"/>
      <c r="AI8" s="15"/>
      <c r="AJ8" s="15"/>
      <c r="AK8" s="15"/>
      <c r="AL8" s="15"/>
      <c r="AM8" s="15"/>
      <c r="AN8" s="17"/>
      <c r="AO8" s="17"/>
      <c r="AP8" s="17"/>
    </row>
    <row r="9" spans="1:48" x14ac:dyDescent="0.2">
      <c r="A9" s="15"/>
      <c r="B9" s="16"/>
      <c r="C9" s="15"/>
      <c r="D9" s="15"/>
      <c r="E9" s="15"/>
      <c r="F9" s="15"/>
      <c r="G9" s="17"/>
      <c r="H9" s="17"/>
      <c r="I9" s="15"/>
      <c r="S9" s="15"/>
      <c r="T9" s="15"/>
      <c r="U9" s="15"/>
      <c r="V9" s="15"/>
      <c r="W9" s="15"/>
      <c r="X9" s="15"/>
      <c r="Y9" s="15"/>
      <c r="Z9" s="15"/>
      <c r="AA9" s="15"/>
      <c r="AE9" s="15"/>
      <c r="AF9" s="15"/>
      <c r="AG9" s="15"/>
      <c r="AH9" s="15"/>
      <c r="AI9" s="15"/>
      <c r="AJ9" s="15"/>
      <c r="AK9" s="15"/>
      <c r="AL9" s="15"/>
      <c r="AM9" s="15"/>
      <c r="AN9" s="17"/>
      <c r="AO9" s="17"/>
      <c r="AP9" s="17"/>
    </row>
    <row r="10" spans="1:48" x14ac:dyDescent="0.2">
      <c r="A10" s="15"/>
      <c r="B10" s="16"/>
      <c r="C10" s="15"/>
      <c r="D10" s="15"/>
      <c r="E10" s="15"/>
      <c r="F10" s="15"/>
      <c r="G10" s="17"/>
      <c r="H10" s="17"/>
      <c r="I10" s="15"/>
      <c r="S10" s="15"/>
      <c r="T10" s="15"/>
      <c r="U10" s="15"/>
      <c r="V10" s="15"/>
      <c r="W10" s="15"/>
      <c r="X10" s="15"/>
      <c r="Y10" s="15"/>
      <c r="Z10" s="15"/>
      <c r="AA10" s="15"/>
      <c r="AE10" s="4"/>
      <c r="AF10" s="4"/>
      <c r="AG10" s="4"/>
      <c r="AH10" s="15"/>
      <c r="AI10" s="15"/>
      <c r="AJ10" s="15"/>
      <c r="AK10" s="15"/>
      <c r="AL10" s="15"/>
      <c r="AM10" s="15"/>
      <c r="AN10" s="17"/>
      <c r="AO10" s="17"/>
      <c r="AP10" s="17"/>
    </row>
    <row r="11" spans="1:48" x14ac:dyDescent="0.2">
      <c r="A11" s="15"/>
      <c r="B11" s="16"/>
      <c r="C11" s="15"/>
      <c r="D11" s="15"/>
      <c r="E11" s="15"/>
      <c r="F11" s="15"/>
      <c r="G11" s="17"/>
      <c r="H11" s="17"/>
      <c r="I11" s="15"/>
      <c r="S11" s="15"/>
      <c r="T11" s="15"/>
      <c r="U11" s="15"/>
      <c r="V11" s="15"/>
      <c r="W11" s="15"/>
      <c r="X11" s="15"/>
      <c r="Y11" s="15"/>
      <c r="Z11" s="15"/>
      <c r="AA11" s="15"/>
      <c r="AE11" s="4"/>
      <c r="AF11" s="4"/>
      <c r="AG11" s="4"/>
      <c r="AH11" s="15"/>
      <c r="AI11" s="15"/>
      <c r="AJ11" s="15"/>
      <c r="AK11" s="15"/>
      <c r="AL11" s="15"/>
      <c r="AM11" s="15"/>
      <c r="AN11" s="17"/>
      <c r="AO11" s="17"/>
      <c r="AP11" s="17"/>
    </row>
    <row r="12" spans="1:48" x14ac:dyDescent="0.2">
      <c r="A12" s="15"/>
      <c r="B12" s="16"/>
      <c r="C12" s="15"/>
      <c r="D12" s="15"/>
      <c r="E12" s="15"/>
      <c r="F12" s="15"/>
      <c r="G12" s="17"/>
      <c r="H12" s="17"/>
      <c r="I12" s="15"/>
      <c r="S12" s="15"/>
      <c r="T12" s="15"/>
      <c r="U12" s="15"/>
      <c r="V12" s="15"/>
      <c r="W12" s="15"/>
      <c r="X12" s="15"/>
      <c r="Y12" s="15"/>
      <c r="Z12" s="15"/>
      <c r="AA12" s="15"/>
      <c r="AE12" s="4"/>
      <c r="AF12" s="4"/>
      <c r="AG12" s="4"/>
      <c r="AH12" s="15"/>
      <c r="AI12" s="15"/>
      <c r="AJ12" s="15"/>
      <c r="AK12" s="15"/>
      <c r="AL12" s="15"/>
      <c r="AM12" s="15"/>
      <c r="AN12" s="17"/>
      <c r="AO12" s="17"/>
      <c r="AP12" s="17"/>
    </row>
    <row r="13" spans="1:48" x14ac:dyDescent="0.2">
      <c r="A13" s="15"/>
      <c r="B13" s="16"/>
      <c r="C13" s="15"/>
      <c r="D13" s="15"/>
      <c r="E13" s="15"/>
      <c r="F13" s="15"/>
      <c r="G13" s="17"/>
      <c r="H13" s="17"/>
      <c r="I13" s="15"/>
      <c r="S13" s="15"/>
      <c r="T13" s="15"/>
      <c r="U13" s="15"/>
      <c r="V13" s="15"/>
      <c r="W13" s="15"/>
      <c r="X13" s="15"/>
      <c r="Y13" s="15"/>
      <c r="Z13" s="15"/>
      <c r="AA13" s="15"/>
      <c r="AE13" s="4"/>
      <c r="AF13" s="4"/>
      <c r="AG13" s="4"/>
      <c r="AH13" s="15"/>
      <c r="AI13" s="15"/>
      <c r="AJ13" s="15"/>
      <c r="AK13" s="15"/>
      <c r="AL13" s="15"/>
      <c r="AM13" s="15"/>
      <c r="AN13" s="17"/>
      <c r="AO13" s="17"/>
      <c r="AP13" s="17"/>
    </row>
    <row r="14" spans="1:48" x14ac:dyDescent="0.2">
      <c r="A14" s="15"/>
      <c r="B14" s="16"/>
      <c r="C14" s="15"/>
      <c r="D14" s="15"/>
      <c r="E14" s="15"/>
      <c r="F14" s="15"/>
      <c r="G14" s="17"/>
      <c r="H14" s="17"/>
      <c r="I14" s="15"/>
      <c r="S14" s="15"/>
      <c r="T14" s="15"/>
      <c r="U14" s="15"/>
      <c r="V14" s="15"/>
      <c r="W14" s="15"/>
      <c r="X14" s="15"/>
      <c r="Y14" s="15"/>
      <c r="Z14" s="15"/>
      <c r="AA14" s="15"/>
      <c r="AE14" s="4"/>
      <c r="AF14" s="4"/>
      <c r="AG14" s="4"/>
      <c r="AH14" s="15"/>
      <c r="AI14" s="15"/>
      <c r="AJ14" s="15"/>
      <c r="AK14" s="15"/>
      <c r="AL14" s="15"/>
      <c r="AM14" s="15"/>
      <c r="AN14" s="17"/>
      <c r="AO14" s="17"/>
      <c r="AP14" s="17"/>
    </row>
    <row r="15" spans="1:48" x14ac:dyDescent="0.2">
      <c r="A15" s="15"/>
      <c r="B15" s="16"/>
      <c r="C15" s="15"/>
      <c r="D15" s="15"/>
      <c r="E15" s="15"/>
      <c r="F15" s="15"/>
      <c r="G15" s="17"/>
      <c r="H15" s="17"/>
      <c r="I15" s="15"/>
      <c r="S15" s="15"/>
      <c r="T15" s="15"/>
      <c r="U15" s="15"/>
      <c r="V15" s="15"/>
      <c r="W15" s="15"/>
      <c r="X15" s="15"/>
      <c r="Y15" s="15"/>
      <c r="Z15" s="15"/>
      <c r="AA15" s="15"/>
      <c r="AE15" s="4"/>
      <c r="AF15" s="4"/>
      <c r="AG15" s="4"/>
      <c r="AH15" s="15"/>
      <c r="AI15" s="15"/>
      <c r="AJ15" s="15"/>
      <c r="AK15" s="15"/>
      <c r="AL15" s="15"/>
      <c r="AM15" s="15"/>
      <c r="AN15" s="17"/>
      <c r="AO15" s="17"/>
      <c r="AP15" s="17"/>
    </row>
    <row r="16" spans="1:48" x14ac:dyDescent="0.2">
      <c r="A16" s="15"/>
      <c r="B16" s="16"/>
      <c r="C16" s="15"/>
      <c r="D16" s="15"/>
      <c r="E16" s="15"/>
      <c r="F16" s="15"/>
      <c r="G16" s="17"/>
      <c r="H16" s="17"/>
      <c r="I16" s="15"/>
      <c r="S16" s="15"/>
      <c r="T16" s="15"/>
      <c r="U16" s="15"/>
      <c r="V16" s="15"/>
      <c r="W16" s="15"/>
      <c r="X16" s="15"/>
      <c r="Y16" s="15"/>
      <c r="Z16" s="15"/>
      <c r="AA16" s="15"/>
      <c r="AE16" s="4"/>
      <c r="AF16" s="4"/>
      <c r="AG16" s="4"/>
      <c r="AH16" s="15"/>
      <c r="AI16" s="15"/>
      <c r="AJ16" s="15"/>
      <c r="AK16" s="15"/>
      <c r="AL16" s="15"/>
      <c r="AM16" s="15"/>
      <c r="AN16" s="17"/>
      <c r="AO16" s="17"/>
      <c r="AP16" s="17"/>
    </row>
    <row r="17" spans="1:42" x14ac:dyDescent="0.2">
      <c r="A17" s="15"/>
      <c r="B17" s="16"/>
      <c r="C17" s="15"/>
      <c r="D17" s="15"/>
      <c r="E17" s="15"/>
      <c r="F17" s="15"/>
      <c r="G17" s="17"/>
      <c r="H17" s="17"/>
      <c r="I17" s="15"/>
      <c r="S17" s="15"/>
      <c r="T17" s="15"/>
      <c r="U17" s="15"/>
      <c r="V17" s="15"/>
      <c r="W17" s="15"/>
      <c r="X17" s="15"/>
      <c r="Y17" s="15"/>
      <c r="Z17" s="15"/>
      <c r="AA17" s="15"/>
      <c r="AE17" s="18"/>
      <c r="AF17" s="18"/>
      <c r="AG17" s="18"/>
      <c r="AH17" s="15"/>
      <c r="AI17" s="15"/>
      <c r="AJ17" s="15"/>
      <c r="AK17" s="15"/>
      <c r="AL17" s="15"/>
      <c r="AM17" s="15"/>
      <c r="AN17" s="17"/>
      <c r="AO17" s="17"/>
      <c r="AP17" s="17"/>
    </row>
    <row r="18" spans="1:42" x14ac:dyDescent="0.2">
      <c r="A18" s="15"/>
      <c r="B18" s="16"/>
      <c r="C18" s="15"/>
      <c r="D18" s="15"/>
      <c r="E18" s="15"/>
      <c r="F18" s="15"/>
      <c r="G18" s="17"/>
      <c r="H18" s="17"/>
      <c r="I18" s="15"/>
      <c r="S18" s="15"/>
      <c r="T18" s="15"/>
      <c r="U18" s="15"/>
      <c r="V18" s="15"/>
      <c r="W18" s="15"/>
      <c r="X18" s="15"/>
      <c r="Y18" s="15"/>
      <c r="Z18" s="15"/>
      <c r="AA18" s="15"/>
      <c r="AE18" s="18"/>
      <c r="AF18" s="18"/>
      <c r="AG18" s="18"/>
      <c r="AH18" s="15"/>
      <c r="AI18" s="15"/>
      <c r="AJ18" s="15"/>
      <c r="AK18" s="15"/>
      <c r="AL18" s="15"/>
      <c r="AM18" s="15"/>
      <c r="AN18" s="17"/>
      <c r="AO18" s="17"/>
      <c r="AP18" s="17"/>
    </row>
    <row r="19" spans="1:42" x14ac:dyDescent="0.2">
      <c r="A19" s="15"/>
      <c r="B19" s="16"/>
      <c r="C19" s="15"/>
      <c r="D19" s="15"/>
      <c r="E19" s="15"/>
      <c r="F19" s="15"/>
      <c r="G19" s="17"/>
      <c r="H19" s="17"/>
      <c r="I19" s="15"/>
      <c r="S19" s="15"/>
      <c r="T19" s="15"/>
      <c r="U19" s="15"/>
      <c r="V19" s="15"/>
      <c r="W19" s="15"/>
      <c r="X19" s="15"/>
      <c r="Y19" s="15"/>
      <c r="Z19" s="15"/>
      <c r="AA19" s="15"/>
      <c r="AE19" s="19"/>
      <c r="AF19" s="19"/>
      <c r="AG19" s="19"/>
      <c r="AH19" s="15"/>
      <c r="AI19" s="15"/>
      <c r="AJ19" s="15"/>
      <c r="AK19" s="15"/>
      <c r="AL19" s="15"/>
      <c r="AM19" s="15"/>
      <c r="AN19" s="17"/>
      <c r="AO19" s="17"/>
      <c r="AP19" s="17"/>
    </row>
    <row r="20" spans="1:42" x14ac:dyDescent="0.2">
      <c r="A20" s="15"/>
      <c r="B20" s="16"/>
      <c r="C20" s="15"/>
      <c r="D20" s="15"/>
      <c r="E20" s="15"/>
      <c r="F20" s="15"/>
      <c r="G20" s="17"/>
      <c r="H20" s="17"/>
      <c r="I20" s="15"/>
      <c r="S20" s="15"/>
      <c r="T20" s="15"/>
      <c r="U20" s="15"/>
      <c r="V20" s="15"/>
      <c r="W20" s="15"/>
      <c r="X20" s="15"/>
      <c r="Y20" s="15"/>
      <c r="Z20" s="15"/>
      <c r="AA20" s="15"/>
      <c r="AE20" s="19"/>
      <c r="AF20" s="19"/>
      <c r="AG20" s="19"/>
      <c r="AH20" s="15"/>
      <c r="AI20" s="15"/>
      <c r="AJ20" s="15"/>
      <c r="AK20" s="15"/>
      <c r="AL20" s="15"/>
      <c r="AM20" s="15"/>
      <c r="AN20" s="17"/>
      <c r="AO20" s="17"/>
      <c r="AP20" s="17"/>
    </row>
    <row r="21" spans="1:42" x14ac:dyDescent="0.2">
      <c r="A21" s="15"/>
      <c r="B21" s="16"/>
      <c r="C21" s="15"/>
      <c r="D21" s="15"/>
      <c r="E21" s="15"/>
      <c r="F21" s="15"/>
      <c r="G21" s="17"/>
      <c r="H21" s="17"/>
      <c r="I21" s="15"/>
      <c r="S21" s="15"/>
      <c r="T21" s="15"/>
      <c r="U21" s="15"/>
      <c r="V21" s="15"/>
      <c r="W21" s="15"/>
      <c r="X21" s="15"/>
      <c r="Y21" s="15"/>
      <c r="Z21" s="15"/>
      <c r="AA21" s="15"/>
      <c r="AE21" s="20"/>
      <c r="AF21" s="20"/>
      <c r="AG21" s="20"/>
      <c r="AH21" s="15"/>
      <c r="AI21" s="15"/>
      <c r="AJ21" s="15"/>
      <c r="AK21" s="15"/>
      <c r="AL21" s="15"/>
      <c r="AM21" s="15"/>
      <c r="AN21" s="17"/>
      <c r="AO21" s="17"/>
      <c r="AP21" s="17"/>
    </row>
    <row r="22" spans="1:42" x14ac:dyDescent="0.2">
      <c r="A22" s="15"/>
      <c r="B22" s="16"/>
      <c r="C22" s="15"/>
      <c r="D22" s="15"/>
      <c r="E22" s="15"/>
      <c r="F22" s="15"/>
      <c r="G22" s="17"/>
      <c r="H22" s="17"/>
      <c r="I22" s="15"/>
      <c r="S22" s="15"/>
      <c r="T22" s="15"/>
      <c r="U22" s="15"/>
      <c r="V22" s="15"/>
      <c r="W22" s="15"/>
      <c r="X22" s="15"/>
      <c r="Y22" s="15"/>
      <c r="Z22" s="15"/>
      <c r="AA22" s="15"/>
      <c r="AE22" s="20"/>
      <c r="AF22" s="20"/>
      <c r="AG22" s="20"/>
      <c r="AH22" s="15"/>
      <c r="AI22" s="15"/>
      <c r="AJ22" s="15"/>
      <c r="AK22" s="15"/>
      <c r="AL22" s="15"/>
      <c r="AM22" s="15"/>
      <c r="AN22" s="17"/>
      <c r="AO22" s="17"/>
      <c r="AP22" s="17"/>
    </row>
    <row r="23" spans="1:42" x14ac:dyDescent="0.2">
      <c r="A23" s="15"/>
      <c r="B23" s="16"/>
      <c r="C23" s="15"/>
      <c r="D23" s="15"/>
      <c r="E23" s="15"/>
      <c r="F23" s="15"/>
      <c r="G23" s="17"/>
      <c r="H23" s="17"/>
      <c r="I23" s="15"/>
      <c r="S23" s="15"/>
      <c r="T23" s="15"/>
      <c r="U23" s="15"/>
      <c r="V23" s="15"/>
      <c r="W23" s="15"/>
      <c r="X23" s="15"/>
      <c r="Y23" s="15"/>
      <c r="Z23" s="15"/>
      <c r="AA23" s="15"/>
      <c r="AE23" s="15"/>
      <c r="AF23" s="15"/>
      <c r="AG23" s="15"/>
      <c r="AH23" s="15"/>
      <c r="AI23" s="15"/>
      <c r="AJ23" s="15"/>
      <c r="AK23" s="15"/>
      <c r="AL23" s="15"/>
      <c r="AM23" s="15"/>
      <c r="AN23" s="17"/>
      <c r="AO23" s="17"/>
      <c r="AP23" s="17"/>
    </row>
    <row r="24" spans="1:42" x14ac:dyDescent="0.2">
      <c r="A24" s="15"/>
      <c r="B24" s="16"/>
      <c r="C24" s="15"/>
      <c r="D24" s="15"/>
      <c r="E24" s="15"/>
      <c r="F24" s="15"/>
      <c r="G24" s="17"/>
      <c r="H24" s="17"/>
      <c r="I24" s="15"/>
      <c r="S24" s="15"/>
      <c r="T24" s="15"/>
      <c r="U24" s="15"/>
      <c r="V24" s="15"/>
      <c r="W24" s="15"/>
      <c r="X24" s="15"/>
      <c r="Y24" s="15"/>
      <c r="Z24" s="15"/>
      <c r="AA24" s="15"/>
      <c r="AE24" s="15"/>
      <c r="AF24" s="15"/>
      <c r="AG24" s="15"/>
      <c r="AH24" s="15"/>
      <c r="AI24" s="15"/>
      <c r="AJ24" s="15"/>
      <c r="AK24" s="15"/>
      <c r="AL24" s="15"/>
      <c r="AM24" s="15"/>
      <c r="AN24" s="17"/>
      <c r="AO24" s="17"/>
      <c r="AP24" s="17"/>
    </row>
    <row r="25" spans="1:42" x14ac:dyDescent="0.2">
      <c r="A25" s="15"/>
      <c r="B25" s="16"/>
      <c r="C25" s="15"/>
      <c r="D25" s="15"/>
      <c r="E25" s="15"/>
      <c r="F25" s="15"/>
      <c r="G25" s="17"/>
      <c r="H25" s="17"/>
      <c r="I25" s="15"/>
      <c r="S25" s="15"/>
      <c r="T25" s="15"/>
      <c r="U25" s="15"/>
      <c r="V25" s="15"/>
      <c r="W25" s="15"/>
      <c r="X25" s="15"/>
      <c r="Y25" s="15"/>
      <c r="Z25" s="15"/>
      <c r="AA25" s="15"/>
      <c r="AE25" s="15"/>
      <c r="AF25" s="15"/>
      <c r="AG25" s="15"/>
      <c r="AH25" s="15"/>
      <c r="AI25" s="15"/>
      <c r="AJ25" s="15"/>
      <c r="AK25" s="15"/>
      <c r="AL25" s="15"/>
      <c r="AM25" s="15"/>
      <c r="AN25" s="17"/>
      <c r="AO25" s="17"/>
      <c r="AP25" s="17"/>
    </row>
    <row r="26" spans="1:42" x14ac:dyDescent="0.2">
      <c r="A26" s="15"/>
      <c r="B26" s="16"/>
      <c r="C26" s="15"/>
      <c r="D26" s="15"/>
      <c r="E26" s="15"/>
      <c r="F26" s="15"/>
      <c r="G26" s="17"/>
      <c r="H26" s="17"/>
      <c r="I26" s="15"/>
      <c r="S26" s="15"/>
      <c r="T26" s="15"/>
      <c r="U26" s="15"/>
      <c r="V26" s="15"/>
      <c r="W26" s="15"/>
      <c r="X26" s="15"/>
      <c r="Y26" s="15"/>
      <c r="Z26" s="15"/>
      <c r="AA26" s="15"/>
      <c r="AE26" s="15"/>
      <c r="AF26" s="15"/>
      <c r="AG26" s="15"/>
      <c r="AH26" s="15"/>
      <c r="AI26" s="15"/>
      <c r="AJ26" s="15"/>
      <c r="AK26" s="15"/>
      <c r="AL26" s="15"/>
      <c r="AM26" s="15"/>
      <c r="AN26" s="17"/>
      <c r="AO26" s="17"/>
      <c r="AP26" s="17"/>
    </row>
    <row r="27" spans="1:42" x14ac:dyDescent="0.2">
      <c r="A27" s="15"/>
      <c r="B27" s="16"/>
      <c r="C27" s="15"/>
      <c r="D27" s="15"/>
      <c r="E27" s="15"/>
      <c r="F27" s="15"/>
      <c r="G27" s="17"/>
      <c r="H27" s="17"/>
      <c r="I27" s="15"/>
      <c r="S27" s="15"/>
      <c r="T27" s="15"/>
      <c r="U27" s="15"/>
      <c r="V27" s="15"/>
      <c r="W27" s="15"/>
      <c r="X27" s="15"/>
      <c r="Y27" s="15"/>
      <c r="Z27" s="15"/>
      <c r="AA27" s="15"/>
      <c r="AE27" s="15"/>
      <c r="AF27" s="15"/>
      <c r="AG27" s="15"/>
      <c r="AH27" s="15"/>
      <c r="AI27" s="15"/>
      <c r="AJ27" s="15"/>
      <c r="AK27" s="15"/>
      <c r="AL27" s="15"/>
      <c r="AM27" s="15"/>
      <c r="AN27" s="17"/>
      <c r="AO27" s="17"/>
      <c r="AP27" s="17"/>
    </row>
    <row r="28" spans="1:42" x14ac:dyDescent="0.2">
      <c r="A28" s="15"/>
      <c r="B28" s="16"/>
      <c r="C28" s="15"/>
      <c r="D28" s="15"/>
      <c r="E28" s="15"/>
      <c r="F28" s="15"/>
      <c r="G28" s="17"/>
      <c r="H28" s="17"/>
      <c r="I28" s="15"/>
      <c r="S28" s="15"/>
      <c r="T28" s="15"/>
      <c r="U28" s="15"/>
      <c r="V28" s="15"/>
      <c r="W28" s="15"/>
      <c r="X28" s="15"/>
      <c r="Y28" s="15"/>
      <c r="Z28" s="15"/>
      <c r="AA28" s="15"/>
      <c r="AE28" s="15"/>
      <c r="AF28" s="15"/>
      <c r="AG28" s="15"/>
      <c r="AH28" s="15"/>
      <c r="AI28" s="15"/>
      <c r="AJ28" s="15"/>
      <c r="AK28" s="15"/>
      <c r="AL28" s="15"/>
      <c r="AM28" s="15"/>
      <c r="AN28" s="17"/>
      <c r="AO28" s="17"/>
      <c r="AP28" s="17"/>
    </row>
    <row r="29" spans="1:42" x14ac:dyDescent="0.2">
      <c r="A29" s="15"/>
      <c r="B29" s="16"/>
      <c r="C29" s="15"/>
      <c r="D29" s="15"/>
      <c r="E29" s="15"/>
      <c r="F29" s="15"/>
      <c r="G29" s="17"/>
      <c r="H29" s="17"/>
      <c r="I29" s="15"/>
      <c r="S29" s="15"/>
      <c r="T29" s="15"/>
      <c r="U29" s="15"/>
      <c r="V29" s="15"/>
      <c r="W29" s="15"/>
      <c r="X29" s="15"/>
      <c r="Y29" s="15"/>
      <c r="Z29" s="15"/>
      <c r="AA29" s="15"/>
      <c r="AE29" s="15"/>
      <c r="AF29" s="15"/>
      <c r="AG29" s="15"/>
      <c r="AH29" s="15"/>
      <c r="AI29" s="15"/>
      <c r="AJ29" s="15"/>
      <c r="AK29" s="15"/>
      <c r="AL29" s="15"/>
      <c r="AM29" s="15"/>
      <c r="AN29" s="17"/>
      <c r="AO29" s="17"/>
      <c r="AP29" s="17"/>
    </row>
    <row r="30" spans="1:42" x14ac:dyDescent="0.2">
      <c r="A30" s="15"/>
      <c r="B30" s="16"/>
      <c r="C30" s="15"/>
      <c r="D30" s="15"/>
      <c r="E30" s="15"/>
      <c r="F30" s="15"/>
      <c r="G30" s="17"/>
      <c r="H30" s="17"/>
      <c r="I30" s="15"/>
      <c r="S30" s="15"/>
      <c r="T30" s="15"/>
      <c r="U30" s="15"/>
      <c r="V30" s="15"/>
      <c r="W30" s="15"/>
      <c r="X30" s="15"/>
      <c r="Y30" s="15"/>
      <c r="Z30" s="15"/>
      <c r="AA30" s="15"/>
      <c r="AE30" s="15"/>
      <c r="AF30" s="15"/>
      <c r="AG30" s="15"/>
      <c r="AH30" s="15"/>
      <c r="AI30" s="15"/>
      <c r="AJ30" s="15"/>
      <c r="AK30" s="15"/>
      <c r="AL30" s="15"/>
      <c r="AM30" s="15"/>
      <c r="AN30" s="17"/>
      <c r="AO30" s="17"/>
      <c r="AP30" s="17"/>
    </row>
    <row r="31" spans="1:42" x14ac:dyDescent="0.2">
      <c r="A31" s="15"/>
      <c r="B31" s="16"/>
      <c r="C31" s="15"/>
      <c r="D31" s="15"/>
      <c r="E31" s="15"/>
      <c r="F31" s="15"/>
      <c r="G31" s="17"/>
      <c r="H31" s="17"/>
      <c r="I31" s="15"/>
      <c r="S31" s="15"/>
      <c r="T31" s="15"/>
      <c r="U31" s="15"/>
      <c r="V31" s="15"/>
      <c r="W31" s="15"/>
      <c r="X31" s="15"/>
      <c r="Y31" s="15"/>
      <c r="Z31" s="15"/>
      <c r="AA31" s="15"/>
      <c r="AE31" s="15"/>
      <c r="AF31" s="15"/>
      <c r="AG31" s="15"/>
      <c r="AH31" s="15"/>
      <c r="AI31" s="15"/>
      <c r="AJ31" s="15"/>
      <c r="AK31" s="15"/>
      <c r="AL31" s="15"/>
      <c r="AM31" s="15"/>
      <c r="AN31" s="17"/>
      <c r="AO31" s="17"/>
      <c r="AP31" s="17"/>
    </row>
    <row r="32" spans="1:42" x14ac:dyDescent="0.2">
      <c r="A32" s="15"/>
      <c r="B32" s="16"/>
      <c r="C32" s="15"/>
      <c r="D32" s="15"/>
      <c r="E32" s="15"/>
      <c r="F32" s="15"/>
      <c r="G32" s="17"/>
      <c r="H32" s="17"/>
      <c r="I32" s="15"/>
      <c r="S32" s="15"/>
      <c r="T32" s="15"/>
      <c r="U32" s="15"/>
      <c r="V32" s="15"/>
      <c r="W32" s="15"/>
      <c r="X32" s="15"/>
      <c r="Y32" s="15"/>
      <c r="Z32" s="15"/>
      <c r="AA32" s="15"/>
      <c r="AE32" s="15"/>
      <c r="AF32" s="15"/>
      <c r="AG32" s="15"/>
      <c r="AH32" s="15"/>
      <c r="AI32" s="15"/>
      <c r="AJ32" s="15"/>
      <c r="AK32" s="15"/>
      <c r="AL32" s="15"/>
      <c r="AM32" s="15"/>
      <c r="AN32" s="17"/>
      <c r="AO32" s="17"/>
      <c r="AP32" s="17"/>
    </row>
    <row r="33" spans="1:42" x14ac:dyDescent="0.2">
      <c r="A33" s="15"/>
      <c r="B33" s="16"/>
      <c r="C33" s="15"/>
      <c r="D33" s="15"/>
      <c r="E33" s="15"/>
      <c r="F33" s="15"/>
      <c r="G33" s="17"/>
      <c r="H33" s="17"/>
      <c r="I33" s="15"/>
      <c r="S33" s="15"/>
      <c r="T33" s="15"/>
      <c r="U33" s="15"/>
      <c r="V33" s="15"/>
      <c r="W33" s="15"/>
      <c r="X33" s="15"/>
      <c r="Y33" s="15"/>
      <c r="Z33" s="15"/>
      <c r="AA33" s="15"/>
      <c r="AE33" s="15"/>
      <c r="AF33" s="15"/>
      <c r="AG33" s="15"/>
      <c r="AH33" s="15"/>
      <c r="AI33" s="15"/>
      <c r="AJ33" s="15"/>
      <c r="AK33" s="15"/>
      <c r="AL33" s="15"/>
      <c r="AM33" s="15"/>
      <c r="AN33" s="17"/>
      <c r="AO33" s="17"/>
      <c r="AP33" s="17"/>
    </row>
    <row r="34" spans="1:42" x14ac:dyDescent="0.2">
      <c r="A34" s="15"/>
      <c r="B34" s="16"/>
      <c r="C34" s="15"/>
      <c r="D34" s="15"/>
      <c r="E34" s="15"/>
      <c r="F34" s="15"/>
      <c r="G34" s="17"/>
      <c r="H34" s="17"/>
      <c r="I34" s="15"/>
      <c r="S34" s="15"/>
      <c r="T34" s="15"/>
      <c r="U34" s="15"/>
      <c r="V34" s="15"/>
      <c r="W34" s="15"/>
      <c r="X34" s="15"/>
      <c r="Y34" s="15"/>
      <c r="Z34" s="15"/>
      <c r="AA34" s="15"/>
      <c r="AE34" s="15"/>
      <c r="AF34" s="15"/>
      <c r="AG34" s="15"/>
      <c r="AH34" s="15"/>
      <c r="AI34" s="15"/>
      <c r="AJ34" s="15"/>
      <c r="AK34" s="15"/>
      <c r="AL34" s="15"/>
      <c r="AM34" s="15"/>
      <c r="AN34" s="17"/>
      <c r="AO34" s="17"/>
      <c r="AP34" s="17"/>
    </row>
    <row r="35" spans="1:42" x14ac:dyDescent="0.2">
      <c r="A35" s="15"/>
      <c r="B35" s="16"/>
      <c r="C35" s="15"/>
      <c r="D35" s="15"/>
      <c r="E35" s="15"/>
      <c r="F35" s="15"/>
      <c r="G35" s="17"/>
      <c r="H35" s="17"/>
      <c r="I35" s="15"/>
      <c r="S35" s="15"/>
      <c r="T35" s="15"/>
      <c r="U35" s="15"/>
      <c r="V35" s="15"/>
      <c r="W35" s="15"/>
      <c r="X35" s="15"/>
      <c r="Y35" s="15"/>
      <c r="Z35" s="15"/>
      <c r="AA35" s="15"/>
      <c r="AE35" s="15"/>
      <c r="AF35" s="15"/>
      <c r="AG35" s="15"/>
      <c r="AH35" s="15"/>
      <c r="AI35" s="15"/>
      <c r="AJ35" s="15"/>
      <c r="AK35" s="15"/>
      <c r="AL35" s="15"/>
      <c r="AM35" s="15"/>
      <c r="AN35" s="17"/>
      <c r="AO35" s="17"/>
      <c r="AP35" s="17"/>
    </row>
    <row r="36" spans="1:42" x14ac:dyDescent="0.2">
      <c r="A36" s="15"/>
      <c r="B36" s="16"/>
      <c r="C36" s="15"/>
      <c r="D36" s="15"/>
      <c r="E36" s="15"/>
      <c r="F36" s="15"/>
      <c r="G36" s="17"/>
      <c r="H36" s="17"/>
      <c r="I36" s="15"/>
      <c r="S36" s="15"/>
      <c r="T36" s="15"/>
      <c r="U36" s="15"/>
      <c r="V36" s="15"/>
      <c r="W36" s="15"/>
      <c r="X36" s="15"/>
      <c r="Y36" s="15"/>
      <c r="Z36" s="15"/>
      <c r="AA36" s="15"/>
      <c r="AE36" s="15"/>
      <c r="AF36" s="15"/>
      <c r="AG36" s="15"/>
      <c r="AH36" s="15"/>
      <c r="AI36" s="15"/>
      <c r="AJ36" s="15"/>
      <c r="AK36" s="15"/>
      <c r="AL36" s="15"/>
      <c r="AM36" s="15"/>
      <c r="AN36" s="17"/>
      <c r="AO36" s="17"/>
      <c r="AP36" s="17"/>
    </row>
    <row r="37" spans="1:42" x14ac:dyDescent="0.2">
      <c r="A37" s="15"/>
      <c r="B37" s="16"/>
      <c r="C37" s="15"/>
      <c r="D37" s="15"/>
      <c r="E37" s="15"/>
      <c r="F37" s="15"/>
      <c r="G37" s="17"/>
      <c r="H37" s="17"/>
      <c r="I37" s="15"/>
      <c r="S37" s="15"/>
      <c r="T37" s="15"/>
      <c r="U37" s="15"/>
      <c r="V37" s="15"/>
      <c r="W37" s="15"/>
      <c r="X37" s="15"/>
      <c r="Y37" s="15"/>
      <c r="Z37" s="15"/>
      <c r="AA37" s="15"/>
      <c r="AE37" s="15"/>
      <c r="AF37" s="15"/>
      <c r="AG37" s="15"/>
      <c r="AH37" s="15"/>
      <c r="AI37" s="15"/>
      <c r="AJ37" s="15"/>
      <c r="AK37" s="15"/>
      <c r="AL37" s="15"/>
      <c r="AM37" s="15"/>
      <c r="AN37" s="17"/>
      <c r="AO37" s="17"/>
      <c r="AP37" s="17"/>
    </row>
    <row r="38" spans="1:42" x14ac:dyDescent="0.2">
      <c r="A38" s="15"/>
      <c r="B38" s="16"/>
      <c r="C38" s="15"/>
      <c r="D38" s="15"/>
      <c r="E38" s="15"/>
      <c r="F38" s="15"/>
      <c r="G38" s="17"/>
      <c r="H38" s="17"/>
      <c r="I38" s="15"/>
      <c r="S38" s="15"/>
      <c r="T38" s="15"/>
      <c r="U38" s="15"/>
      <c r="V38" s="15"/>
      <c r="W38" s="15"/>
      <c r="X38" s="15"/>
      <c r="Y38" s="15"/>
      <c r="Z38" s="15"/>
      <c r="AA38" s="15"/>
      <c r="AE38" s="15"/>
      <c r="AF38" s="15"/>
      <c r="AG38" s="15"/>
      <c r="AH38" s="15"/>
      <c r="AI38" s="15"/>
      <c r="AJ38" s="15"/>
      <c r="AK38" s="15"/>
      <c r="AL38" s="15"/>
      <c r="AM38" s="15"/>
      <c r="AN38" s="17"/>
      <c r="AO38" s="17"/>
      <c r="AP38" s="17"/>
    </row>
    <row r="39" spans="1:42" x14ac:dyDescent="0.2">
      <c r="A39" s="15"/>
      <c r="B39" s="16"/>
      <c r="C39" s="15"/>
      <c r="D39" s="15"/>
      <c r="E39" s="15"/>
      <c r="F39" s="15"/>
      <c r="G39" s="17"/>
      <c r="H39" s="17"/>
      <c r="I39" s="15"/>
      <c r="S39" s="15"/>
      <c r="T39" s="15"/>
      <c r="U39" s="15"/>
      <c r="V39" s="15"/>
      <c r="W39" s="15"/>
      <c r="X39" s="15"/>
      <c r="Y39" s="15"/>
      <c r="Z39" s="15"/>
      <c r="AA39" s="15"/>
      <c r="AE39" s="15"/>
      <c r="AF39" s="15"/>
      <c r="AG39" s="15"/>
      <c r="AH39" s="15"/>
      <c r="AI39" s="15"/>
      <c r="AJ39" s="15"/>
      <c r="AK39" s="15"/>
      <c r="AL39" s="15"/>
      <c r="AM39" s="15"/>
      <c r="AN39" s="17"/>
      <c r="AO39" s="17"/>
      <c r="AP39" s="17"/>
    </row>
    <row r="40" spans="1:42" x14ac:dyDescent="0.2">
      <c r="A40" s="15"/>
      <c r="B40" s="16"/>
      <c r="C40" s="15"/>
      <c r="D40" s="15"/>
      <c r="E40" s="15"/>
      <c r="F40" s="15"/>
      <c r="G40" s="17"/>
      <c r="H40" s="17"/>
      <c r="I40" s="15"/>
      <c r="S40" s="15"/>
      <c r="T40" s="15"/>
      <c r="U40" s="15"/>
      <c r="V40" s="15"/>
      <c r="W40" s="15"/>
      <c r="X40" s="15"/>
      <c r="Y40" s="15"/>
      <c r="Z40" s="15"/>
      <c r="AA40" s="15"/>
      <c r="AE40" s="15"/>
      <c r="AF40" s="15"/>
      <c r="AG40" s="15"/>
      <c r="AH40" s="15"/>
      <c r="AI40" s="15"/>
      <c r="AJ40" s="15"/>
      <c r="AK40" s="15"/>
      <c r="AL40" s="15"/>
      <c r="AM40" s="15"/>
      <c r="AN40" s="17"/>
      <c r="AO40" s="17"/>
      <c r="AP40" s="17"/>
    </row>
    <row r="41" spans="1:42" x14ac:dyDescent="0.2">
      <c r="A41" s="15"/>
      <c r="B41" s="16"/>
      <c r="C41" s="15"/>
      <c r="D41" s="15"/>
      <c r="E41" s="15"/>
      <c r="F41" s="15"/>
      <c r="G41" s="17"/>
      <c r="H41" s="17"/>
      <c r="I41" s="15"/>
      <c r="S41" s="15"/>
      <c r="T41" s="15"/>
      <c r="U41" s="15"/>
      <c r="V41" s="15"/>
      <c r="W41" s="15"/>
      <c r="X41" s="15"/>
      <c r="Y41" s="15"/>
      <c r="Z41" s="15"/>
      <c r="AA41" s="15"/>
      <c r="AE41" s="15"/>
      <c r="AF41" s="15"/>
      <c r="AG41" s="15"/>
      <c r="AH41" s="15"/>
      <c r="AI41" s="15"/>
      <c r="AJ41" s="15"/>
      <c r="AK41" s="15"/>
      <c r="AL41" s="15"/>
      <c r="AM41" s="15"/>
      <c r="AN41" s="17"/>
      <c r="AO41" s="17"/>
      <c r="AP41" s="17"/>
    </row>
    <row r="42" spans="1:42" x14ac:dyDescent="0.2">
      <c r="A42" s="15"/>
      <c r="B42" s="16"/>
      <c r="C42" s="15"/>
      <c r="D42" s="15"/>
      <c r="E42" s="15"/>
      <c r="F42" s="15"/>
      <c r="G42" s="17"/>
      <c r="H42" s="17"/>
      <c r="I42" s="15"/>
      <c r="S42" s="15"/>
      <c r="T42" s="15"/>
      <c r="U42" s="15"/>
      <c r="V42" s="15"/>
      <c r="W42" s="15"/>
      <c r="X42" s="15"/>
      <c r="Y42" s="15"/>
      <c r="Z42" s="15"/>
      <c r="AA42" s="15"/>
      <c r="AE42" s="15"/>
      <c r="AF42" s="15"/>
      <c r="AG42" s="15"/>
      <c r="AH42" s="15"/>
      <c r="AI42" s="15"/>
      <c r="AJ42" s="15"/>
      <c r="AK42" s="15"/>
      <c r="AL42" s="15"/>
      <c r="AM42" s="15"/>
      <c r="AN42" s="17"/>
      <c r="AO42" s="17"/>
      <c r="AP42" s="17"/>
    </row>
    <row r="43" spans="1:42" x14ac:dyDescent="0.2">
      <c r="A43" s="15"/>
      <c r="B43" s="16"/>
      <c r="C43" s="15"/>
      <c r="D43" s="15"/>
      <c r="E43" s="15"/>
      <c r="F43" s="15"/>
      <c r="G43" s="17"/>
      <c r="H43" s="17"/>
      <c r="I43" s="15"/>
      <c r="S43" s="15"/>
      <c r="T43" s="15"/>
      <c r="U43" s="15"/>
      <c r="V43" s="15"/>
      <c r="W43" s="15"/>
      <c r="X43" s="15"/>
      <c r="Y43" s="15"/>
      <c r="Z43" s="15"/>
      <c r="AA43" s="15"/>
      <c r="AE43" s="15"/>
      <c r="AF43" s="15"/>
      <c r="AG43" s="15"/>
      <c r="AH43" s="15"/>
      <c r="AI43" s="15"/>
      <c r="AJ43" s="15"/>
      <c r="AK43" s="15"/>
      <c r="AL43" s="15"/>
      <c r="AM43" s="15"/>
      <c r="AN43" s="17"/>
      <c r="AO43" s="17"/>
      <c r="AP43" s="17"/>
    </row>
    <row r="44" spans="1:42" x14ac:dyDescent="0.2">
      <c r="A44" s="15"/>
      <c r="B44" s="16"/>
      <c r="C44" s="15"/>
      <c r="D44" s="15"/>
      <c r="E44" s="15"/>
      <c r="F44" s="15"/>
      <c r="G44" s="17"/>
      <c r="H44" s="17"/>
      <c r="I44" s="15"/>
      <c r="S44" s="15"/>
      <c r="T44" s="15"/>
      <c r="U44" s="15"/>
      <c r="V44" s="15"/>
      <c r="W44" s="15"/>
      <c r="X44" s="15"/>
      <c r="Y44" s="15"/>
      <c r="Z44" s="15"/>
      <c r="AA44" s="15"/>
      <c r="AE44" s="15"/>
      <c r="AF44" s="15"/>
      <c r="AG44" s="15"/>
      <c r="AH44" s="15"/>
      <c r="AI44" s="15"/>
      <c r="AJ44" s="15"/>
      <c r="AK44" s="15"/>
      <c r="AL44" s="15"/>
      <c r="AM44" s="15"/>
      <c r="AN44" s="17"/>
      <c r="AO44" s="17"/>
      <c r="AP44" s="17"/>
    </row>
    <row r="45" spans="1:42" x14ac:dyDescent="0.2">
      <c r="A45" s="15"/>
      <c r="B45" s="16"/>
      <c r="C45" s="15"/>
      <c r="D45" s="15"/>
      <c r="E45" s="15"/>
      <c r="F45" s="15"/>
      <c r="G45" s="17"/>
      <c r="H45" s="17"/>
      <c r="I45" s="15"/>
      <c r="S45" s="15"/>
      <c r="T45" s="15"/>
      <c r="U45" s="15"/>
      <c r="V45" s="15"/>
      <c r="W45" s="15"/>
      <c r="X45" s="15"/>
      <c r="Y45" s="15"/>
      <c r="Z45" s="15"/>
      <c r="AA45" s="15"/>
      <c r="AE45" s="15"/>
      <c r="AF45" s="15"/>
      <c r="AG45" s="15"/>
      <c r="AH45" s="15"/>
      <c r="AI45" s="15"/>
      <c r="AJ45" s="15"/>
      <c r="AK45" s="15"/>
      <c r="AL45" s="15"/>
      <c r="AM45" s="15"/>
      <c r="AN45" s="17"/>
      <c r="AO45" s="17"/>
      <c r="AP45" s="17"/>
    </row>
    <row r="46" spans="1:42" x14ac:dyDescent="0.2">
      <c r="A46" s="15"/>
      <c r="B46" s="16"/>
      <c r="C46" s="15"/>
      <c r="D46" s="15"/>
      <c r="E46" s="15"/>
      <c r="F46" s="15"/>
      <c r="G46" s="17"/>
      <c r="H46" s="17"/>
      <c r="I46" s="15"/>
      <c r="S46" s="15"/>
      <c r="T46" s="15"/>
      <c r="U46" s="15"/>
      <c r="V46" s="15"/>
      <c r="W46" s="15"/>
      <c r="X46" s="15"/>
      <c r="Y46" s="15"/>
      <c r="Z46" s="15"/>
      <c r="AA46" s="15"/>
      <c r="AE46" s="15"/>
      <c r="AF46" s="15"/>
      <c r="AG46" s="15"/>
      <c r="AH46" s="15"/>
      <c r="AI46" s="15"/>
      <c r="AJ46" s="15"/>
      <c r="AK46" s="15"/>
      <c r="AL46" s="15"/>
      <c r="AM46" s="15"/>
      <c r="AN46" s="17"/>
      <c r="AO46" s="17"/>
      <c r="AP46" s="17"/>
    </row>
    <row r="47" spans="1:42" x14ac:dyDescent="0.2">
      <c r="A47" s="15"/>
      <c r="B47" s="16"/>
      <c r="C47" s="15"/>
      <c r="D47" s="15"/>
      <c r="E47" s="15"/>
      <c r="F47" s="15"/>
      <c r="G47" s="17"/>
      <c r="H47" s="17"/>
      <c r="I47" s="15"/>
      <c r="S47" s="15"/>
      <c r="T47" s="15"/>
      <c r="U47" s="15"/>
      <c r="V47" s="15"/>
      <c r="W47" s="15"/>
      <c r="X47" s="15"/>
      <c r="Y47" s="15"/>
      <c r="Z47" s="15"/>
      <c r="AA47" s="15"/>
      <c r="AE47" s="15"/>
      <c r="AF47" s="15"/>
      <c r="AG47" s="15"/>
      <c r="AH47" s="15"/>
      <c r="AI47" s="15"/>
      <c r="AJ47" s="15"/>
      <c r="AK47" s="15"/>
      <c r="AL47" s="15"/>
      <c r="AM47" s="15"/>
      <c r="AN47" s="17"/>
      <c r="AO47" s="17"/>
      <c r="AP47" s="17"/>
    </row>
    <row r="48" spans="1:42" x14ac:dyDescent="0.2">
      <c r="A48" s="15"/>
      <c r="B48" s="16"/>
      <c r="C48" s="15"/>
      <c r="D48" s="15"/>
      <c r="E48" s="15"/>
      <c r="F48" s="15"/>
      <c r="G48" s="17"/>
      <c r="H48" s="17"/>
      <c r="I48" s="15"/>
      <c r="S48" s="15"/>
      <c r="T48" s="15"/>
      <c r="U48" s="15"/>
      <c r="V48" s="15"/>
      <c r="W48" s="15"/>
      <c r="X48" s="15"/>
      <c r="Y48" s="15"/>
      <c r="Z48" s="15"/>
      <c r="AA48" s="15"/>
      <c r="AE48" s="15"/>
      <c r="AF48" s="15"/>
      <c r="AG48" s="15"/>
      <c r="AH48" s="15"/>
      <c r="AI48" s="15"/>
      <c r="AJ48" s="15"/>
      <c r="AK48" s="15"/>
      <c r="AL48" s="15"/>
      <c r="AM48" s="15"/>
      <c r="AN48" s="17"/>
      <c r="AO48" s="17"/>
      <c r="AP48" s="17"/>
    </row>
    <row r="49" spans="1:42" x14ac:dyDescent="0.2">
      <c r="A49" s="15"/>
      <c r="B49" s="16"/>
      <c r="C49" s="15"/>
      <c r="D49" s="15"/>
      <c r="E49" s="15"/>
      <c r="F49" s="15"/>
      <c r="G49" s="17"/>
      <c r="H49" s="17"/>
      <c r="I49" s="15"/>
      <c r="S49" s="15"/>
      <c r="T49" s="15"/>
      <c r="U49" s="15"/>
      <c r="V49" s="15"/>
      <c r="W49" s="15"/>
      <c r="X49" s="15"/>
      <c r="Y49" s="15"/>
      <c r="Z49" s="15"/>
      <c r="AA49" s="15"/>
      <c r="AE49" s="15"/>
      <c r="AF49" s="15"/>
      <c r="AG49" s="15"/>
      <c r="AH49" s="15"/>
      <c r="AI49" s="15"/>
      <c r="AJ49" s="15"/>
      <c r="AK49" s="15"/>
      <c r="AL49" s="15"/>
      <c r="AM49" s="15"/>
      <c r="AN49" s="17"/>
      <c r="AO49" s="17"/>
      <c r="AP49" s="17"/>
    </row>
    <row r="50" spans="1:42" x14ac:dyDescent="0.2">
      <c r="A50" s="15"/>
      <c r="B50" s="16"/>
      <c r="C50" s="15"/>
      <c r="D50" s="15"/>
      <c r="E50" s="15"/>
      <c r="F50" s="15"/>
      <c r="G50" s="17"/>
      <c r="H50" s="17"/>
      <c r="I50" s="15"/>
      <c r="S50" s="15"/>
      <c r="T50" s="15"/>
      <c r="U50" s="15"/>
      <c r="V50" s="15"/>
      <c r="W50" s="15"/>
      <c r="X50" s="15"/>
      <c r="Y50" s="15"/>
      <c r="Z50" s="15"/>
      <c r="AA50" s="15"/>
      <c r="AE50" s="15"/>
      <c r="AF50" s="15"/>
      <c r="AG50" s="15"/>
      <c r="AH50" s="15"/>
      <c r="AI50" s="15"/>
      <c r="AJ50" s="15"/>
      <c r="AK50" s="15"/>
      <c r="AL50" s="15"/>
      <c r="AM50" s="15"/>
      <c r="AN50" s="17"/>
      <c r="AO50" s="17"/>
      <c r="AP50" s="17"/>
    </row>
    <row r="51" spans="1:42" x14ac:dyDescent="0.2">
      <c r="A51" s="15"/>
      <c r="B51" s="16"/>
      <c r="C51" s="15"/>
      <c r="D51" s="15"/>
      <c r="E51" s="15"/>
      <c r="F51" s="15"/>
      <c r="G51" s="17"/>
      <c r="H51" s="17"/>
      <c r="I51" s="15"/>
      <c r="S51" s="15"/>
      <c r="T51" s="15"/>
      <c r="U51" s="15"/>
      <c r="V51" s="15"/>
      <c r="W51" s="15"/>
      <c r="X51" s="15"/>
      <c r="Y51" s="15"/>
      <c r="Z51" s="15"/>
      <c r="AA51" s="15"/>
      <c r="AE51" s="15"/>
      <c r="AF51" s="15"/>
      <c r="AG51" s="15"/>
      <c r="AH51" s="15"/>
      <c r="AI51" s="15"/>
      <c r="AJ51" s="15"/>
      <c r="AK51" s="15"/>
      <c r="AL51" s="15"/>
      <c r="AM51" s="15"/>
      <c r="AN51" s="17"/>
      <c r="AO51" s="17"/>
      <c r="AP51" s="17"/>
    </row>
    <row r="52" spans="1:42" x14ac:dyDescent="0.2">
      <c r="A52" s="15"/>
      <c r="B52" s="16"/>
      <c r="C52" s="15"/>
      <c r="D52" s="15"/>
      <c r="E52" s="15"/>
      <c r="F52" s="15"/>
      <c r="G52" s="17"/>
      <c r="H52" s="17"/>
      <c r="I52" s="15"/>
      <c r="S52" s="15"/>
      <c r="T52" s="15"/>
      <c r="U52" s="15"/>
      <c r="V52" s="15"/>
      <c r="W52" s="15"/>
      <c r="X52" s="15"/>
      <c r="Y52" s="15"/>
      <c r="Z52" s="15"/>
      <c r="AA52" s="15"/>
      <c r="AE52" s="15"/>
      <c r="AF52" s="15"/>
      <c r="AG52" s="15"/>
      <c r="AH52" s="15"/>
      <c r="AI52" s="15"/>
      <c r="AJ52" s="15"/>
      <c r="AK52" s="15"/>
      <c r="AL52" s="15"/>
      <c r="AM52" s="15"/>
      <c r="AN52" s="17"/>
      <c r="AO52" s="17"/>
      <c r="AP52" s="17"/>
    </row>
    <row r="53" spans="1:42" x14ac:dyDescent="0.2">
      <c r="A53" s="15"/>
      <c r="B53" s="16"/>
      <c r="C53" s="15"/>
      <c r="D53" s="15"/>
      <c r="E53" s="15"/>
      <c r="F53" s="15"/>
      <c r="G53" s="17"/>
      <c r="H53" s="17"/>
      <c r="I53" s="15"/>
      <c r="S53" s="15"/>
      <c r="T53" s="15"/>
      <c r="U53" s="15"/>
      <c r="V53" s="15"/>
      <c r="W53" s="15"/>
      <c r="X53" s="15"/>
      <c r="Y53" s="15"/>
      <c r="Z53" s="15"/>
      <c r="AA53" s="15"/>
      <c r="AE53" s="15"/>
      <c r="AF53" s="15"/>
      <c r="AG53" s="15"/>
      <c r="AH53" s="15"/>
      <c r="AI53" s="15"/>
      <c r="AJ53" s="15"/>
      <c r="AK53" s="15"/>
      <c r="AL53" s="15"/>
      <c r="AM53" s="15"/>
      <c r="AN53" s="17"/>
      <c r="AO53" s="17"/>
      <c r="AP53" s="17"/>
    </row>
    <row r="54" spans="1:42" x14ac:dyDescent="0.2">
      <c r="A54" s="15"/>
      <c r="B54" s="16"/>
      <c r="C54" s="15"/>
      <c r="D54" s="15"/>
      <c r="E54" s="15"/>
      <c r="F54" s="15"/>
      <c r="G54" s="17"/>
      <c r="H54" s="17"/>
      <c r="I54" s="15"/>
      <c r="S54" s="15"/>
      <c r="T54" s="15"/>
      <c r="U54" s="15"/>
      <c r="V54" s="15"/>
      <c r="W54" s="15"/>
      <c r="X54" s="15"/>
      <c r="Y54" s="15"/>
      <c r="Z54" s="15"/>
      <c r="AA54" s="15"/>
      <c r="AE54" s="15"/>
      <c r="AF54" s="15"/>
      <c r="AG54" s="15"/>
      <c r="AH54" s="15"/>
      <c r="AI54" s="15"/>
      <c r="AJ54" s="15"/>
      <c r="AK54" s="15"/>
      <c r="AL54" s="15"/>
      <c r="AM54" s="15"/>
      <c r="AN54" s="17"/>
      <c r="AO54" s="17"/>
      <c r="AP54" s="17"/>
    </row>
    <row r="55" spans="1:42" x14ac:dyDescent="0.2">
      <c r="A55" s="15"/>
      <c r="B55" s="16"/>
      <c r="C55" s="15"/>
      <c r="D55" s="15"/>
      <c r="E55" s="15"/>
      <c r="F55" s="15"/>
      <c r="G55" s="17"/>
      <c r="H55" s="17"/>
      <c r="I55" s="15"/>
      <c r="S55" s="15"/>
      <c r="T55" s="15"/>
      <c r="U55" s="15"/>
      <c r="V55" s="15"/>
      <c r="W55" s="15"/>
      <c r="X55" s="15"/>
      <c r="Y55" s="15"/>
      <c r="Z55" s="15"/>
      <c r="AA55" s="15"/>
      <c r="AE55" s="15"/>
      <c r="AF55" s="15"/>
      <c r="AG55" s="15"/>
      <c r="AH55" s="15"/>
      <c r="AI55" s="15"/>
      <c r="AJ55" s="15"/>
      <c r="AK55" s="15"/>
      <c r="AL55" s="15"/>
      <c r="AM55" s="15"/>
      <c r="AN55" s="17"/>
      <c r="AO55" s="17"/>
      <c r="AP55" s="17"/>
    </row>
    <row r="56" spans="1:42" x14ac:dyDescent="0.2">
      <c r="A56" s="15"/>
      <c r="B56" s="16"/>
      <c r="C56" s="15"/>
      <c r="D56" s="15"/>
      <c r="E56" s="15"/>
      <c r="F56" s="15"/>
      <c r="G56" s="17"/>
      <c r="H56" s="17"/>
      <c r="I56" s="15"/>
      <c r="S56" s="15"/>
      <c r="T56" s="15"/>
      <c r="U56" s="15"/>
      <c r="V56" s="15"/>
      <c r="W56" s="15"/>
      <c r="X56" s="15"/>
      <c r="Y56" s="15"/>
      <c r="Z56" s="15"/>
      <c r="AA56" s="15"/>
      <c r="AE56" s="15"/>
      <c r="AF56" s="15"/>
      <c r="AG56" s="15"/>
      <c r="AH56" s="15"/>
      <c r="AI56" s="15"/>
      <c r="AJ56" s="15"/>
      <c r="AK56" s="15"/>
      <c r="AL56" s="15"/>
      <c r="AM56" s="15"/>
      <c r="AN56" s="17"/>
      <c r="AO56" s="17"/>
      <c r="AP56" s="17"/>
    </row>
    <row r="57" spans="1:42" x14ac:dyDescent="0.2">
      <c r="A57" s="15"/>
      <c r="B57" s="16"/>
      <c r="C57" s="15"/>
      <c r="D57" s="15"/>
      <c r="E57" s="15"/>
      <c r="F57" s="15"/>
      <c r="G57" s="17"/>
      <c r="H57" s="17"/>
      <c r="I57" s="15"/>
      <c r="S57" s="15"/>
      <c r="T57" s="15"/>
      <c r="U57" s="15"/>
      <c r="V57" s="15"/>
      <c r="W57" s="15"/>
      <c r="X57" s="15"/>
      <c r="Y57" s="15"/>
      <c r="Z57" s="15"/>
      <c r="AA57" s="15"/>
      <c r="AE57" s="15"/>
      <c r="AF57" s="15"/>
      <c r="AG57" s="15"/>
      <c r="AH57" s="15"/>
      <c r="AI57" s="15"/>
      <c r="AJ57" s="15"/>
      <c r="AK57" s="15"/>
      <c r="AL57" s="15"/>
      <c r="AM57" s="15"/>
      <c r="AN57" s="17"/>
      <c r="AO57" s="17"/>
      <c r="AP57" s="17"/>
    </row>
    <row r="58" spans="1:42" x14ac:dyDescent="0.2">
      <c r="A58" s="15"/>
      <c r="B58" s="16"/>
      <c r="C58" s="15"/>
      <c r="D58" s="15"/>
      <c r="E58" s="15"/>
      <c r="F58" s="15"/>
      <c r="G58" s="17"/>
      <c r="H58" s="17"/>
      <c r="I58" s="15"/>
      <c r="S58" s="15"/>
      <c r="T58" s="15"/>
      <c r="U58" s="15"/>
      <c r="V58" s="15"/>
      <c r="W58" s="15"/>
      <c r="X58" s="15"/>
      <c r="Y58" s="15"/>
      <c r="Z58" s="15"/>
      <c r="AA58" s="15"/>
      <c r="AE58" s="15"/>
      <c r="AF58" s="15"/>
      <c r="AG58" s="15"/>
      <c r="AH58" s="15"/>
      <c r="AI58" s="15"/>
      <c r="AJ58" s="15"/>
      <c r="AK58" s="15"/>
      <c r="AL58" s="15"/>
      <c r="AM58" s="15"/>
      <c r="AN58" s="17"/>
      <c r="AO58" s="17"/>
      <c r="AP58" s="17"/>
    </row>
    <row r="59" spans="1:42" x14ac:dyDescent="0.2">
      <c r="A59" s="15"/>
      <c r="B59" s="16"/>
      <c r="C59" s="15"/>
      <c r="D59" s="15"/>
      <c r="E59" s="15"/>
      <c r="F59" s="15"/>
      <c r="G59" s="17"/>
      <c r="H59" s="17"/>
      <c r="I59" s="15"/>
      <c r="S59" s="15"/>
      <c r="T59" s="15"/>
      <c r="U59" s="15"/>
      <c r="V59" s="15"/>
      <c r="W59" s="15"/>
      <c r="X59" s="15"/>
      <c r="Y59" s="15"/>
      <c r="Z59" s="15"/>
      <c r="AA59" s="15"/>
      <c r="AE59" s="15"/>
      <c r="AF59" s="15"/>
      <c r="AG59" s="15"/>
      <c r="AH59" s="15"/>
      <c r="AI59" s="15"/>
      <c r="AJ59" s="15"/>
      <c r="AK59" s="15"/>
      <c r="AL59" s="15"/>
      <c r="AM59" s="15"/>
      <c r="AN59" s="17"/>
      <c r="AO59" s="17"/>
      <c r="AP59" s="17"/>
    </row>
    <row r="60" spans="1:42" x14ac:dyDescent="0.2">
      <c r="A60" s="15"/>
      <c r="B60" s="16"/>
      <c r="C60" s="15"/>
      <c r="D60" s="15"/>
      <c r="E60" s="15"/>
      <c r="F60" s="15"/>
      <c r="G60" s="17"/>
      <c r="H60" s="17"/>
      <c r="I60" s="15"/>
      <c r="S60" s="15"/>
      <c r="T60" s="15"/>
      <c r="U60" s="15"/>
      <c r="V60" s="15"/>
      <c r="W60" s="15"/>
      <c r="X60" s="15"/>
      <c r="Y60" s="15"/>
      <c r="Z60" s="15"/>
      <c r="AA60" s="15"/>
      <c r="AE60" s="15"/>
      <c r="AF60" s="15"/>
      <c r="AG60" s="15"/>
      <c r="AH60" s="15"/>
      <c r="AI60" s="15"/>
      <c r="AJ60" s="15"/>
      <c r="AK60" s="15"/>
      <c r="AL60" s="15"/>
      <c r="AM60" s="15"/>
      <c r="AN60" s="17"/>
      <c r="AO60" s="17"/>
      <c r="AP60" s="17"/>
    </row>
    <row r="61" spans="1:42" x14ac:dyDescent="0.2">
      <c r="A61" s="15"/>
      <c r="B61" s="16"/>
      <c r="C61" s="15"/>
      <c r="D61" s="15"/>
      <c r="E61" s="15"/>
      <c r="F61" s="15"/>
      <c r="G61" s="17"/>
      <c r="H61" s="17"/>
      <c r="I61" s="15"/>
      <c r="S61" s="15"/>
      <c r="T61" s="15"/>
      <c r="U61" s="15"/>
      <c r="V61" s="15"/>
      <c r="W61" s="15"/>
      <c r="X61" s="15"/>
      <c r="Y61" s="15"/>
      <c r="Z61" s="15"/>
      <c r="AA61" s="15"/>
      <c r="AE61" s="15"/>
      <c r="AF61" s="15"/>
      <c r="AG61" s="15"/>
      <c r="AH61" s="15"/>
      <c r="AI61" s="15"/>
      <c r="AJ61" s="15"/>
      <c r="AK61" s="15"/>
      <c r="AL61" s="15"/>
      <c r="AM61" s="15"/>
      <c r="AN61" s="17"/>
      <c r="AO61" s="17"/>
      <c r="AP61" s="17"/>
    </row>
    <row r="62" spans="1:42" x14ac:dyDescent="0.2">
      <c r="A62" s="15"/>
      <c r="B62" s="16"/>
      <c r="C62" s="15"/>
      <c r="D62" s="15"/>
      <c r="E62" s="15"/>
      <c r="F62" s="15"/>
      <c r="G62" s="17"/>
      <c r="H62" s="17"/>
      <c r="I62" s="15"/>
      <c r="S62" s="15"/>
      <c r="T62" s="15"/>
      <c r="U62" s="15"/>
      <c r="V62" s="15"/>
      <c r="W62" s="15"/>
      <c r="X62" s="15"/>
      <c r="Y62" s="15"/>
      <c r="Z62" s="15"/>
      <c r="AA62" s="15"/>
      <c r="AE62" s="15"/>
      <c r="AF62" s="15"/>
      <c r="AG62" s="15"/>
      <c r="AH62" s="15"/>
      <c r="AI62" s="15"/>
      <c r="AJ62" s="15"/>
      <c r="AK62" s="15"/>
      <c r="AL62" s="15"/>
      <c r="AM62" s="15"/>
      <c r="AN62" s="17"/>
      <c r="AO62" s="17"/>
      <c r="AP62" s="17"/>
    </row>
    <row r="63" spans="1:42" x14ac:dyDescent="0.2">
      <c r="A63" s="15"/>
      <c r="B63" s="16"/>
      <c r="C63" s="15"/>
      <c r="D63" s="15"/>
      <c r="E63" s="15"/>
      <c r="F63" s="15"/>
      <c r="G63" s="17"/>
      <c r="H63" s="17"/>
      <c r="I63" s="15"/>
      <c r="S63" s="15"/>
      <c r="T63" s="15"/>
      <c r="U63" s="15"/>
      <c r="V63" s="15"/>
      <c r="W63" s="15"/>
      <c r="X63" s="15"/>
      <c r="Y63" s="15"/>
      <c r="Z63" s="15"/>
      <c r="AA63" s="15"/>
      <c r="AE63" s="15"/>
      <c r="AF63" s="15"/>
      <c r="AG63" s="15"/>
      <c r="AH63" s="15"/>
      <c r="AI63" s="15"/>
      <c r="AJ63" s="15"/>
      <c r="AK63" s="15"/>
      <c r="AL63" s="15"/>
      <c r="AM63" s="15"/>
      <c r="AN63" s="17"/>
      <c r="AO63" s="17"/>
      <c r="AP63" s="17"/>
    </row>
    <row r="64" spans="1:42" x14ac:dyDescent="0.2">
      <c r="A64" s="15"/>
      <c r="B64" s="16"/>
      <c r="C64" s="15"/>
      <c r="D64" s="15"/>
      <c r="E64" s="15"/>
      <c r="F64" s="15"/>
      <c r="G64" s="17"/>
      <c r="H64" s="17"/>
      <c r="I64" s="15"/>
      <c r="S64" s="15"/>
      <c r="T64" s="15"/>
      <c r="U64" s="15"/>
      <c r="V64" s="15"/>
      <c r="W64" s="15"/>
      <c r="X64" s="15"/>
      <c r="Y64" s="15"/>
      <c r="Z64" s="15"/>
      <c r="AA64" s="15"/>
      <c r="AE64" s="15"/>
      <c r="AF64" s="15"/>
      <c r="AG64" s="15"/>
      <c r="AH64" s="15"/>
      <c r="AI64" s="15"/>
      <c r="AJ64" s="15"/>
      <c r="AK64" s="15"/>
      <c r="AL64" s="15"/>
      <c r="AM64" s="15"/>
      <c r="AN64" s="17"/>
      <c r="AO64" s="17"/>
      <c r="AP64" s="17"/>
    </row>
    <row r="65" spans="1:42" x14ac:dyDescent="0.2">
      <c r="A65" s="15"/>
      <c r="B65" s="16"/>
      <c r="C65" s="15"/>
      <c r="D65" s="15"/>
      <c r="E65" s="15"/>
      <c r="F65" s="15"/>
      <c r="G65" s="17"/>
      <c r="H65" s="17"/>
      <c r="I65" s="15"/>
      <c r="S65" s="15"/>
      <c r="T65" s="15"/>
      <c r="U65" s="15"/>
      <c r="V65" s="15"/>
      <c r="W65" s="15"/>
      <c r="X65" s="15"/>
      <c r="Y65" s="15"/>
      <c r="Z65" s="15"/>
      <c r="AA65" s="15"/>
      <c r="AE65" s="15"/>
      <c r="AF65" s="15"/>
      <c r="AG65" s="15"/>
      <c r="AH65" s="15"/>
      <c r="AI65" s="15"/>
      <c r="AJ65" s="15"/>
      <c r="AK65" s="15"/>
      <c r="AL65" s="15"/>
      <c r="AM65" s="15"/>
      <c r="AN65" s="17"/>
      <c r="AO65" s="17"/>
      <c r="AP65" s="17"/>
    </row>
    <row r="66" spans="1:42" x14ac:dyDescent="0.2">
      <c r="A66" s="15"/>
      <c r="B66" s="16"/>
      <c r="C66" s="15"/>
      <c r="D66" s="15"/>
      <c r="E66" s="15"/>
      <c r="F66" s="15"/>
      <c r="G66" s="17"/>
      <c r="H66" s="17"/>
      <c r="I66" s="15"/>
      <c r="S66" s="15"/>
      <c r="T66" s="15"/>
      <c r="U66" s="15"/>
      <c r="V66" s="15"/>
      <c r="W66" s="15"/>
      <c r="X66" s="15"/>
      <c r="Y66" s="15"/>
      <c r="Z66" s="15"/>
      <c r="AA66" s="15"/>
      <c r="AE66" s="15"/>
      <c r="AF66" s="15"/>
      <c r="AG66" s="15"/>
      <c r="AH66" s="15"/>
      <c r="AI66" s="15"/>
      <c r="AJ66" s="15"/>
      <c r="AK66" s="15"/>
      <c r="AL66" s="15"/>
      <c r="AM66" s="15"/>
      <c r="AN66" s="17"/>
      <c r="AO66" s="17"/>
      <c r="AP66" s="17"/>
    </row>
    <row r="67" spans="1:42" x14ac:dyDescent="0.2">
      <c r="A67" s="15"/>
      <c r="B67" s="16"/>
      <c r="C67" s="15"/>
      <c r="D67" s="15"/>
      <c r="E67" s="15"/>
      <c r="F67" s="15"/>
      <c r="G67" s="17"/>
      <c r="H67" s="17"/>
      <c r="I67" s="15"/>
      <c r="S67" s="15"/>
      <c r="T67" s="15"/>
      <c r="U67" s="15"/>
      <c r="V67" s="15"/>
      <c r="W67" s="15"/>
      <c r="X67" s="15"/>
      <c r="Y67" s="15"/>
      <c r="Z67" s="15"/>
      <c r="AA67" s="15"/>
      <c r="AE67" s="15"/>
      <c r="AF67" s="15"/>
      <c r="AG67" s="15"/>
      <c r="AH67" s="15"/>
      <c r="AI67" s="15"/>
      <c r="AJ67" s="15"/>
      <c r="AK67" s="15"/>
      <c r="AL67" s="15"/>
      <c r="AM67" s="15"/>
      <c r="AN67" s="17"/>
      <c r="AO67" s="17"/>
      <c r="AP67" s="17"/>
    </row>
    <row r="68" spans="1:42" x14ac:dyDescent="0.2">
      <c r="A68" s="15"/>
      <c r="B68" s="16"/>
      <c r="C68" s="15"/>
      <c r="D68" s="15"/>
      <c r="E68" s="15"/>
      <c r="F68" s="15"/>
      <c r="G68" s="17"/>
      <c r="H68" s="17"/>
      <c r="I68" s="15"/>
      <c r="S68" s="15"/>
      <c r="T68" s="15"/>
      <c r="U68" s="15"/>
      <c r="V68" s="15"/>
      <c r="W68" s="15"/>
      <c r="X68" s="15"/>
      <c r="Y68" s="15"/>
      <c r="Z68" s="15"/>
      <c r="AA68" s="15"/>
      <c r="AE68" s="15"/>
      <c r="AF68" s="15"/>
      <c r="AG68" s="15"/>
      <c r="AH68" s="15"/>
      <c r="AI68" s="15"/>
      <c r="AJ68" s="15"/>
      <c r="AK68" s="15"/>
      <c r="AL68" s="15"/>
      <c r="AM68" s="15"/>
      <c r="AN68" s="17"/>
      <c r="AO68" s="17"/>
      <c r="AP68" s="17"/>
    </row>
    <row r="69" spans="1:42" x14ac:dyDescent="0.2">
      <c r="A69" s="15"/>
      <c r="B69" s="16"/>
      <c r="C69" s="15"/>
      <c r="D69" s="15"/>
      <c r="E69" s="15"/>
      <c r="F69" s="15"/>
      <c r="G69" s="17"/>
      <c r="H69" s="17"/>
      <c r="I69" s="15"/>
      <c r="S69" s="15"/>
      <c r="T69" s="15"/>
      <c r="U69" s="15"/>
      <c r="V69" s="15"/>
      <c r="W69" s="15"/>
      <c r="X69" s="15"/>
      <c r="Y69" s="15"/>
      <c r="Z69" s="15"/>
      <c r="AA69" s="15"/>
      <c r="AE69" s="15"/>
      <c r="AF69" s="15"/>
      <c r="AG69" s="15"/>
      <c r="AH69" s="15"/>
      <c r="AI69" s="15"/>
      <c r="AJ69" s="15"/>
      <c r="AK69" s="15"/>
      <c r="AL69" s="15"/>
      <c r="AM69" s="15"/>
      <c r="AN69" s="17"/>
      <c r="AO69" s="17"/>
      <c r="AP69" s="17"/>
    </row>
    <row r="70" spans="1:42" x14ac:dyDescent="0.2">
      <c r="A70" s="15"/>
      <c r="B70" s="16"/>
      <c r="C70" s="15"/>
      <c r="D70" s="15"/>
      <c r="E70" s="15"/>
      <c r="F70" s="15"/>
      <c r="G70" s="17"/>
      <c r="H70" s="17"/>
      <c r="I70" s="15"/>
      <c r="S70" s="15"/>
      <c r="T70" s="15"/>
      <c r="U70" s="15"/>
      <c r="V70" s="15"/>
      <c r="W70" s="15"/>
      <c r="X70" s="15"/>
      <c r="Y70" s="15"/>
      <c r="Z70" s="15"/>
      <c r="AA70" s="15"/>
      <c r="AE70" s="15"/>
      <c r="AF70" s="15"/>
      <c r="AG70" s="15"/>
      <c r="AH70" s="15"/>
      <c r="AI70" s="15"/>
      <c r="AJ70" s="15"/>
      <c r="AK70" s="15"/>
      <c r="AL70" s="15"/>
      <c r="AM70" s="15"/>
      <c r="AN70" s="17"/>
      <c r="AO70" s="17"/>
      <c r="AP70" s="17"/>
    </row>
    <row r="71" spans="1:42" x14ac:dyDescent="0.2">
      <c r="A71" s="15"/>
      <c r="B71" s="16"/>
      <c r="C71" s="15"/>
      <c r="D71" s="15"/>
      <c r="E71" s="15"/>
      <c r="F71" s="15"/>
      <c r="G71" s="17"/>
      <c r="H71" s="17"/>
      <c r="I71" s="15"/>
      <c r="S71" s="15"/>
      <c r="T71" s="15"/>
      <c r="U71" s="15"/>
      <c r="V71" s="15"/>
      <c r="W71" s="15"/>
      <c r="X71" s="15"/>
      <c r="Y71" s="15"/>
      <c r="Z71" s="15"/>
      <c r="AA71" s="15"/>
      <c r="AE71" s="15"/>
      <c r="AF71" s="15"/>
      <c r="AG71" s="15"/>
      <c r="AH71" s="15"/>
      <c r="AI71" s="15"/>
      <c r="AJ71" s="15"/>
      <c r="AK71" s="15"/>
      <c r="AL71" s="15"/>
      <c r="AM71" s="15"/>
      <c r="AN71" s="17"/>
      <c r="AO71" s="17"/>
      <c r="AP71" s="17"/>
    </row>
    <row r="72" spans="1:42" x14ac:dyDescent="0.2">
      <c r="A72" s="15"/>
      <c r="B72" s="16"/>
      <c r="C72" s="15"/>
      <c r="D72" s="15"/>
      <c r="E72" s="15"/>
      <c r="F72" s="15"/>
      <c r="G72" s="17"/>
      <c r="H72" s="17"/>
      <c r="I72" s="15"/>
      <c r="S72" s="15"/>
      <c r="T72" s="15"/>
      <c r="U72" s="15"/>
      <c r="V72" s="15"/>
      <c r="W72" s="15"/>
      <c r="X72" s="15"/>
      <c r="Y72" s="15"/>
      <c r="Z72" s="15"/>
      <c r="AA72" s="15"/>
      <c r="AE72" s="15"/>
      <c r="AF72" s="15"/>
      <c r="AG72" s="15"/>
      <c r="AH72" s="15"/>
      <c r="AI72" s="15"/>
      <c r="AJ72" s="15"/>
      <c r="AK72" s="15"/>
      <c r="AL72" s="15"/>
      <c r="AM72" s="15"/>
      <c r="AN72" s="17"/>
      <c r="AO72" s="17"/>
      <c r="AP72" s="17"/>
    </row>
    <row r="73" spans="1:42" x14ac:dyDescent="0.2">
      <c r="A73" s="15"/>
      <c r="B73" s="16"/>
      <c r="C73" s="15"/>
      <c r="D73" s="15"/>
      <c r="E73" s="15"/>
      <c r="F73" s="15"/>
      <c r="G73" s="17"/>
      <c r="H73" s="17"/>
      <c r="I73" s="15"/>
      <c r="S73" s="15"/>
      <c r="T73" s="15"/>
      <c r="U73" s="15"/>
      <c r="V73" s="15"/>
      <c r="W73" s="15"/>
      <c r="X73" s="15"/>
      <c r="Y73" s="15"/>
      <c r="Z73" s="15"/>
      <c r="AA73" s="15"/>
      <c r="AE73" s="15"/>
      <c r="AF73" s="15"/>
      <c r="AG73" s="15"/>
      <c r="AH73" s="15"/>
      <c r="AI73" s="15"/>
      <c r="AJ73" s="15"/>
      <c r="AK73" s="15"/>
      <c r="AL73" s="15"/>
      <c r="AM73" s="15"/>
      <c r="AN73" s="17"/>
      <c r="AO73" s="17"/>
      <c r="AP73" s="17"/>
    </row>
    <row r="74" spans="1:42" x14ac:dyDescent="0.2">
      <c r="A74" s="15"/>
      <c r="B74" s="16"/>
      <c r="C74" s="15"/>
      <c r="D74" s="15"/>
      <c r="E74" s="15"/>
      <c r="F74" s="15"/>
      <c r="G74" s="17"/>
      <c r="H74" s="17"/>
      <c r="I74" s="15"/>
      <c r="S74" s="15"/>
      <c r="T74" s="15"/>
      <c r="U74" s="15"/>
      <c r="V74" s="15"/>
      <c r="W74" s="15"/>
      <c r="X74" s="15"/>
      <c r="Y74" s="15"/>
      <c r="Z74" s="15"/>
      <c r="AA74" s="15"/>
      <c r="AE74" s="15"/>
      <c r="AF74" s="15"/>
      <c r="AG74" s="15"/>
      <c r="AH74" s="15"/>
      <c r="AI74" s="15"/>
      <c r="AJ74" s="15"/>
      <c r="AK74" s="15"/>
      <c r="AL74" s="15"/>
      <c r="AM74" s="15"/>
      <c r="AN74" s="17"/>
      <c r="AO74" s="17"/>
      <c r="AP74" s="17"/>
    </row>
    <row r="75" spans="1:42" x14ac:dyDescent="0.2">
      <c r="A75" s="15"/>
      <c r="B75" s="16"/>
      <c r="C75" s="15"/>
      <c r="D75" s="15"/>
      <c r="E75" s="15"/>
      <c r="F75" s="15"/>
      <c r="G75" s="17"/>
      <c r="H75" s="17"/>
      <c r="I75" s="15"/>
      <c r="S75" s="15"/>
      <c r="T75" s="15"/>
      <c r="U75" s="15"/>
      <c r="V75" s="15"/>
      <c r="W75" s="15"/>
      <c r="X75" s="15"/>
      <c r="Y75" s="15"/>
      <c r="Z75" s="15"/>
      <c r="AA75" s="15"/>
      <c r="AE75" s="15"/>
      <c r="AF75" s="15"/>
      <c r="AG75" s="15"/>
      <c r="AH75" s="15"/>
      <c r="AI75" s="15"/>
      <c r="AJ75" s="15"/>
      <c r="AK75" s="15"/>
      <c r="AL75" s="15"/>
      <c r="AM75" s="15"/>
      <c r="AN75" s="17"/>
      <c r="AO75" s="17"/>
      <c r="AP75" s="17"/>
    </row>
    <row r="76" spans="1:42" x14ac:dyDescent="0.2">
      <c r="A76" s="15"/>
      <c r="B76" s="16"/>
      <c r="C76" s="15"/>
      <c r="D76" s="15"/>
      <c r="E76" s="15"/>
      <c r="F76" s="15"/>
      <c r="G76" s="17"/>
      <c r="H76" s="17"/>
      <c r="I76" s="15"/>
      <c r="S76" s="15"/>
      <c r="T76" s="15"/>
      <c r="U76" s="15"/>
      <c r="V76" s="15"/>
      <c r="W76" s="15"/>
      <c r="X76" s="15"/>
      <c r="Y76" s="15"/>
      <c r="Z76" s="15"/>
      <c r="AA76" s="15"/>
      <c r="AE76" s="15"/>
      <c r="AF76" s="15"/>
      <c r="AG76" s="15"/>
      <c r="AH76" s="15"/>
      <c r="AI76" s="15"/>
      <c r="AJ76" s="15"/>
      <c r="AK76" s="15"/>
      <c r="AL76" s="15"/>
      <c r="AM76" s="15"/>
      <c r="AN76" s="17"/>
      <c r="AO76" s="17"/>
      <c r="AP76" s="17"/>
    </row>
    <row r="77" spans="1:42" x14ac:dyDescent="0.2">
      <c r="A77" s="15"/>
      <c r="B77" s="16"/>
      <c r="C77" s="15"/>
      <c r="D77" s="15"/>
      <c r="E77" s="15"/>
      <c r="F77" s="15"/>
      <c r="G77" s="17"/>
      <c r="H77" s="17"/>
      <c r="I77" s="15"/>
      <c r="S77" s="15"/>
      <c r="T77" s="15"/>
      <c r="U77" s="15"/>
      <c r="V77" s="15"/>
      <c r="W77" s="15"/>
      <c r="X77" s="15"/>
      <c r="Y77" s="15"/>
      <c r="Z77" s="15"/>
      <c r="AA77" s="15"/>
      <c r="AE77" s="15"/>
      <c r="AF77" s="15"/>
      <c r="AG77" s="15"/>
      <c r="AH77" s="15"/>
      <c r="AI77" s="15"/>
      <c r="AJ77" s="15"/>
      <c r="AK77" s="15"/>
      <c r="AL77" s="15"/>
      <c r="AM77" s="15"/>
      <c r="AN77" s="17"/>
      <c r="AO77" s="17"/>
      <c r="AP77" s="17"/>
    </row>
    <row r="78" spans="1:42" x14ac:dyDescent="0.2">
      <c r="A78" s="15"/>
      <c r="B78" s="16"/>
      <c r="C78" s="15"/>
      <c r="D78" s="15"/>
      <c r="E78" s="15"/>
      <c r="F78" s="15"/>
      <c r="G78" s="17"/>
      <c r="H78" s="17"/>
      <c r="I78" s="15"/>
      <c r="S78" s="15"/>
      <c r="T78" s="15"/>
      <c r="U78" s="15"/>
      <c r="V78" s="15"/>
      <c r="W78" s="15"/>
      <c r="X78" s="15"/>
      <c r="Y78" s="15"/>
      <c r="Z78" s="15"/>
      <c r="AA78" s="15"/>
      <c r="AE78" s="15"/>
      <c r="AF78" s="15"/>
      <c r="AG78" s="15"/>
      <c r="AH78" s="15"/>
      <c r="AI78" s="15"/>
      <c r="AJ78" s="15"/>
      <c r="AK78" s="15"/>
      <c r="AL78" s="15"/>
      <c r="AM78" s="15"/>
      <c r="AN78" s="17"/>
      <c r="AO78" s="17"/>
      <c r="AP78" s="17"/>
    </row>
    <row r="79" spans="1:42" x14ac:dyDescent="0.2">
      <c r="A79" s="15"/>
      <c r="B79" s="16"/>
      <c r="C79" s="15"/>
      <c r="D79" s="15"/>
      <c r="E79" s="15"/>
      <c r="F79" s="15"/>
      <c r="G79" s="17"/>
      <c r="H79" s="17"/>
      <c r="I79" s="15"/>
      <c r="S79" s="15"/>
      <c r="T79" s="15"/>
      <c r="U79" s="15"/>
      <c r="V79" s="15"/>
      <c r="W79" s="15"/>
      <c r="X79" s="15"/>
      <c r="Y79" s="15"/>
      <c r="Z79" s="15"/>
      <c r="AA79" s="15"/>
      <c r="AE79" s="15"/>
      <c r="AF79" s="15"/>
      <c r="AG79" s="15"/>
      <c r="AH79" s="15"/>
      <c r="AI79" s="15"/>
      <c r="AJ79" s="15"/>
      <c r="AK79" s="15"/>
      <c r="AL79" s="15"/>
      <c r="AM79" s="15"/>
      <c r="AN79" s="17"/>
      <c r="AO79" s="17"/>
      <c r="AP79" s="17"/>
    </row>
    <row r="80" spans="1:42" x14ac:dyDescent="0.2">
      <c r="A80" s="15"/>
      <c r="B80" s="16"/>
      <c r="C80" s="15"/>
      <c r="D80" s="15"/>
      <c r="E80" s="15"/>
      <c r="F80" s="15"/>
      <c r="G80" s="17"/>
      <c r="H80" s="17"/>
      <c r="I80" s="15"/>
      <c r="S80" s="15"/>
      <c r="T80" s="15"/>
      <c r="U80" s="15"/>
      <c r="V80" s="15"/>
      <c r="W80" s="15"/>
      <c r="X80" s="15"/>
      <c r="Y80" s="15"/>
      <c r="Z80" s="15"/>
      <c r="AA80" s="15"/>
      <c r="AE80" s="15"/>
      <c r="AF80" s="15"/>
      <c r="AG80" s="15"/>
      <c r="AH80" s="15"/>
      <c r="AI80" s="15"/>
      <c r="AJ80" s="15"/>
      <c r="AK80" s="15"/>
      <c r="AL80" s="15"/>
      <c r="AM80" s="15"/>
      <c r="AN80" s="17"/>
      <c r="AO80" s="17"/>
      <c r="AP80" s="17"/>
    </row>
    <row r="81" spans="1:42" x14ac:dyDescent="0.2">
      <c r="A81" s="15"/>
      <c r="B81" s="16"/>
      <c r="C81" s="15"/>
      <c r="D81" s="15"/>
      <c r="E81" s="15"/>
      <c r="F81" s="15"/>
      <c r="G81" s="17"/>
      <c r="H81" s="17"/>
      <c r="I81" s="15"/>
      <c r="S81" s="15"/>
      <c r="T81" s="15"/>
      <c r="U81" s="15"/>
      <c r="V81" s="15"/>
      <c r="W81" s="15"/>
      <c r="X81" s="15"/>
      <c r="Y81" s="15"/>
      <c r="Z81" s="15"/>
      <c r="AA81" s="15"/>
      <c r="AE81" s="15"/>
      <c r="AF81" s="15"/>
      <c r="AG81" s="15"/>
      <c r="AH81" s="15"/>
      <c r="AI81" s="15"/>
      <c r="AJ81" s="15"/>
      <c r="AK81" s="15"/>
      <c r="AL81" s="15"/>
      <c r="AM81" s="15"/>
      <c r="AN81" s="17"/>
      <c r="AO81" s="17"/>
      <c r="AP81" s="17"/>
    </row>
    <row r="82" spans="1:42" x14ac:dyDescent="0.2">
      <c r="A82" s="15"/>
      <c r="B82" s="16"/>
      <c r="C82" s="15"/>
      <c r="D82" s="15"/>
      <c r="E82" s="15"/>
      <c r="F82" s="15"/>
      <c r="G82" s="17"/>
      <c r="H82" s="17"/>
      <c r="I82" s="15"/>
      <c r="S82" s="15"/>
      <c r="T82" s="15"/>
      <c r="U82" s="15"/>
      <c r="V82" s="15"/>
      <c r="W82" s="15"/>
      <c r="X82" s="15"/>
      <c r="Y82" s="15"/>
      <c r="Z82" s="15"/>
      <c r="AA82" s="15"/>
      <c r="AE82" s="15"/>
      <c r="AF82" s="15"/>
      <c r="AG82" s="15"/>
      <c r="AH82" s="15"/>
      <c r="AI82" s="15"/>
      <c r="AJ82" s="15"/>
      <c r="AK82" s="15"/>
      <c r="AL82" s="15"/>
      <c r="AM82" s="15"/>
      <c r="AN82" s="17"/>
      <c r="AO82" s="17"/>
      <c r="AP82" s="17"/>
    </row>
    <row r="83" spans="1:42" x14ac:dyDescent="0.2">
      <c r="A83" s="15"/>
      <c r="B83" s="16"/>
      <c r="C83" s="15"/>
      <c r="D83" s="15"/>
      <c r="E83" s="15"/>
      <c r="F83" s="15"/>
      <c r="G83" s="17"/>
      <c r="H83" s="17"/>
      <c r="I83" s="15"/>
      <c r="S83" s="15"/>
      <c r="T83" s="15"/>
      <c r="U83" s="15"/>
      <c r="V83" s="15"/>
      <c r="W83" s="15"/>
      <c r="X83" s="15"/>
      <c r="Y83" s="15"/>
      <c r="Z83" s="15"/>
      <c r="AA83" s="15"/>
      <c r="AE83" s="15"/>
      <c r="AF83" s="15"/>
      <c r="AG83" s="15"/>
      <c r="AH83" s="15"/>
      <c r="AI83" s="15"/>
      <c r="AJ83" s="15"/>
      <c r="AK83" s="15"/>
      <c r="AL83" s="15"/>
      <c r="AM83" s="15"/>
      <c r="AN83" s="17"/>
      <c r="AO83" s="17"/>
      <c r="AP83" s="17"/>
    </row>
    <row r="84" spans="1:42" x14ac:dyDescent="0.2">
      <c r="A84" s="15"/>
      <c r="B84" s="16"/>
      <c r="C84" s="15"/>
      <c r="D84" s="15"/>
      <c r="E84" s="15"/>
      <c r="F84" s="15"/>
      <c r="G84" s="17"/>
      <c r="H84" s="17"/>
      <c r="I84" s="15"/>
      <c r="S84" s="15"/>
      <c r="T84" s="15"/>
      <c r="U84" s="15"/>
      <c r="V84" s="15"/>
      <c r="W84" s="15"/>
      <c r="X84" s="15"/>
      <c r="Y84" s="15"/>
      <c r="Z84" s="15"/>
      <c r="AA84" s="15"/>
      <c r="AE84" s="15"/>
      <c r="AF84" s="15"/>
      <c r="AG84" s="15"/>
      <c r="AH84" s="15"/>
      <c r="AI84" s="15"/>
      <c r="AJ84" s="15"/>
      <c r="AK84" s="15"/>
      <c r="AL84" s="15"/>
      <c r="AM84" s="15"/>
      <c r="AN84" s="17"/>
      <c r="AO84" s="17"/>
      <c r="AP84" s="17"/>
    </row>
    <row r="85" spans="1:42" x14ac:dyDescent="0.2">
      <c r="A85" s="15"/>
      <c r="B85" s="16"/>
      <c r="C85" s="15"/>
      <c r="D85" s="15"/>
      <c r="E85" s="15"/>
      <c r="F85" s="15"/>
      <c r="G85" s="17"/>
      <c r="H85" s="17"/>
      <c r="I85" s="15"/>
      <c r="S85" s="15"/>
      <c r="T85" s="15"/>
      <c r="U85" s="15"/>
      <c r="V85" s="15"/>
      <c r="W85" s="15"/>
      <c r="X85" s="15"/>
      <c r="Y85" s="15"/>
      <c r="Z85" s="15"/>
      <c r="AA85" s="15"/>
      <c r="AE85" s="15"/>
      <c r="AF85" s="15"/>
      <c r="AG85" s="15"/>
      <c r="AH85" s="15"/>
      <c r="AI85" s="15"/>
      <c r="AJ85" s="15"/>
      <c r="AK85" s="15"/>
      <c r="AL85" s="15"/>
      <c r="AM85" s="15"/>
      <c r="AN85" s="17"/>
      <c r="AO85" s="17"/>
      <c r="AP85" s="17"/>
    </row>
    <row r="86" spans="1:42" x14ac:dyDescent="0.2">
      <c r="A86" s="15"/>
      <c r="B86" s="16"/>
      <c r="C86" s="15"/>
      <c r="D86" s="15"/>
      <c r="E86" s="15"/>
      <c r="F86" s="15"/>
      <c r="G86" s="17"/>
      <c r="H86" s="17"/>
      <c r="I86" s="15"/>
      <c r="S86" s="15"/>
      <c r="T86" s="15"/>
      <c r="U86" s="15"/>
      <c r="V86" s="15"/>
      <c r="W86" s="15"/>
      <c r="X86" s="15"/>
      <c r="Y86" s="15"/>
      <c r="Z86" s="15"/>
      <c r="AA86" s="15"/>
      <c r="AE86" s="15"/>
      <c r="AF86" s="15"/>
      <c r="AG86" s="15"/>
      <c r="AH86" s="15"/>
      <c r="AI86" s="15"/>
      <c r="AJ86" s="15"/>
      <c r="AK86" s="15"/>
      <c r="AL86" s="15"/>
      <c r="AM86" s="15"/>
      <c r="AN86" s="17"/>
      <c r="AO86" s="17"/>
      <c r="AP86" s="17"/>
    </row>
    <row r="87" spans="1:42" x14ac:dyDescent="0.2">
      <c r="A87" s="15"/>
      <c r="B87" s="16"/>
      <c r="C87" s="15"/>
      <c r="D87" s="15"/>
      <c r="E87" s="15"/>
      <c r="F87" s="15"/>
      <c r="G87" s="17"/>
      <c r="H87" s="17"/>
      <c r="I87" s="15"/>
      <c r="S87" s="15"/>
      <c r="T87" s="15"/>
      <c r="U87" s="15"/>
      <c r="V87" s="15"/>
      <c r="W87" s="15"/>
      <c r="X87" s="15"/>
      <c r="Y87" s="15"/>
      <c r="Z87" s="15"/>
      <c r="AA87" s="15"/>
      <c r="AE87" s="15"/>
      <c r="AF87" s="15"/>
      <c r="AG87" s="15"/>
      <c r="AH87" s="15"/>
      <c r="AI87" s="15"/>
      <c r="AJ87" s="15"/>
      <c r="AK87" s="15"/>
      <c r="AL87" s="15"/>
      <c r="AM87" s="15"/>
      <c r="AN87" s="17"/>
      <c r="AO87" s="17"/>
      <c r="AP87" s="17"/>
    </row>
    <row r="88" spans="1:42" x14ac:dyDescent="0.2">
      <c r="A88" s="15"/>
      <c r="B88" s="16"/>
      <c r="C88" s="15"/>
      <c r="D88" s="15"/>
      <c r="E88" s="15"/>
      <c r="F88" s="15"/>
      <c r="G88" s="17"/>
      <c r="H88" s="17"/>
      <c r="I88" s="15"/>
      <c r="S88" s="15"/>
      <c r="T88" s="15"/>
      <c r="U88" s="15"/>
      <c r="V88" s="15"/>
      <c r="W88" s="15"/>
      <c r="X88" s="15"/>
      <c r="Y88" s="15"/>
      <c r="Z88" s="15"/>
      <c r="AA88" s="15"/>
      <c r="AE88" s="15"/>
      <c r="AF88" s="15"/>
      <c r="AG88" s="15"/>
      <c r="AH88" s="15"/>
      <c r="AI88" s="15"/>
      <c r="AJ88" s="15"/>
      <c r="AK88" s="15"/>
      <c r="AL88" s="15"/>
      <c r="AM88" s="15"/>
      <c r="AN88" s="17"/>
      <c r="AO88" s="17"/>
      <c r="AP88" s="17"/>
    </row>
    <row r="89" spans="1:42" x14ac:dyDescent="0.2">
      <c r="A89" s="15"/>
      <c r="B89" s="16"/>
      <c r="C89" s="15"/>
      <c r="D89" s="15"/>
      <c r="E89" s="15"/>
      <c r="F89" s="15"/>
      <c r="G89" s="17"/>
      <c r="H89" s="17"/>
      <c r="I89" s="15"/>
      <c r="S89" s="15"/>
      <c r="T89" s="15"/>
      <c r="U89" s="15"/>
      <c r="V89" s="15"/>
      <c r="W89" s="15"/>
      <c r="X89" s="15"/>
      <c r="Y89" s="15"/>
      <c r="Z89" s="15"/>
      <c r="AA89" s="15"/>
      <c r="AE89" s="15"/>
      <c r="AF89" s="15"/>
      <c r="AG89" s="15"/>
      <c r="AH89" s="15"/>
      <c r="AI89" s="15"/>
      <c r="AJ89" s="15"/>
      <c r="AK89" s="15"/>
      <c r="AL89" s="15"/>
      <c r="AM89" s="15"/>
      <c r="AN89" s="17"/>
      <c r="AO89" s="17"/>
      <c r="AP89" s="17"/>
    </row>
    <row r="90" spans="1:42" x14ac:dyDescent="0.2">
      <c r="A90" s="15"/>
      <c r="B90" s="16"/>
      <c r="C90" s="15"/>
      <c r="D90" s="15"/>
      <c r="E90" s="15"/>
      <c r="F90" s="15"/>
      <c r="G90" s="17"/>
      <c r="H90" s="17"/>
      <c r="I90" s="15"/>
      <c r="S90" s="15"/>
      <c r="T90" s="15"/>
      <c r="U90" s="15"/>
      <c r="V90" s="15"/>
      <c r="W90" s="15"/>
      <c r="X90" s="15"/>
      <c r="Y90" s="15"/>
      <c r="Z90" s="15"/>
      <c r="AA90" s="15"/>
      <c r="AE90" s="15"/>
      <c r="AF90" s="15"/>
      <c r="AG90" s="15"/>
      <c r="AH90" s="15"/>
      <c r="AI90" s="15"/>
      <c r="AJ90" s="15"/>
      <c r="AK90" s="15"/>
      <c r="AL90" s="15"/>
      <c r="AM90" s="15"/>
      <c r="AN90" s="17"/>
      <c r="AO90" s="17"/>
      <c r="AP90" s="17"/>
    </row>
    <row r="91" spans="1:42" x14ac:dyDescent="0.2">
      <c r="A91" s="15"/>
      <c r="B91" s="16"/>
      <c r="C91" s="15"/>
      <c r="D91" s="15"/>
      <c r="E91" s="15"/>
      <c r="F91" s="15"/>
      <c r="G91" s="17"/>
      <c r="H91" s="17"/>
      <c r="I91" s="15"/>
      <c r="S91" s="15"/>
      <c r="T91" s="15"/>
      <c r="U91" s="15"/>
      <c r="V91" s="15"/>
      <c r="W91" s="15"/>
      <c r="X91" s="15"/>
      <c r="Y91" s="15"/>
      <c r="Z91" s="15"/>
      <c r="AA91" s="15"/>
      <c r="AE91" s="15"/>
      <c r="AF91" s="15"/>
      <c r="AG91" s="15"/>
      <c r="AH91" s="15"/>
      <c r="AI91" s="15"/>
      <c r="AJ91" s="15"/>
      <c r="AK91" s="15"/>
      <c r="AL91" s="15"/>
      <c r="AM91" s="15"/>
      <c r="AN91" s="17"/>
      <c r="AO91" s="17"/>
      <c r="AP91" s="17"/>
    </row>
    <row r="92" spans="1:42" x14ac:dyDescent="0.2">
      <c r="A92" s="15"/>
      <c r="B92" s="16"/>
      <c r="C92" s="15"/>
      <c r="D92" s="15"/>
      <c r="E92" s="15"/>
      <c r="F92" s="15"/>
      <c r="G92" s="17"/>
      <c r="H92" s="17"/>
      <c r="I92" s="15"/>
      <c r="S92" s="15"/>
      <c r="T92" s="15"/>
      <c r="U92" s="15"/>
      <c r="V92" s="15"/>
      <c r="W92" s="15"/>
      <c r="X92" s="15"/>
      <c r="Y92" s="15"/>
      <c r="Z92" s="15"/>
      <c r="AA92" s="15"/>
      <c r="AE92" s="15"/>
      <c r="AF92" s="15"/>
      <c r="AG92" s="15"/>
      <c r="AH92" s="15"/>
      <c r="AI92" s="15"/>
      <c r="AJ92" s="15"/>
      <c r="AK92" s="15"/>
      <c r="AL92" s="15"/>
      <c r="AM92" s="15"/>
      <c r="AN92" s="17"/>
      <c r="AO92" s="17"/>
      <c r="AP92" s="17"/>
    </row>
    <row r="93" spans="1:42" x14ac:dyDescent="0.2">
      <c r="A93" s="15"/>
      <c r="B93" s="16"/>
      <c r="C93" s="15"/>
      <c r="D93" s="15"/>
      <c r="E93" s="15"/>
      <c r="F93" s="15"/>
      <c r="G93" s="17"/>
      <c r="H93" s="17"/>
      <c r="I93" s="15"/>
      <c r="S93" s="15"/>
      <c r="T93" s="15"/>
      <c r="U93" s="15"/>
      <c r="V93" s="15"/>
      <c r="W93" s="15"/>
      <c r="X93" s="15"/>
      <c r="Y93" s="15"/>
      <c r="Z93" s="15"/>
      <c r="AA93" s="15"/>
      <c r="AE93" s="15"/>
      <c r="AF93" s="15"/>
      <c r="AG93" s="15"/>
      <c r="AH93" s="15"/>
      <c r="AI93" s="15"/>
      <c r="AJ93" s="15"/>
      <c r="AK93" s="15"/>
      <c r="AL93" s="15"/>
      <c r="AM93" s="15"/>
      <c r="AN93" s="17"/>
      <c r="AO93" s="17"/>
      <c r="AP93" s="17"/>
    </row>
    <row r="94" spans="1:42" x14ac:dyDescent="0.2">
      <c r="A94" s="15"/>
      <c r="B94" s="16"/>
      <c r="C94" s="15"/>
      <c r="D94" s="15"/>
      <c r="E94" s="15"/>
      <c r="F94" s="15"/>
      <c r="G94" s="17"/>
      <c r="H94" s="17"/>
      <c r="I94" s="15"/>
      <c r="S94" s="15"/>
      <c r="T94" s="15"/>
      <c r="U94" s="15"/>
      <c r="V94" s="15"/>
      <c r="W94" s="15"/>
      <c r="X94" s="15"/>
      <c r="Y94" s="15"/>
      <c r="Z94" s="15"/>
      <c r="AA94" s="15"/>
      <c r="AE94" s="15"/>
      <c r="AF94" s="15"/>
      <c r="AG94" s="15"/>
      <c r="AH94" s="15"/>
      <c r="AI94" s="15"/>
      <c r="AJ94" s="15"/>
      <c r="AK94" s="15"/>
      <c r="AL94" s="15"/>
      <c r="AM94" s="15"/>
      <c r="AN94" s="17"/>
      <c r="AO94" s="17"/>
      <c r="AP94" s="17"/>
    </row>
    <row r="95" spans="1:42" x14ac:dyDescent="0.2">
      <c r="A95" s="15"/>
      <c r="B95" s="16"/>
      <c r="C95" s="15"/>
      <c r="D95" s="15"/>
      <c r="E95" s="15"/>
      <c r="F95" s="15"/>
      <c r="G95" s="17"/>
      <c r="H95" s="17"/>
      <c r="I95" s="15"/>
      <c r="S95" s="15"/>
      <c r="T95" s="15"/>
      <c r="U95" s="15"/>
      <c r="V95" s="15"/>
      <c r="W95" s="15"/>
      <c r="X95" s="15"/>
      <c r="Y95" s="15"/>
      <c r="Z95" s="15"/>
      <c r="AA95" s="15"/>
      <c r="AE95" s="15"/>
      <c r="AF95" s="15"/>
      <c r="AG95" s="15"/>
      <c r="AH95" s="15"/>
      <c r="AI95" s="15"/>
      <c r="AJ95" s="15"/>
      <c r="AK95" s="15"/>
      <c r="AL95" s="15"/>
      <c r="AM95" s="15"/>
      <c r="AN95" s="17"/>
      <c r="AO95" s="17"/>
      <c r="AP95" s="17"/>
    </row>
    <row r="96" spans="1:42" x14ac:dyDescent="0.2">
      <c r="A96" s="15"/>
      <c r="B96" s="16"/>
      <c r="C96" s="15"/>
      <c r="D96" s="15"/>
      <c r="E96" s="15"/>
      <c r="F96" s="15"/>
      <c r="G96" s="17"/>
      <c r="H96" s="17"/>
      <c r="I96" s="15"/>
      <c r="S96" s="15"/>
      <c r="T96" s="15"/>
      <c r="U96" s="15"/>
      <c r="V96" s="15"/>
      <c r="W96" s="15"/>
      <c r="X96" s="15"/>
      <c r="Y96" s="15"/>
      <c r="Z96" s="15"/>
      <c r="AA96" s="15"/>
      <c r="AE96" s="15"/>
      <c r="AF96" s="15"/>
      <c r="AG96" s="15"/>
      <c r="AH96" s="15"/>
      <c r="AI96" s="15"/>
      <c r="AJ96" s="15"/>
      <c r="AK96" s="15"/>
      <c r="AL96" s="15"/>
      <c r="AM96" s="15"/>
      <c r="AN96" s="17"/>
      <c r="AO96" s="17"/>
      <c r="AP96" s="17"/>
    </row>
    <row r="97" spans="1:42" x14ac:dyDescent="0.2">
      <c r="A97" s="15"/>
      <c r="B97" s="16"/>
      <c r="C97" s="15"/>
      <c r="D97" s="15"/>
      <c r="E97" s="15"/>
      <c r="F97" s="15"/>
      <c r="G97" s="17"/>
      <c r="H97" s="17"/>
      <c r="I97" s="15"/>
      <c r="S97" s="15"/>
      <c r="T97" s="15"/>
      <c r="U97" s="15"/>
      <c r="V97" s="15"/>
      <c r="W97" s="15"/>
      <c r="X97" s="15"/>
      <c r="Y97" s="15"/>
      <c r="Z97" s="15"/>
      <c r="AA97" s="15"/>
      <c r="AE97" s="15"/>
      <c r="AF97" s="15"/>
      <c r="AG97" s="15"/>
      <c r="AH97" s="15"/>
      <c r="AI97" s="15"/>
      <c r="AJ97" s="15"/>
      <c r="AK97" s="15"/>
      <c r="AL97" s="15"/>
      <c r="AM97" s="15"/>
      <c r="AN97" s="17"/>
      <c r="AO97" s="17"/>
      <c r="AP97" s="17"/>
    </row>
    <row r="98" spans="1:42" x14ac:dyDescent="0.2">
      <c r="A98" s="15"/>
      <c r="B98" s="16"/>
      <c r="C98" s="15"/>
      <c r="D98" s="15"/>
      <c r="E98" s="15"/>
      <c r="F98" s="15"/>
      <c r="G98" s="17"/>
      <c r="H98" s="17"/>
      <c r="I98" s="15"/>
      <c r="S98" s="15"/>
      <c r="T98" s="15"/>
      <c r="U98" s="15"/>
      <c r="V98" s="15"/>
      <c r="W98" s="15"/>
      <c r="X98" s="15"/>
      <c r="Y98" s="15"/>
      <c r="Z98" s="15"/>
      <c r="AA98" s="15"/>
      <c r="AE98" s="15"/>
      <c r="AF98" s="15"/>
      <c r="AG98" s="15"/>
      <c r="AH98" s="15"/>
      <c r="AI98" s="15"/>
      <c r="AJ98" s="15"/>
      <c r="AK98" s="15"/>
      <c r="AL98" s="15"/>
      <c r="AM98" s="15"/>
      <c r="AN98" s="17"/>
      <c r="AO98" s="17"/>
      <c r="AP98" s="17"/>
    </row>
    <row r="99" spans="1:42" x14ac:dyDescent="0.2">
      <c r="A99" s="15"/>
      <c r="B99" s="16"/>
      <c r="C99" s="15"/>
      <c r="D99" s="15"/>
      <c r="E99" s="15"/>
      <c r="F99" s="15"/>
      <c r="G99" s="17"/>
      <c r="H99" s="17"/>
      <c r="I99" s="15"/>
      <c r="S99" s="15"/>
      <c r="T99" s="15"/>
      <c r="U99" s="15"/>
      <c r="V99" s="15"/>
      <c r="W99" s="15"/>
      <c r="X99" s="15"/>
      <c r="Y99" s="15"/>
      <c r="Z99" s="15"/>
      <c r="AA99" s="15"/>
      <c r="AE99" s="15"/>
      <c r="AF99" s="15"/>
      <c r="AG99" s="15"/>
      <c r="AH99" s="15"/>
      <c r="AI99" s="15"/>
      <c r="AJ99" s="15"/>
      <c r="AK99" s="15"/>
      <c r="AL99" s="15"/>
      <c r="AM99" s="15"/>
      <c r="AN99" s="17"/>
      <c r="AO99" s="17"/>
      <c r="AP99" s="17"/>
    </row>
    <row r="100" spans="1:42" x14ac:dyDescent="0.2">
      <c r="A100" s="15"/>
      <c r="B100" s="16"/>
      <c r="C100" s="15"/>
      <c r="D100" s="15"/>
      <c r="E100" s="15"/>
      <c r="F100" s="15"/>
      <c r="G100" s="17"/>
      <c r="H100" s="17"/>
      <c r="I100" s="15"/>
      <c r="S100" s="15"/>
      <c r="T100" s="15"/>
      <c r="U100" s="15"/>
      <c r="V100" s="15"/>
      <c r="W100" s="15"/>
      <c r="X100" s="15"/>
      <c r="Y100" s="15"/>
      <c r="Z100" s="15"/>
      <c r="AA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7"/>
      <c r="AO100" s="17"/>
      <c r="AP100" s="17"/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O1"/>
    <mergeCell ref="P1:R1"/>
    <mergeCell ref="AN1:AP1"/>
    <mergeCell ref="AQ1:AS1"/>
    <mergeCell ref="AT1:AV1"/>
    <mergeCell ref="S1:U1"/>
    <mergeCell ref="V1:X1"/>
    <mergeCell ref="Y1:AA1"/>
    <mergeCell ref="AB1:AD1"/>
    <mergeCell ref="AE1:AG1"/>
    <mergeCell ref="AH1:AJ1"/>
    <mergeCell ref="AK1:AM1"/>
  </mergeCells>
  <dataValidations count="1">
    <dataValidation type="decimal" operator="greaterThanOrEqual" allowBlank="1" showDropDown="1" sqref="AE3:AM9 AH10:AM22 S3:AA100 AE23:AM100" xr:uid="{00000000-0002-0000-0100-000000000000}">
      <formula1>0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100-000001000000}">
          <x14:formula1>
            <xm:f>nombres!$I$2:$I$9</xm:f>
          </x14:formula1>
          <xm:sqref>E3:E100</xm:sqref>
        </x14:dataValidation>
        <x14:dataValidation type="list" allowBlank="1" showErrorMessage="1" xr:uid="{00000000-0002-0000-0100-000003000000}">
          <x14:formula1>
            <xm:f>nombres!$B$2:$B$9</xm:f>
          </x14:formula1>
          <xm:sqref>C3:C100</xm:sqref>
        </x14:dataValidation>
        <x14:dataValidation type="list" allowBlank="1" showErrorMessage="1" xr:uid="{00000000-0002-0000-0100-000004000000}">
          <x14:formula1>
            <xm:f>nombres!$G$2:$G$6</xm:f>
          </x14:formula1>
          <xm:sqref>D3:D100</xm:sqref>
        </x14:dataValidation>
        <x14:dataValidation type="list" allowBlank="1" showErrorMessage="1" xr:uid="{00000000-0002-0000-0100-000005000000}">
          <x14:formula1>
            <xm:f>nombres!$L$2:$L$17</xm:f>
          </x14:formula1>
          <xm:sqref>G3:G100</xm:sqref>
        </x14:dataValidation>
        <x14:dataValidation type="list" allowBlank="1" showErrorMessage="1" xr:uid="{00000000-0002-0000-0100-000006000000}">
          <x14:formula1>
            <xm:f>nombres!$X$2:$X$8</xm:f>
          </x14:formula1>
          <xm:sqref>I3:I100</xm:sqref>
        </x14:dataValidation>
        <x14:dataValidation type="list" allowBlank="1" showErrorMessage="1" xr:uid="{00000000-0002-0000-0100-000007000000}">
          <x14:formula1>
            <xm:f>nombres!$O$2:$O$9</xm:f>
          </x14:formula1>
          <xm:sqref>F3:F100</xm:sqref>
        </x14:dataValidation>
        <x14:dataValidation type="list" allowBlank="1" showErrorMessage="1" xr:uid="{00000000-0002-0000-0100-000008000000}">
          <x14:formula1>
            <xm:f>nombres!$R$2:$R$19</xm:f>
          </x14:formula1>
          <xm:sqref>H3:H100</xm:sqref>
        </x14:dataValidation>
        <x14:dataValidation type="list" allowBlank="1" xr:uid="{00000000-0002-0000-0100-000002000000}">
          <x14:formula1>
            <xm:f>nombres!$AD$2:$AD100</xm:f>
          </x14:formula1>
          <xm:sqref>A3:A100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100"/>
  <sheetViews>
    <sheetView workbookViewId="0">
      <selection sqref="A1:A2"/>
    </sheetView>
  </sheetViews>
  <sheetFormatPr baseColWidth="10" defaultColWidth="12.5703125" defaultRowHeight="15.75" customHeight="1" x14ac:dyDescent="0.2"/>
  <cols>
    <col min="1" max="1" width="15.140625" customWidth="1"/>
    <col min="8" max="11" width="19.85546875" customWidth="1"/>
    <col min="15" max="15" width="18.140625" customWidth="1"/>
    <col min="16" max="16" width="22.140625" customWidth="1"/>
  </cols>
  <sheetData>
    <row r="1" spans="1:36" x14ac:dyDescent="0.2">
      <c r="A1" s="78" t="s">
        <v>36</v>
      </c>
      <c r="B1" s="78" t="s">
        <v>37</v>
      </c>
      <c r="C1" s="80" t="s">
        <v>70</v>
      </c>
      <c r="D1" s="80" t="s">
        <v>71</v>
      </c>
      <c r="E1" s="78" t="s">
        <v>72</v>
      </c>
      <c r="F1" s="80" t="s">
        <v>73</v>
      </c>
      <c r="G1" s="80" t="s">
        <v>74</v>
      </c>
      <c r="H1" s="78" t="s">
        <v>75</v>
      </c>
      <c r="I1" s="70" t="s">
        <v>76</v>
      </c>
      <c r="J1" s="66"/>
      <c r="K1" s="66"/>
      <c r="L1" s="79" t="s">
        <v>77</v>
      </c>
      <c r="M1" s="66"/>
      <c r="N1" s="66"/>
      <c r="O1" s="21"/>
      <c r="P1" s="4"/>
      <c r="Q1" s="21"/>
      <c r="R1" s="21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x14ac:dyDescent="0.2">
      <c r="A2" s="66"/>
      <c r="B2" s="66"/>
      <c r="C2" s="66"/>
      <c r="D2" s="66"/>
      <c r="E2" s="66"/>
      <c r="F2" s="66"/>
      <c r="G2" s="66"/>
      <c r="H2" s="66"/>
      <c r="I2" s="22">
        <v>2023</v>
      </c>
      <c r="J2" s="9">
        <v>2024</v>
      </c>
      <c r="K2" s="9">
        <v>2025</v>
      </c>
      <c r="L2" s="23">
        <v>2023</v>
      </c>
      <c r="M2" s="23">
        <v>2024</v>
      </c>
      <c r="N2" s="23">
        <v>2025</v>
      </c>
      <c r="O2" s="4" t="s">
        <v>78</v>
      </c>
      <c r="P2" s="4" t="s">
        <v>79</v>
      </c>
      <c r="Q2" s="4" t="s">
        <v>80</v>
      </c>
      <c r="R2" s="4" t="s">
        <v>81</v>
      </c>
      <c r="S2" s="4" t="s">
        <v>82</v>
      </c>
      <c r="T2" s="4" t="s">
        <v>83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x14ac:dyDescent="0.2">
      <c r="A3" s="15"/>
      <c r="H3" s="15" t="s">
        <v>84</v>
      </c>
      <c r="I3" s="15" t="s">
        <v>84</v>
      </c>
      <c r="J3" s="15" t="s">
        <v>85</v>
      </c>
      <c r="K3" s="15" t="s">
        <v>85</v>
      </c>
      <c r="L3" s="15" t="s">
        <v>86</v>
      </c>
      <c r="M3" s="15"/>
      <c r="N3" s="15"/>
      <c r="O3" s="15" t="s">
        <v>87</v>
      </c>
    </row>
    <row r="4" spans="1:36" x14ac:dyDescent="0.2">
      <c r="A4" s="15"/>
      <c r="H4" s="15"/>
      <c r="I4" s="15"/>
      <c r="J4" s="15"/>
      <c r="K4" s="15"/>
      <c r="L4" s="15"/>
      <c r="M4" s="15"/>
      <c r="N4" s="15"/>
      <c r="O4" s="15"/>
    </row>
    <row r="5" spans="1:36" x14ac:dyDescent="0.2">
      <c r="A5" s="15"/>
      <c r="E5" s="20"/>
      <c r="H5" s="15"/>
      <c r="I5" s="15"/>
      <c r="J5" s="15"/>
      <c r="K5" s="15"/>
      <c r="L5" s="15"/>
      <c r="M5" s="15"/>
      <c r="N5" s="15"/>
      <c r="O5" s="15"/>
    </row>
    <row r="6" spans="1:36" x14ac:dyDescent="0.2">
      <c r="A6" s="15"/>
      <c r="E6" s="19"/>
      <c r="H6" s="15"/>
      <c r="I6" s="15"/>
      <c r="J6" s="15"/>
      <c r="K6" s="15"/>
      <c r="L6" s="15"/>
      <c r="M6" s="15"/>
      <c r="N6" s="15"/>
      <c r="O6" s="15"/>
    </row>
    <row r="7" spans="1:36" x14ac:dyDescent="0.2">
      <c r="A7" s="15"/>
      <c r="E7" s="20"/>
      <c r="H7" s="15"/>
      <c r="I7" s="15"/>
      <c r="J7" s="15"/>
      <c r="K7" s="15"/>
      <c r="L7" s="15"/>
      <c r="M7" s="15"/>
      <c r="N7" s="15"/>
      <c r="O7" s="15"/>
    </row>
    <row r="8" spans="1:36" x14ac:dyDescent="0.2">
      <c r="A8" s="15"/>
      <c r="E8" s="20"/>
      <c r="H8" s="15"/>
      <c r="I8" s="15"/>
      <c r="J8" s="15"/>
      <c r="K8" s="15"/>
      <c r="L8" s="15"/>
      <c r="M8" s="15"/>
      <c r="N8" s="15"/>
      <c r="O8" s="15"/>
    </row>
    <row r="9" spans="1:36" x14ac:dyDescent="0.2">
      <c r="A9" s="15"/>
      <c r="E9" s="20"/>
      <c r="H9" s="15"/>
      <c r="I9" s="15"/>
      <c r="J9" s="15"/>
      <c r="K9" s="15"/>
      <c r="L9" s="15"/>
      <c r="M9" s="15"/>
      <c r="N9" s="15"/>
      <c r="O9" s="15"/>
    </row>
    <row r="10" spans="1:36" x14ac:dyDescent="0.2">
      <c r="A10" s="15"/>
      <c r="E10" s="20"/>
      <c r="H10" s="15"/>
      <c r="I10" s="15"/>
      <c r="J10" s="15"/>
      <c r="K10" s="15"/>
      <c r="L10" s="15"/>
      <c r="M10" s="15"/>
      <c r="N10" s="15"/>
      <c r="O10" s="15"/>
    </row>
    <row r="11" spans="1:36" x14ac:dyDescent="0.2">
      <c r="A11" s="15"/>
      <c r="E11" s="20"/>
      <c r="H11" s="15"/>
      <c r="I11" s="15"/>
      <c r="J11" s="15"/>
      <c r="K11" s="15"/>
      <c r="L11" s="15"/>
      <c r="M11" s="15"/>
      <c r="N11" s="15"/>
      <c r="O11" s="15"/>
    </row>
    <row r="12" spans="1:36" x14ac:dyDescent="0.2">
      <c r="A12" s="15"/>
      <c r="E12" s="20"/>
      <c r="H12" s="15"/>
      <c r="I12" s="15"/>
      <c r="J12" s="15"/>
      <c r="K12" s="15"/>
      <c r="L12" s="15"/>
      <c r="M12" s="15"/>
      <c r="N12" s="15"/>
      <c r="O12" s="15"/>
    </row>
    <row r="13" spans="1:36" x14ac:dyDescent="0.2">
      <c r="A13" s="15"/>
      <c r="E13" s="19"/>
      <c r="H13" s="15"/>
      <c r="I13" s="15"/>
      <c r="J13" s="15"/>
      <c r="K13" s="15"/>
      <c r="L13" s="15"/>
      <c r="M13" s="15"/>
      <c r="N13" s="15"/>
      <c r="O13" s="15"/>
    </row>
    <row r="14" spans="1:36" x14ac:dyDescent="0.2">
      <c r="A14" s="15"/>
      <c r="E14" s="20"/>
      <c r="H14" s="15"/>
      <c r="I14" s="15"/>
      <c r="J14" s="15"/>
      <c r="K14" s="15"/>
      <c r="L14" s="15"/>
      <c r="M14" s="15"/>
      <c r="N14" s="15"/>
      <c r="O14" s="15"/>
    </row>
    <row r="15" spans="1:36" x14ac:dyDescent="0.2">
      <c r="A15" s="15"/>
      <c r="E15" s="20"/>
      <c r="H15" s="15"/>
      <c r="I15" s="15"/>
      <c r="J15" s="15"/>
      <c r="K15" s="15"/>
      <c r="L15" s="15"/>
      <c r="M15" s="15"/>
      <c r="N15" s="15"/>
      <c r="O15" s="15"/>
    </row>
    <row r="16" spans="1:36" x14ac:dyDescent="0.2">
      <c r="A16" s="15"/>
      <c r="E16" s="4"/>
      <c r="H16" s="15"/>
      <c r="I16" s="15"/>
      <c r="J16" s="15"/>
      <c r="K16" s="15"/>
      <c r="L16" s="15"/>
      <c r="M16" s="15"/>
      <c r="N16" s="15"/>
      <c r="O16" s="15"/>
    </row>
    <row r="17" spans="1:15" x14ac:dyDescent="0.2">
      <c r="A17" s="15"/>
      <c r="E17" s="4"/>
      <c r="H17" s="15"/>
      <c r="I17" s="15"/>
      <c r="J17" s="15"/>
      <c r="K17" s="15"/>
      <c r="L17" s="15"/>
      <c r="M17" s="15"/>
      <c r="N17" s="15"/>
      <c r="O17" s="15"/>
    </row>
    <row r="18" spans="1:15" x14ac:dyDescent="0.2">
      <c r="A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">
      <c r="A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">
      <c r="A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">
      <c r="A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">
      <c r="A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">
      <c r="A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">
      <c r="A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">
      <c r="A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">
      <c r="A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">
      <c r="A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">
      <c r="A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">
      <c r="A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">
      <c r="A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">
      <c r="A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">
      <c r="A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2">
      <c r="A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">
      <c r="A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2">
      <c r="A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2">
      <c r="A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2">
      <c r="A37" s="15"/>
      <c r="H37" s="15"/>
      <c r="I37" s="15"/>
      <c r="J37" s="15"/>
      <c r="K37" s="15"/>
      <c r="L37" s="15"/>
      <c r="M37" s="15"/>
      <c r="N37" s="15"/>
      <c r="O37" s="15"/>
    </row>
    <row r="38" spans="1:15" x14ac:dyDescent="0.2">
      <c r="A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2">
      <c r="A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2">
      <c r="A40" s="15"/>
      <c r="H40" s="15"/>
      <c r="I40" s="15"/>
      <c r="J40" s="15"/>
      <c r="K40" s="15"/>
      <c r="L40" s="15"/>
      <c r="M40" s="15"/>
      <c r="N40" s="15"/>
      <c r="O40" s="15"/>
    </row>
    <row r="41" spans="1:15" x14ac:dyDescent="0.2">
      <c r="A41" s="15"/>
      <c r="H41" s="15"/>
      <c r="I41" s="15"/>
      <c r="J41" s="15"/>
      <c r="K41" s="15"/>
      <c r="L41" s="15"/>
      <c r="M41" s="15"/>
      <c r="N41" s="15"/>
      <c r="O41" s="15"/>
    </row>
    <row r="42" spans="1:15" x14ac:dyDescent="0.2">
      <c r="A42" s="15"/>
      <c r="H42" s="15"/>
      <c r="I42" s="15"/>
      <c r="J42" s="15"/>
      <c r="K42" s="15"/>
      <c r="L42" s="15"/>
      <c r="M42" s="15"/>
      <c r="N42" s="15"/>
      <c r="O42" s="15"/>
    </row>
    <row r="43" spans="1:15" x14ac:dyDescent="0.2">
      <c r="A43" s="15"/>
      <c r="H43" s="15"/>
      <c r="I43" s="15"/>
      <c r="J43" s="15"/>
      <c r="K43" s="15"/>
      <c r="L43" s="15"/>
      <c r="M43" s="15"/>
      <c r="N43" s="15"/>
      <c r="O43" s="15"/>
    </row>
    <row r="44" spans="1:15" x14ac:dyDescent="0.2">
      <c r="A44" s="15"/>
      <c r="H44" s="15"/>
      <c r="I44" s="15"/>
      <c r="J44" s="15"/>
      <c r="K44" s="15"/>
      <c r="L44" s="15"/>
      <c r="M44" s="15"/>
      <c r="N44" s="15"/>
      <c r="O44" s="15"/>
    </row>
    <row r="45" spans="1:15" x14ac:dyDescent="0.2">
      <c r="A45" s="15"/>
      <c r="H45" s="15"/>
      <c r="I45" s="15"/>
      <c r="J45" s="15"/>
      <c r="K45" s="15"/>
      <c r="L45" s="15"/>
      <c r="M45" s="15"/>
      <c r="N45" s="15"/>
      <c r="O45" s="15"/>
    </row>
    <row r="46" spans="1:15" x14ac:dyDescent="0.2">
      <c r="A46" s="15"/>
      <c r="H46" s="15"/>
      <c r="I46" s="15"/>
      <c r="J46" s="15"/>
      <c r="K46" s="15"/>
      <c r="L46" s="15"/>
      <c r="M46" s="15"/>
      <c r="N46" s="15"/>
      <c r="O46" s="15"/>
    </row>
    <row r="47" spans="1:15" x14ac:dyDescent="0.2">
      <c r="A47" s="15"/>
      <c r="H47" s="15"/>
      <c r="I47" s="15"/>
      <c r="J47" s="15"/>
      <c r="K47" s="15"/>
      <c r="L47" s="15"/>
      <c r="M47" s="15"/>
      <c r="N47" s="15"/>
      <c r="O47" s="15"/>
    </row>
    <row r="48" spans="1:15" x14ac:dyDescent="0.2">
      <c r="A48" s="15"/>
      <c r="H48" s="15"/>
      <c r="I48" s="15"/>
      <c r="J48" s="15"/>
      <c r="K48" s="15"/>
      <c r="L48" s="15"/>
      <c r="M48" s="15"/>
      <c r="N48" s="15"/>
      <c r="O48" s="15"/>
    </row>
    <row r="49" spans="1:15" x14ac:dyDescent="0.2">
      <c r="A49" s="15"/>
      <c r="H49" s="15"/>
      <c r="I49" s="15"/>
      <c r="J49" s="15"/>
      <c r="K49" s="15"/>
      <c r="L49" s="15"/>
      <c r="M49" s="15"/>
      <c r="N49" s="15"/>
      <c r="O49" s="15"/>
    </row>
    <row r="50" spans="1:15" x14ac:dyDescent="0.2">
      <c r="A50" s="15"/>
      <c r="H50" s="15"/>
      <c r="I50" s="15"/>
      <c r="J50" s="15"/>
      <c r="K50" s="15"/>
      <c r="L50" s="15"/>
      <c r="M50" s="15"/>
      <c r="N50" s="15"/>
      <c r="O50" s="15"/>
    </row>
    <row r="51" spans="1:15" x14ac:dyDescent="0.2">
      <c r="A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2">
      <c r="A52" s="15"/>
      <c r="H52" s="15"/>
      <c r="I52" s="15"/>
      <c r="J52" s="15"/>
      <c r="K52" s="15"/>
      <c r="L52" s="15"/>
      <c r="M52" s="15"/>
      <c r="N52" s="15"/>
      <c r="O52" s="15"/>
    </row>
    <row r="53" spans="1:15" x14ac:dyDescent="0.2">
      <c r="A53" s="15"/>
      <c r="H53" s="15"/>
      <c r="I53" s="15"/>
      <c r="J53" s="15"/>
      <c r="K53" s="15"/>
      <c r="L53" s="15"/>
      <c r="M53" s="15"/>
      <c r="N53" s="15"/>
      <c r="O53" s="15"/>
    </row>
    <row r="54" spans="1:15" x14ac:dyDescent="0.2">
      <c r="A54" s="15"/>
      <c r="H54" s="15"/>
      <c r="I54" s="15"/>
      <c r="J54" s="15"/>
      <c r="K54" s="15"/>
      <c r="L54" s="15"/>
      <c r="M54" s="15"/>
      <c r="N54" s="15"/>
      <c r="O54" s="15"/>
    </row>
    <row r="55" spans="1:15" x14ac:dyDescent="0.2">
      <c r="A55" s="15"/>
      <c r="H55" s="15"/>
      <c r="I55" s="15"/>
      <c r="J55" s="15"/>
      <c r="K55" s="15"/>
      <c r="L55" s="15"/>
      <c r="M55" s="15"/>
      <c r="N55" s="15"/>
      <c r="O55" s="15"/>
    </row>
    <row r="56" spans="1:15" x14ac:dyDescent="0.2">
      <c r="A56" s="15"/>
      <c r="H56" s="15"/>
      <c r="I56" s="15"/>
      <c r="J56" s="15"/>
      <c r="K56" s="15"/>
      <c r="L56" s="15"/>
      <c r="M56" s="15"/>
      <c r="N56" s="15"/>
      <c r="O56" s="15"/>
    </row>
    <row r="57" spans="1:15" x14ac:dyDescent="0.2">
      <c r="A57" s="15"/>
      <c r="H57" s="15"/>
      <c r="I57" s="15"/>
      <c r="J57" s="15"/>
      <c r="K57" s="15"/>
      <c r="L57" s="15"/>
      <c r="M57" s="15"/>
      <c r="N57" s="15"/>
      <c r="O57" s="15"/>
    </row>
    <row r="58" spans="1:15" x14ac:dyDescent="0.2">
      <c r="A58" s="15"/>
      <c r="H58" s="15"/>
      <c r="I58" s="15"/>
      <c r="J58" s="15"/>
      <c r="K58" s="15"/>
      <c r="L58" s="15"/>
      <c r="M58" s="15"/>
      <c r="N58" s="15"/>
      <c r="O58" s="15"/>
    </row>
    <row r="59" spans="1:15" x14ac:dyDescent="0.2">
      <c r="A59" s="15"/>
      <c r="H59" s="15"/>
      <c r="I59" s="15"/>
      <c r="J59" s="15"/>
      <c r="K59" s="15"/>
      <c r="L59" s="15"/>
      <c r="M59" s="15"/>
      <c r="N59" s="15"/>
      <c r="O59" s="15"/>
    </row>
    <row r="60" spans="1:15" x14ac:dyDescent="0.2">
      <c r="A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2">
      <c r="A61" s="15"/>
      <c r="H61" s="15"/>
      <c r="I61" s="15"/>
      <c r="J61" s="15"/>
      <c r="K61" s="15"/>
      <c r="L61" s="15"/>
      <c r="M61" s="15"/>
      <c r="N61" s="15"/>
      <c r="O61" s="15"/>
    </row>
    <row r="62" spans="1:15" x14ac:dyDescent="0.2">
      <c r="A62" s="15"/>
      <c r="H62" s="15"/>
      <c r="I62" s="15"/>
      <c r="J62" s="15"/>
      <c r="K62" s="15"/>
      <c r="L62" s="15"/>
      <c r="M62" s="15"/>
      <c r="N62" s="15"/>
      <c r="O62" s="15"/>
    </row>
    <row r="63" spans="1:15" x14ac:dyDescent="0.2">
      <c r="A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2">
      <c r="A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2">
      <c r="A65" s="15"/>
      <c r="H65" s="15"/>
      <c r="I65" s="15"/>
      <c r="J65" s="15"/>
      <c r="K65" s="15"/>
      <c r="L65" s="15"/>
      <c r="M65" s="15"/>
      <c r="N65" s="15"/>
      <c r="O65" s="15"/>
    </row>
    <row r="66" spans="1:15" x14ac:dyDescent="0.2">
      <c r="A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2">
      <c r="A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2">
      <c r="A68" s="15"/>
      <c r="H68" s="15"/>
      <c r="I68" s="15"/>
      <c r="J68" s="15"/>
      <c r="K68" s="15"/>
      <c r="L68" s="15"/>
      <c r="M68" s="15"/>
      <c r="N68" s="15"/>
      <c r="O68" s="15"/>
    </row>
    <row r="69" spans="1:15" x14ac:dyDescent="0.2">
      <c r="A69" s="15"/>
      <c r="H69" s="15"/>
      <c r="I69" s="15"/>
      <c r="J69" s="15"/>
      <c r="K69" s="15"/>
      <c r="L69" s="15"/>
      <c r="M69" s="15"/>
      <c r="N69" s="15"/>
      <c r="O69" s="15"/>
    </row>
    <row r="70" spans="1:15" x14ac:dyDescent="0.2">
      <c r="A70" s="15"/>
      <c r="H70" s="15"/>
      <c r="I70" s="15"/>
      <c r="J70" s="15"/>
      <c r="K70" s="15"/>
      <c r="L70" s="15"/>
      <c r="M70" s="15"/>
      <c r="N70" s="15"/>
      <c r="O70" s="15"/>
    </row>
    <row r="71" spans="1:15" x14ac:dyDescent="0.2">
      <c r="A71" s="15"/>
      <c r="H71" s="15"/>
      <c r="I71" s="15"/>
      <c r="J71" s="15"/>
      <c r="K71" s="15"/>
      <c r="L71" s="15"/>
      <c r="M71" s="15"/>
      <c r="N71" s="15"/>
      <c r="O71" s="15"/>
    </row>
    <row r="72" spans="1:15" x14ac:dyDescent="0.2">
      <c r="A72" s="15"/>
      <c r="H72" s="15"/>
      <c r="I72" s="15"/>
      <c r="J72" s="15"/>
      <c r="K72" s="15"/>
      <c r="L72" s="15"/>
      <c r="M72" s="15"/>
      <c r="N72" s="15"/>
      <c r="O72" s="15"/>
    </row>
    <row r="73" spans="1:15" x14ac:dyDescent="0.2">
      <c r="A73" s="15"/>
      <c r="H73" s="15"/>
      <c r="I73" s="15"/>
      <c r="J73" s="15"/>
      <c r="K73" s="15"/>
      <c r="L73" s="15"/>
      <c r="M73" s="15"/>
      <c r="N73" s="15"/>
      <c r="O73" s="15"/>
    </row>
    <row r="74" spans="1:15" x14ac:dyDescent="0.2">
      <c r="A74" s="15"/>
      <c r="H74" s="15"/>
      <c r="I74" s="15"/>
      <c r="J74" s="15"/>
      <c r="K74" s="15"/>
      <c r="L74" s="15"/>
      <c r="M74" s="15"/>
      <c r="N74" s="15"/>
      <c r="O74" s="15"/>
    </row>
    <row r="75" spans="1:15" x14ac:dyDescent="0.2">
      <c r="A75" s="15"/>
      <c r="H75" s="15"/>
      <c r="I75" s="15"/>
      <c r="J75" s="15"/>
      <c r="K75" s="15"/>
      <c r="L75" s="15"/>
      <c r="M75" s="15"/>
      <c r="N75" s="15"/>
      <c r="O75" s="15"/>
    </row>
    <row r="76" spans="1:15" x14ac:dyDescent="0.2">
      <c r="A76" s="15"/>
      <c r="H76" s="15"/>
      <c r="I76" s="15"/>
      <c r="J76" s="15"/>
      <c r="K76" s="15"/>
      <c r="L76" s="15"/>
      <c r="M76" s="15"/>
      <c r="N76" s="15"/>
      <c r="O76" s="15"/>
    </row>
    <row r="77" spans="1:15" x14ac:dyDescent="0.2">
      <c r="A77" s="15"/>
      <c r="H77" s="15"/>
      <c r="I77" s="15"/>
      <c r="J77" s="15"/>
      <c r="K77" s="15"/>
      <c r="L77" s="15"/>
      <c r="M77" s="15"/>
      <c r="N77" s="15"/>
      <c r="O77" s="15"/>
    </row>
    <row r="78" spans="1:15" x14ac:dyDescent="0.2">
      <c r="A78" s="15"/>
      <c r="H78" s="15"/>
      <c r="I78" s="15"/>
      <c r="J78" s="15"/>
      <c r="K78" s="15"/>
      <c r="L78" s="15"/>
      <c r="M78" s="15"/>
      <c r="N78" s="15"/>
      <c r="O78" s="15"/>
    </row>
    <row r="79" spans="1:15" x14ac:dyDescent="0.2">
      <c r="A79" s="15"/>
      <c r="H79" s="15"/>
      <c r="I79" s="15"/>
      <c r="J79" s="15"/>
      <c r="K79" s="15"/>
      <c r="L79" s="15"/>
      <c r="M79" s="15"/>
      <c r="N79" s="15"/>
      <c r="O79" s="15"/>
    </row>
    <row r="80" spans="1:15" x14ac:dyDescent="0.2">
      <c r="A80" s="15"/>
      <c r="H80" s="15"/>
      <c r="I80" s="15"/>
      <c r="J80" s="15"/>
      <c r="K80" s="15"/>
      <c r="L80" s="15"/>
      <c r="M80" s="15"/>
      <c r="N80" s="15"/>
      <c r="O80" s="15"/>
    </row>
    <row r="81" spans="1:15" x14ac:dyDescent="0.2">
      <c r="A81" s="15"/>
      <c r="H81" s="15"/>
      <c r="I81" s="15"/>
      <c r="J81" s="15"/>
      <c r="K81" s="15"/>
      <c r="L81" s="15"/>
      <c r="M81" s="15"/>
      <c r="N81" s="15"/>
      <c r="O81" s="15"/>
    </row>
    <row r="82" spans="1:15" x14ac:dyDescent="0.2">
      <c r="A82" s="15"/>
      <c r="H82" s="15"/>
      <c r="I82" s="15"/>
      <c r="J82" s="15"/>
      <c r="K82" s="15"/>
      <c r="L82" s="15"/>
      <c r="M82" s="15"/>
      <c r="N82" s="15"/>
      <c r="O82" s="15"/>
    </row>
    <row r="83" spans="1:15" x14ac:dyDescent="0.2">
      <c r="A83" s="15"/>
      <c r="H83" s="15"/>
      <c r="I83" s="15"/>
      <c r="J83" s="15"/>
      <c r="K83" s="15"/>
      <c r="L83" s="15"/>
      <c r="M83" s="15"/>
      <c r="N83" s="15"/>
      <c r="O83" s="15"/>
    </row>
    <row r="84" spans="1:15" x14ac:dyDescent="0.2">
      <c r="A84" s="15"/>
      <c r="H84" s="15"/>
      <c r="I84" s="15"/>
      <c r="J84" s="15"/>
      <c r="K84" s="15"/>
      <c r="L84" s="15"/>
      <c r="M84" s="15"/>
      <c r="N84" s="15"/>
      <c r="O84" s="15"/>
    </row>
    <row r="85" spans="1:15" x14ac:dyDescent="0.2">
      <c r="A85" s="15"/>
      <c r="H85" s="15"/>
      <c r="I85" s="15"/>
      <c r="J85" s="15"/>
      <c r="K85" s="15"/>
      <c r="L85" s="15"/>
      <c r="M85" s="15"/>
      <c r="N85" s="15"/>
      <c r="O85" s="15"/>
    </row>
    <row r="86" spans="1:15" x14ac:dyDescent="0.2">
      <c r="A86" s="15"/>
      <c r="H86" s="15"/>
      <c r="I86" s="15"/>
      <c r="J86" s="15"/>
      <c r="K86" s="15"/>
      <c r="L86" s="15"/>
      <c r="M86" s="15"/>
      <c r="N86" s="15"/>
      <c r="O86" s="15"/>
    </row>
    <row r="87" spans="1:15" x14ac:dyDescent="0.2">
      <c r="A87" s="15"/>
      <c r="H87" s="15"/>
      <c r="I87" s="15"/>
      <c r="J87" s="15"/>
      <c r="K87" s="15"/>
      <c r="L87" s="15"/>
      <c r="M87" s="15"/>
      <c r="N87" s="15"/>
      <c r="O87" s="15"/>
    </row>
    <row r="88" spans="1:15" x14ac:dyDescent="0.2">
      <c r="A88" s="15"/>
      <c r="H88" s="15"/>
      <c r="I88" s="15"/>
      <c r="J88" s="15"/>
      <c r="K88" s="15"/>
      <c r="L88" s="15"/>
      <c r="M88" s="15"/>
      <c r="N88" s="15"/>
      <c r="O88" s="15"/>
    </row>
    <row r="89" spans="1:15" x14ac:dyDescent="0.2">
      <c r="A89" s="15"/>
      <c r="H89" s="15"/>
      <c r="I89" s="15"/>
      <c r="J89" s="15"/>
      <c r="K89" s="15"/>
      <c r="L89" s="15"/>
      <c r="M89" s="15"/>
      <c r="N89" s="15"/>
      <c r="O89" s="15"/>
    </row>
    <row r="90" spans="1:15" x14ac:dyDescent="0.2">
      <c r="A90" s="15"/>
      <c r="H90" s="15"/>
      <c r="I90" s="15"/>
      <c r="J90" s="15"/>
      <c r="K90" s="15"/>
      <c r="L90" s="15"/>
      <c r="M90" s="15"/>
      <c r="N90" s="15"/>
      <c r="O90" s="15"/>
    </row>
    <row r="91" spans="1:15" x14ac:dyDescent="0.2">
      <c r="A91" s="15"/>
      <c r="H91" s="15"/>
      <c r="I91" s="15"/>
      <c r="J91" s="15"/>
      <c r="K91" s="15"/>
      <c r="L91" s="15"/>
      <c r="M91" s="15"/>
      <c r="N91" s="15"/>
      <c r="O91" s="15"/>
    </row>
    <row r="92" spans="1:15" x14ac:dyDescent="0.2">
      <c r="A92" s="15"/>
      <c r="H92" s="15"/>
      <c r="I92" s="15"/>
      <c r="J92" s="15"/>
      <c r="K92" s="15"/>
      <c r="L92" s="15"/>
      <c r="M92" s="15"/>
      <c r="N92" s="15"/>
      <c r="O92" s="15"/>
    </row>
    <row r="93" spans="1:15" x14ac:dyDescent="0.2">
      <c r="A93" s="15"/>
      <c r="H93" s="15"/>
      <c r="I93" s="15"/>
      <c r="J93" s="15"/>
      <c r="K93" s="15"/>
      <c r="L93" s="15"/>
      <c r="M93" s="15"/>
      <c r="N93" s="15"/>
      <c r="O93" s="15"/>
    </row>
    <row r="94" spans="1:15" x14ac:dyDescent="0.2">
      <c r="A94" s="15"/>
      <c r="H94" s="15"/>
      <c r="I94" s="15"/>
      <c r="J94" s="15"/>
      <c r="K94" s="15"/>
      <c r="L94" s="15"/>
      <c r="M94" s="15"/>
      <c r="N94" s="15"/>
      <c r="O94" s="15"/>
    </row>
    <row r="95" spans="1:15" x14ac:dyDescent="0.2">
      <c r="A95" s="15"/>
      <c r="H95" s="15"/>
      <c r="I95" s="15"/>
      <c r="J95" s="15"/>
      <c r="K95" s="15"/>
      <c r="L95" s="15"/>
      <c r="M95" s="15"/>
      <c r="N95" s="15"/>
      <c r="O95" s="15"/>
    </row>
    <row r="96" spans="1:15" x14ac:dyDescent="0.2">
      <c r="A96" s="15"/>
      <c r="H96" s="15"/>
      <c r="I96" s="15"/>
      <c r="J96" s="15"/>
      <c r="K96" s="15"/>
      <c r="L96" s="15"/>
      <c r="M96" s="15"/>
      <c r="N96" s="15"/>
      <c r="O96" s="15"/>
    </row>
    <row r="97" spans="1:15" x14ac:dyDescent="0.2">
      <c r="A97" s="15"/>
      <c r="H97" s="15"/>
      <c r="I97" s="15"/>
      <c r="J97" s="15"/>
      <c r="K97" s="15"/>
      <c r="L97" s="15"/>
      <c r="M97" s="15"/>
      <c r="N97" s="15"/>
      <c r="O97" s="15"/>
    </row>
    <row r="98" spans="1:15" x14ac:dyDescent="0.2">
      <c r="A98" s="15"/>
      <c r="H98" s="15"/>
      <c r="I98" s="15"/>
      <c r="J98" s="15"/>
      <c r="K98" s="15"/>
      <c r="L98" s="15"/>
      <c r="M98" s="15"/>
      <c r="N98" s="15"/>
      <c r="O98" s="15"/>
    </row>
    <row r="99" spans="1:15" x14ac:dyDescent="0.2">
      <c r="A99" s="15"/>
      <c r="H99" s="15"/>
      <c r="I99" s="15"/>
      <c r="J99" s="15"/>
      <c r="K99" s="15"/>
      <c r="L99" s="15"/>
      <c r="M99" s="15"/>
      <c r="N99" s="15"/>
      <c r="O99" s="15"/>
    </row>
    <row r="100" spans="1:15" x14ac:dyDescent="0.2">
      <c r="A100" s="15"/>
      <c r="H100" s="15"/>
      <c r="I100" s="15"/>
      <c r="J100" s="15"/>
      <c r="K100" s="15"/>
      <c r="L100" s="15"/>
      <c r="M100" s="15"/>
      <c r="N100" s="15"/>
      <c r="O100" s="15"/>
    </row>
  </sheetData>
  <mergeCells count="10">
    <mergeCell ref="H1:H2"/>
    <mergeCell ref="I1:K1"/>
    <mergeCell ref="L1:N1"/>
    <mergeCell ref="A1:A2"/>
    <mergeCell ref="B1:B2"/>
    <mergeCell ref="C1:C2"/>
    <mergeCell ref="D1:D2"/>
    <mergeCell ref="E1:E2"/>
    <mergeCell ref="F1:F2"/>
    <mergeCell ref="G1:G2"/>
  </mergeCells>
  <dataValidations count="1">
    <dataValidation type="list" allowBlank="1" sqref="O3:O100" xr:uid="{00000000-0002-0000-0200-000003000000}">
      <formula1>"A,B,C,D,E"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1000000}">
          <x14:formula1>
            <xm:f>nombres!$U$2:$U$11</xm:f>
          </x14:formula1>
          <xm:sqref>L3:N100</xm:sqref>
        </x14:dataValidation>
        <x14:dataValidation type="list" allowBlank="1" showErrorMessage="1" xr:uid="{00000000-0002-0000-0200-000002000000}">
          <x14:formula1>
            <xm:f>nombres!$Z$2:$Z$20</xm:f>
          </x14:formula1>
          <xm:sqref>H3:K100</xm:sqref>
        </x14:dataValidation>
        <x14:dataValidation type="list" allowBlank="1" xr:uid="{00000000-0002-0000-0200-000000000000}">
          <x14:formula1>
            <xm:f>nombres!$AD$2:$AD100</xm:f>
          </x14:formula1>
          <xm:sqref>A3:A100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"/>
  <sheetViews>
    <sheetView workbookViewId="0"/>
  </sheetViews>
  <sheetFormatPr baseColWidth="10" defaultColWidth="12.5703125" defaultRowHeight="15.75" customHeight="1" x14ac:dyDescent="0.2"/>
  <sheetData>
    <row r="1" spans="1:7" x14ac:dyDescent="0.2">
      <c r="A1" s="7" t="s">
        <v>88</v>
      </c>
      <c r="B1" s="7" t="s">
        <v>89</v>
      </c>
      <c r="C1" s="7" t="s">
        <v>90</v>
      </c>
      <c r="D1" s="7" t="s">
        <v>91</v>
      </c>
      <c r="E1" s="7" t="s">
        <v>92</v>
      </c>
      <c r="F1" s="7" t="s">
        <v>38</v>
      </c>
      <c r="G1" s="7" t="s">
        <v>93</v>
      </c>
    </row>
    <row r="2" spans="1:7" x14ac:dyDescent="0.2">
      <c r="F2" s="15"/>
      <c r="G2" s="15"/>
    </row>
    <row r="3" spans="1:7" x14ac:dyDescent="0.2">
      <c r="F3" s="15"/>
      <c r="G3" s="15"/>
    </row>
    <row r="4" spans="1:7" x14ac:dyDescent="0.2">
      <c r="F4" s="15"/>
      <c r="G4" s="15"/>
    </row>
    <row r="5" spans="1:7" x14ac:dyDescent="0.2">
      <c r="F5" s="15"/>
      <c r="G5" s="15"/>
    </row>
    <row r="6" spans="1:7" x14ac:dyDescent="0.2">
      <c r="F6" s="15"/>
      <c r="G6" s="15"/>
    </row>
    <row r="7" spans="1:7" x14ac:dyDescent="0.2">
      <c r="F7" s="15"/>
      <c r="G7" s="15"/>
    </row>
    <row r="8" spans="1:7" x14ac:dyDescent="0.2">
      <c r="F8" s="15"/>
      <c r="G8" s="15"/>
    </row>
    <row r="9" spans="1:7" x14ac:dyDescent="0.2">
      <c r="F9" s="15"/>
      <c r="G9" s="15"/>
    </row>
    <row r="10" spans="1:7" x14ac:dyDescent="0.2">
      <c r="F10" s="15"/>
      <c r="G10" s="15"/>
    </row>
  </sheetData>
  <dataValidations count="1">
    <dataValidation type="list" allowBlank="1" showErrorMessage="1" sqref="G2:G10" xr:uid="{00000000-0002-0000-0300-000001000000}">
      <formula1>"Rural,Urbano"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nombres!$B$2:$B$9</xm:f>
          </x14:formula1>
          <xm:sqref>F2:F10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"/>
  <sheetViews>
    <sheetView workbookViewId="0"/>
  </sheetViews>
  <sheetFormatPr baseColWidth="10" defaultColWidth="12.5703125" defaultRowHeight="15.75" customHeight="1" x14ac:dyDescent="0.2"/>
  <sheetData>
    <row r="1" spans="1:26" x14ac:dyDescent="0.2">
      <c r="A1" s="8" t="s">
        <v>88</v>
      </c>
      <c r="B1" s="8" t="s">
        <v>74</v>
      </c>
      <c r="C1" s="8" t="s">
        <v>70</v>
      </c>
      <c r="D1" s="8" t="s">
        <v>77</v>
      </c>
      <c r="E1" s="8" t="s">
        <v>78</v>
      </c>
      <c r="F1" s="8" t="s">
        <v>94</v>
      </c>
      <c r="G1" s="8" t="s">
        <v>95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x14ac:dyDescent="0.2">
      <c r="C2" s="15"/>
    </row>
    <row r="3" spans="1:26" x14ac:dyDescent="0.2">
      <c r="C3" s="15"/>
    </row>
    <row r="4" spans="1:26" x14ac:dyDescent="0.2">
      <c r="C4" s="15"/>
    </row>
    <row r="5" spans="1:26" x14ac:dyDescent="0.2">
      <c r="B5" s="24"/>
      <c r="C5" s="15"/>
    </row>
    <row r="6" spans="1:26" x14ac:dyDescent="0.2">
      <c r="B6" s="24"/>
      <c r="C6" s="15"/>
    </row>
    <row r="7" spans="1:26" x14ac:dyDescent="0.2">
      <c r="B7" s="24"/>
      <c r="C7" s="15"/>
    </row>
    <row r="8" spans="1:26" x14ac:dyDescent="0.2">
      <c r="B8" s="24"/>
      <c r="C8" s="15"/>
    </row>
    <row r="9" spans="1:26" x14ac:dyDescent="0.2">
      <c r="B9" s="24"/>
      <c r="C9" s="15"/>
    </row>
    <row r="10" spans="1:26" x14ac:dyDescent="0.2">
      <c r="B10" s="25"/>
      <c r="C10" s="1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nombres!$B$2:$B$9</xm:f>
          </x14:formula1>
          <xm:sqref>C2:C10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K1000"/>
  <sheetViews>
    <sheetView workbookViewId="0"/>
  </sheetViews>
  <sheetFormatPr baseColWidth="10" defaultColWidth="12.5703125" defaultRowHeight="15.75" customHeight="1" x14ac:dyDescent="0.2"/>
  <cols>
    <col min="1" max="1" width="5.5703125" customWidth="1"/>
    <col min="3" max="3" width="4.140625" customWidth="1"/>
    <col min="9" max="9" width="19.5703125" customWidth="1"/>
    <col min="12" max="12" width="23.42578125" customWidth="1"/>
    <col min="30" max="30" width="44.5703125" customWidth="1"/>
  </cols>
  <sheetData>
    <row r="1" spans="1:37" x14ac:dyDescent="0.2">
      <c r="A1" s="26" t="s">
        <v>96</v>
      </c>
      <c r="B1" s="24" t="s">
        <v>97</v>
      </c>
      <c r="D1" s="15" t="s">
        <v>96</v>
      </c>
      <c r="E1" s="15" t="s">
        <v>98</v>
      </c>
      <c r="G1" s="15" t="s">
        <v>99</v>
      </c>
      <c r="I1" s="24" t="s">
        <v>100</v>
      </c>
      <c r="J1" s="24" t="s">
        <v>101</v>
      </c>
      <c r="L1" s="15" t="s">
        <v>102</v>
      </c>
      <c r="M1" s="15" t="s">
        <v>96</v>
      </c>
      <c r="O1" s="24" t="s">
        <v>41</v>
      </c>
      <c r="P1" s="15" t="s">
        <v>96</v>
      </c>
      <c r="R1" s="20" t="s">
        <v>43</v>
      </c>
      <c r="S1" s="20" t="s">
        <v>103</v>
      </c>
      <c r="U1" s="24" t="s">
        <v>104</v>
      </c>
      <c r="V1" s="15" t="s">
        <v>105</v>
      </c>
      <c r="X1" s="24" t="s">
        <v>106</v>
      </c>
      <c r="Z1" s="24" t="s">
        <v>107</v>
      </c>
      <c r="AA1" s="15"/>
      <c r="AB1" s="15"/>
      <c r="AC1" s="27"/>
      <c r="AD1" s="27" t="str">
        <f ca="1">IFERROR(__xludf.DUMMYFUNCTION("IMPORTRANGE(""https://docs.google.com/spreadsheets/d/1TNGOAUFn0WUPOZrrEY23plkUIayZ7XglQNe64-Jm1To/edit?gid=60910317#gid=60910317"",""colegios!A1:C"")"),"Nombre encontrado en las base de datos")</f>
        <v>Nombre encontrado en las base de datos</v>
      </c>
      <c r="AE1" s="27" t="str">
        <f ca="1">IFERROR(__xludf.DUMMYFUNCTION("""COMPUTED_VALUE"""),"Nombre que hemos determinado que podria ser, segun lo que aparece en la muestra y cruce de información.")</f>
        <v>Nombre que hemos determinado que podria ser, segun lo que aparece en la muestra y cruce de información.</v>
      </c>
      <c r="AF1" s="15" t="str">
        <f ca="1">IFERROR(__xludf.DUMMYFUNCTION("""COMPUTED_VALUE"""),"Región a la que pertenece")</f>
        <v>Región a la que pertenece</v>
      </c>
      <c r="AG1" s="15"/>
      <c r="AH1" s="15"/>
      <c r="AI1" s="15"/>
      <c r="AJ1" s="15"/>
      <c r="AK1" s="15"/>
    </row>
    <row r="2" spans="1:37" x14ac:dyDescent="0.2">
      <c r="A2" s="16">
        <v>1</v>
      </c>
      <c r="B2" s="15" t="s">
        <v>108</v>
      </c>
      <c r="D2" s="15">
        <v>1</v>
      </c>
      <c r="E2" s="15" t="s">
        <v>109</v>
      </c>
      <c r="G2" s="15" t="s">
        <v>62</v>
      </c>
      <c r="I2" s="15" t="s">
        <v>63</v>
      </c>
      <c r="J2" s="15" t="s">
        <v>110</v>
      </c>
      <c r="L2" s="15" t="s">
        <v>65</v>
      </c>
      <c r="M2" s="15" t="str">
        <f t="shared" ref="M2:M10" si="0">MID(L2,1,1)</f>
        <v>1</v>
      </c>
      <c r="O2" s="15" t="s">
        <v>64</v>
      </c>
      <c r="P2" s="15">
        <v>1</v>
      </c>
      <c r="R2" s="15" t="s">
        <v>111</v>
      </c>
      <c r="S2" s="15">
        <v>1</v>
      </c>
      <c r="U2" s="15" t="s">
        <v>112</v>
      </c>
      <c r="V2" s="15" t="s">
        <v>113</v>
      </c>
      <c r="X2" s="15" t="s">
        <v>114</v>
      </c>
      <c r="Z2" s="15" t="s">
        <v>108</v>
      </c>
      <c r="AA2" s="15"/>
      <c r="AB2" s="15"/>
      <c r="AC2" s="28"/>
      <c r="AD2" s="28" t="str">
        <f ca="1">IFERROR(__xludf.DUMMYFUNCTION("""COMPUTED_VALUE"""),"Accocunca")</f>
        <v>Accocunca</v>
      </c>
      <c r="AE2" s="28" t="str">
        <f ca="1">IFERROR(__xludf.DUMMYFUNCTION("""COMPUTED_VALUE"""),"50547")</f>
        <v>50547</v>
      </c>
      <c r="AF2" s="15" t="str">
        <f ca="1">IFERROR(__xludf.DUMMYFUNCTION("""COMPUTED_VALUE"""),"44. Cusco")</f>
        <v>44. Cusco</v>
      </c>
      <c r="AG2" s="15"/>
      <c r="AH2" s="15"/>
      <c r="AI2" s="15"/>
      <c r="AJ2" s="15"/>
      <c r="AK2" s="15"/>
    </row>
    <row r="3" spans="1:37" x14ac:dyDescent="0.2">
      <c r="A3" s="16">
        <v>2</v>
      </c>
      <c r="B3" s="15" t="s">
        <v>61</v>
      </c>
      <c r="D3" s="15">
        <v>2</v>
      </c>
      <c r="E3" s="15" t="s">
        <v>115</v>
      </c>
      <c r="G3" s="15" t="s">
        <v>67</v>
      </c>
      <c r="I3" s="15" t="s">
        <v>68</v>
      </c>
      <c r="J3" s="15" t="s">
        <v>116</v>
      </c>
      <c r="L3" s="15" t="s">
        <v>117</v>
      </c>
      <c r="M3" s="15" t="str">
        <f t="shared" si="0"/>
        <v>2</v>
      </c>
      <c r="O3" s="15" t="s">
        <v>69</v>
      </c>
      <c r="P3" s="15">
        <v>2</v>
      </c>
      <c r="R3" s="15" t="s">
        <v>118</v>
      </c>
      <c r="S3" s="15">
        <v>2</v>
      </c>
      <c r="U3" s="15" t="s">
        <v>86</v>
      </c>
      <c r="V3" s="15" t="s">
        <v>119</v>
      </c>
      <c r="X3" s="15" t="s">
        <v>120</v>
      </c>
      <c r="Z3" s="15" t="s">
        <v>61</v>
      </c>
      <c r="AA3" s="15"/>
      <c r="AB3" s="15"/>
      <c r="AC3" s="28"/>
      <c r="AD3" s="28" t="str">
        <f ca="1">IFERROR(__xludf.DUMMYFUNCTION("""COMPUTED_VALUE"""),"Andamayo")</f>
        <v>Andamayo</v>
      </c>
      <c r="AE3" s="28" t="str">
        <f ca="1">IFERROR(__xludf.DUMMYFUNCTION("""COMPUTED_VALUE"""),"50977")</f>
        <v>50977</v>
      </c>
      <c r="AF3" s="15" t="str">
        <f ca="1">IFERROR(__xludf.DUMMYFUNCTION("""COMPUTED_VALUE"""),"44. Cusco")</f>
        <v>44. Cusco</v>
      </c>
      <c r="AG3" s="15"/>
      <c r="AH3" s="15"/>
      <c r="AI3" s="15"/>
      <c r="AJ3" s="15"/>
      <c r="AK3" s="15"/>
    </row>
    <row r="4" spans="1:37" x14ac:dyDescent="0.2">
      <c r="A4" s="16"/>
      <c r="B4" s="15" t="s">
        <v>66</v>
      </c>
      <c r="I4" s="15" t="s">
        <v>121</v>
      </c>
      <c r="L4" s="15" t="s">
        <v>122</v>
      </c>
      <c r="M4" s="15" t="str">
        <f t="shared" si="0"/>
        <v>3</v>
      </c>
      <c r="O4" s="15" t="s">
        <v>123</v>
      </c>
      <c r="P4" s="15">
        <v>3</v>
      </c>
      <c r="U4" s="15" t="s">
        <v>124</v>
      </c>
      <c r="V4" s="15" t="s">
        <v>125</v>
      </c>
      <c r="X4" s="15" t="s">
        <v>126</v>
      </c>
      <c r="Z4" s="15" t="s">
        <v>127</v>
      </c>
      <c r="AA4" s="15"/>
      <c r="AB4" s="15"/>
      <c r="AC4" s="28"/>
      <c r="AD4" s="28" t="str">
        <f ca="1">IFERROR(__xludf.DUMMYFUNCTION("""COMPUTED_VALUE"""),"Ccapana")</f>
        <v>Ccapana</v>
      </c>
      <c r="AE4" s="28" t="str">
        <f ca="1">IFERROR(__xludf.DUMMYFUNCTION("""COMPUTED_VALUE"""),"50495")</f>
        <v>50495</v>
      </c>
      <c r="AF4" s="15" t="str">
        <f ca="1">IFERROR(__xludf.DUMMYFUNCTION("""COMPUTED_VALUE"""),"44. Cusco")</f>
        <v>44. Cusco</v>
      </c>
      <c r="AG4" s="15"/>
      <c r="AH4" s="15"/>
      <c r="AI4" s="15"/>
      <c r="AJ4" s="15"/>
      <c r="AK4" s="15"/>
    </row>
    <row r="5" spans="1:37" x14ac:dyDescent="0.2">
      <c r="A5" s="16"/>
      <c r="L5" s="15" t="s">
        <v>128</v>
      </c>
      <c r="M5" s="15" t="str">
        <f t="shared" si="0"/>
        <v>4</v>
      </c>
      <c r="U5" s="15" t="s">
        <v>129</v>
      </c>
      <c r="V5" s="15" t="s">
        <v>130</v>
      </c>
      <c r="Z5" s="15" t="s">
        <v>84</v>
      </c>
      <c r="AA5" s="15"/>
      <c r="AB5" s="15"/>
      <c r="AC5" s="28"/>
      <c r="AD5" s="28" t="str">
        <f ca="1">IFERROR(__xludf.DUMMYFUNCTION("""COMPUTED_VALUE"""),"Cristo Rey")</f>
        <v>Cristo Rey</v>
      </c>
      <c r="AE5" s="28" t="str">
        <f ca="1">IFERROR(__xludf.DUMMYFUNCTION("""COMPUTED_VALUE"""),"501455 CRISTO REY TTIKARIY")</f>
        <v>501455 CRISTO REY TTIKARIY</v>
      </c>
      <c r="AF5" s="15" t="str">
        <f ca="1">IFERROR(__xludf.DUMMYFUNCTION("""COMPUTED_VALUE"""),"44. Cusco")</f>
        <v>44. Cusco</v>
      </c>
      <c r="AG5" s="15"/>
      <c r="AH5" s="15"/>
      <c r="AI5" s="15"/>
      <c r="AJ5" s="15"/>
      <c r="AK5" s="15"/>
    </row>
    <row r="6" spans="1:37" x14ac:dyDescent="0.2">
      <c r="A6" s="16"/>
      <c r="L6" s="15" t="s">
        <v>131</v>
      </c>
      <c r="M6" s="15" t="str">
        <f t="shared" si="0"/>
        <v>5</v>
      </c>
      <c r="U6" s="15" t="s">
        <v>132</v>
      </c>
      <c r="V6" s="15" t="s">
        <v>133</v>
      </c>
      <c r="Z6" s="15" t="s">
        <v>85</v>
      </c>
      <c r="AA6" s="15"/>
      <c r="AB6" s="15"/>
      <c r="AC6" s="28"/>
      <c r="AD6" s="28" t="str">
        <f ca="1">IFERROR(__xludf.DUMMYFUNCTION("""COMPUTED_VALUE"""),"Kumuncancha")</f>
        <v>Kumuncancha</v>
      </c>
      <c r="AE6" s="28" t="str">
        <f ca="1">IFERROR(__xludf.DUMMYFUNCTION("""COMPUTED_VALUE"""),"501432 PAPA FRANCISCO I")</f>
        <v>501432 PAPA FRANCISCO I</v>
      </c>
      <c r="AF6" s="15" t="str">
        <f ca="1">IFERROR(__xludf.DUMMYFUNCTION("""COMPUTED_VALUE"""),"44. Cusco")</f>
        <v>44. Cusco</v>
      </c>
      <c r="AG6" s="15"/>
      <c r="AH6" s="15"/>
      <c r="AI6" s="15"/>
      <c r="AJ6" s="15"/>
      <c r="AK6" s="15"/>
    </row>
    <row r="7" spans="1:37" x14ac:dyDescent="0.2">
      <c r="A7" s="16"/>
      <c r="L7" s="15" t="s">
        <v>134</v>
      </c>
      <c r="M7" s="15" t="str">
        <f t="shared" si="0"/>
        <v>6</v>
      </c>
      <c r="U7" s="15" t="s">
        <v>135</v>
      </c>
      <c r="V7" s="15" t="s">
        <v>136</v>
      </c>
      <c r="Z7" s="15" t="s">
        <v>137</v>
      </c>
      <c r="AA7" s="15"/>
      <c r="AB7" s="15"/>
      <c r="AC7" s="28"/>
      <c r="AD7" s="28" t="str">
        <f ca="1">IFERROR(__xludf.DUMMYFUNCTION("""COMPUTED_VALUE"""),"Llachi")</f>
        <v>Llachi</v>
      </c>
      <c r="AE7" s="28" t="str">
        <f ca="1">IFERROR(__xludf.DUMMYFUNCTION("""COMPUTED_VALUE"""),"50715")</f>
        <v>50715</v>
      </c>
      <c r="AF7" s="15" t="str">
        <f ca="1">IFERROR(__xludf.DUMMYFUNCTION("""COMPUTED_VALUE"""),"44. Cusco")</f>
        <v>44. Cusco</v>
      </c>
      <c r="AG7" s="15"/>
      <c r="AH7" s="15"/>
      <c r="AI7" s="15"/>
      <c r="AJ7" s="15"/>
      <c r="AK7" s="15"/>
    </row>
    <row r="8" spans="1:37" x14ac:dyDescent="0.2">
      <c r="A8" s="16"/>
      <c r="L8" s="15" t="s">
        <v>138</v>
      </c>
      <c r="M8" s="15" t="str">
        <f t="shared" si="0"/>
        <v>7</v>
      </c>
      <c r="V8" s="15" t="s">
        <v>139</v>
      </c>
      <c r="Z8" s="15" t="s">
        <v>140</v>
      </c>
      <c r="AA8" s="15"/>
      <c r="AB8" s="15"/>
      <c r="AC8" s="28"/>
      <c r="AD8" s="28" t="str">
        <f ca="1">IFERROR(__xludf.DUMMYFUNCTION("""COMPUTED_VALUE"""),"Marampaqui")</f>
        <v>Marampaqui</v>
      </c>
      <c r="AE8" s="28" t="str">
        <f ca="1">IFERROR(__xludf.DUMMYFUNCTION("""COMPUTED_VALUE"""),"50553")</f>
        <v>50553</v>
      </c>
      <c r="AF8" s="15" t="str">
        <f ca="1">IFERROR(__xludf.DUMMYFUNCTION("""COMPUTED_VALUE"""),"44. Cusco")</f>
        <v>44. Cusco</v>
      </c>
      <c r="AG8" s="15"/>
      <c r="AH8" s="15"/>
      <c r="AI8" s="15"/>
      <c r="AJ8" s="15"/>
      <c r="AK8" s="15"/>
    </row>
    <row r="9" spans="1:37" x14ac:dyDescent="0.2">
      <c r="A9" s="16"/>
      <c r="L9" s="15" t="s">
        <v>141</v>
      </c>
      <c r="M9" s="15" t="str">
        <f t="shared" si="0"/>
        <v>8</v>
      </c>
      <c r="V9" s="15" t="s">
        <v>142</v>
      </c>
      <c r="Z9" s="15" t="s">
        <v>143</v>
      </c>
      <c r="AA9" s="15"/>
      <c r="AB9" s="15"/>
      <c r="AC9" s="28"/>
      <c r="AD9" s="28" t="str">
        <f ca="1">IFERROR(__xludf.DUMMYFUNCTION("""COMPUTED_VALUE"""),"Ocongate")</f>
        <v>Ocongate</v>
      </c>
      <c r="AE9" s="28" t="str">
        <f ca="1">IFERROR(__xludf.DUMMYFUNCTION("""COMPUTED_VALUE"""),"50492 CORAZON DE JESUS")</f>
        <v>50492 CORAZON DE JESUS</v>
      </c>
      <c r="AF9" s="15" t="str">
        <f ca="1">IFERROR(__xludf.DUMMYFUNCTION("""COMPUTED_VALUE"""),"44. Cusco")</f>
        <v>44. Cusco</v>
      </c>
      <c r="AG9" s="15"/>
      <c r="AH9" s="15"/>
      <c r="AI9" s="15"/>
      <c r="AJ9" s="15"/>
      <c r="AK9" s="15"/>
    </row>
    <row r="10" spans="1:37" x14ac:dyDescent="0.2">
      <c r="A10" s="16"/>
      <c r="L10" s="15" t="s">
        <v>144</v>
      </c>
      <c r="M10" s="15" t="str">
        <f t="shared" si="0"/>
        <v>9</v>
      </c>
      <c r="V10" s="15" t="s">
        <v>145</v>
      </c>
      <c r="Z10" s="15" t="s">
        <v>146</v>
      </c>
      <c r="AC10" s="28"/>
      <c r="AD10" s="28" t="str">
        <f ca="1">IFERROR(__xludf.DUMMYFUNCTION("""COMPUTED_VALUE"""),"Pampacancha")</f>
        <v>Pampacancha</v>
      </c>
      <c r="AE10" s="28" t="str">
        <f ca="1">IFERROR(__xludf.DUMMYFUNCTION("""COMPUTED_VALUE"""),"50550")</f>
        <v>50550</v>
      </c>
      <c r="AF10" s="15" t="str">
        <f ca="1">IFERROR(__xludf.DUMMYFUNCTION("""COMPUTED_VALUE"""),"44. Cusco")</f>
        <v>44. Cusco</v>
      </c>
    </row>
    <row r="11" spans="1:37" x14ac:dyDescent="0.2">
      <c r="A11" s="16"/>
      <c r="L11" s="15" t="s">
        <v>147</v>
      </c>
      <c r="M11" s="15" t="str">
        <f t="shared" ref="M11:M13" si="1">MID(L11,1,2)</f>
        <v>10</v>
      </c>
      <c r="V11" s="15" t="s">
        <v>148</v>
      </c>
      <c r="Z11" s="15" t="s">
        <v>149</v>
      </c>
      <c r="AC11" s="28"/>
      <c r="AD11" s="28" t="str">
        <f ca="1">IFERROR(__xludf.DUMMYFUNCTION("""COMPUTED_VALUE"""),"Sallicancha")</f>
        <v>Sallicancha</v>
      </c>
      <c r="AE11" s="28" t="str">
        <f ca="1">IFERROR(__xludf.DUMMYFUNCTION("""COMPUTED_VALUE"""),"50765")</f>
        <v>50765</v>
      </c>
      <c r="AF11" s="15" t="str">
        <f ca="1">IFERROR(__xludf.DUMMYFUNCTION("""COMPUTED_VALUE"""),"44. Cusco")</f>
        <v>44. Cusco</v>
      </c>
    </row>
    <row r="12" spans="1:37" x14ac:dyDescent="0.2">
      <c r="A12" s="16"/>
      <c r="L12" s="15" t="s">
        <v>150</v>
      </c>
      <c r="M12" s="15" t="str">
        <f t="shared" si="1"/>
        <v>11</v>
      </c>
      <c r="Z12" s="15" t="s">
        <v>151</v>
      </c>
      <c r="AC12" s="28"/>
      <c r="AD12" s="28" t="str">
        <f ca="1">IFERROR(__xludf.DUMMYFUNCTION("""COMPUTED_VALUE"""),"Yanacancha")</f>
        <v>Yanacancha</v>
      </c>
      <c r="AE12" s="28" t="str">
        <f ca="1">IFERROR(__xludf.DUMMYFUNCTION("""COMPUTED_VALUE"""),"50696 YANACANCHA")</f>
        <v>50696 YANACANCHA</v>
      </c>
      <c r="AF12" s="15" t="str">
        <f ca="1">IFERROR(__xludf.DUMMYFUNCTION("""COMPUTED_VALUE"""),"44. Cusco")</f>
        <v>44. Cusco</v>
      </c>
    </row>
    <row r="13" spans="1:37" x14ac:dyDescent="0.2">
      <c r="A13" s="16"/>
      <c r="L13" s="15" t="s">
        <v>152</v>
      </c>
      <c r="M13" s="15" t="str">
        <f t="shared" si="1"/>
        <v>12</v>
      </c>
      <c r="Z13" s="15" t="s">
        <v>153</v>
      </c>
      <c r="AC13" s="28"/>
      <c r="AD13" s="28" t="str">
        <f ca="1">IFERROR(__xludf.DUMMYFUNCTION("""COMPUTED_VALUE"""),"50492- CORAZON DE JESUS OCONGATE")</f>
        <v>50492- CORAZON DE JESUS OCONGATE</v>
      </c>
      <c r="AE13" s="28" t="str">
        <f ca="1">IFERROR(__xludf.DUMMYFUNCTION("""COMPUTED_VALUE"""),"50492 CORAZON DE JESUS")</f>
        <v>50492 CORAZON DE JESUS</v>
      </c>
      <c r="AF13" s="15" t="str">
        <f ca="1">IFERROR(__xludf.DUMMYFUNCTION("""COMPUTED_VALUE"""),"44. Cusco")</f>
        <v>44. Cusco</v>
      </c>
    </row>
    <row r="14" spans="1:37" x14ac:dyDescent="0.2">
      <c r="A14" s="16"/>
      <c r="M14" s="15" t="str">
        <f>MID(L14,5,50)</f>
        <v/>
      </c>
      <c r="Z14" s="15" t="s">
        <v>154</v>
      </c>
      <c r="AC14" s="28"/>
      <c r="AD14" s="28" t="str">
        <f ca="1">IFERROR(__xludf.DUMMYFUNCTION("""COMPUTED_VALUE"""),"50495 CCAPANA")</f>
        <v>50495 CCAPANA</v>
      </c>
      <c r="AE14" s="28" t="str">
        <f ca="1">IFERROR(__xludf.DUMMYFUNCTION("""COMPUTED_VALUE"""),"50495")</f>
        <v>50495</v>
      </c>
      <c r="AF14" s="15" t="str">
        <f ca="1">IFERROR(__xludf.DUMMYFUNCTION("""COMPUTED_VALUE"""),"44. Cusco")</f>
        <v>44. Cusco</v>
      </c>
    </row>
    <row r="15" spans="1:37" x14ac:dyDescent="0.2">
      <c r="A15" s="16"/>
      <c r="Z15" s="15" t="s">
        <v>155</v>
      </c>
      <c r="AC15" s="28"/>
      <c r="AD15" s="28" t="str">
        <f ca="1">IFERROR(__xludf.DUMMYFUNCTION("""COMPUTED_VALUE"""),"50550 PAMPACANCHA")</f>
        <v>50550 PAMPACANCHA</v>
      </c>
      <c r="AE15" s="28" t="str">
        <f ca="1">IFERROR(__xludf.DUMMYFUNCTION("""COMPUTED_VALUE"""),"50550")</f>
        <v>50550</v>
      </c>
      <c r="AF15" s="15" t="str">
        <f ca="1">IFERROR(__xludf.DUMMYFUNCTION("""COMPUTED_VALUE"""),"44. Cusco")</f>
        <v>44. Cusco</v>
      </c>
    </row>
    <row r="16" spans="1:37" x14ac:dyDescent="0.2">
      <c r="A16" s="16"/>
      <c r="Z16" s="15" t="s">
        <v>156</v>
      </c>
      <c r="AC16" s="28"/>
      <c r="AD16" s="28" t="str">
        <f ca="1">IFERROR(__xludf.DUMMYFUNCTION("""COMPUTED_VALUE"""),"50552 ""TÚPAC AMARU II"" - HUACATINCO")</f>
        <v>50552 "TÚPAC AMARU II" - HUACATINCO</v>
      </c>
      <c r="AE16" s="28" t="str">
        <f ca="1">IFERROR(__xludf.DUMMYFUNCTION("""COMPUTED_VALUE"""),"50552 TUPAC AMARU II")</f>
        <v>50552 TUPAC AMARU II</v>
      </c>
      <c r="AF16" s="15" t="str">
        <f ca="1">IFERROR(__xludf.DUMMYFUNCTION("""COMPUTED_VALUE"""),"44. Cusco")</f>
        <v>44. Cusco</v>
      </c>
    </row>
    <row r="17" spans="1:32" x14ac:dyDescent="0.2">
      <c r="A17" s="16"/>
      <c r="Z17" s="15" t="s">
        <v>157</v>
      </c>
      <c r="AC17" s="28"/>
      <c r="AD17" s="28" t="str">
        <f ca="1">IFERROR(__xludf.DUMMYFUNCTION("""COMPUTED_VALUE"""),"50553 MARAMPAQUI")</f>
        <v>50553 MARAMPAQUI</v>
      </c>
      <c r="AE17" s="28" t="str">
        <f ca="1">IFERROR(__xludf.DUMMYFUNCTION("""COMPUTED_VALUE"""),"50553")</f>
        <v>50553</v>
      </c>
      <c r="AF17" s="15" t="str">
        <f ca="1">IFERROR(__xludf.DUMMYFUNCTION("""COMPUTED_VALUE"""),"44. Cusco")</f>
        <v>44. Cusco</v>
      </c>
    </row>
    <row r="18" spans="1:32" x14ac:dyDescent="0.2">
      <c r="A18" s="16"/>
      <c r="AC18" s="28"/>
      <c r="AD18" s="28" t="str">
        <f ca="1">IFERROR(__xludf.DUMMYFUNCTION("""COMPUTED_VALUE"""),"50558 PARCCOCALLA")</f>
        <v>50558 PARCCOCALLA</v>
      </c>
      <c r="AE18" s="28" t="str">
        <f ca="1">IFERROR(__xludf.DUMMYFUNCTION("""COMPUTED_VALUE"""),"50558")</f>
        <v>50558</v>
      </c>
      <c r="AF18" s="15" t="str">
        <f ca="1">IFERROR(__xludf.DUMMYFUNCTION("""COMPUTED_VALUE"""),"44. Cusco")</f>
        <v>44. Cusco</v>
      </c>
    </row>
    <row r="19" spans="1:32" x14ac:dyDescent="0.2">
      <c r="A19" s="16"/>
      <c r="AC19" s="28"/>
      <c r="AD19" s="28" t="str">
        <f ca="1">IFERROR(__xludf.DUMMYFUNCTION("""COMPUTED_VALUE"""),"50715 - Llachi")</f>
        <v>50715 - Llachi</v>
      </c>
      <c r="AE19" s="28" t="str">
        <f ca="1">IFERROR(__xludf.DUMMYFUNCTION("""COMPUTED_VALUE"""),"50715")</f>
        <v>50715</v>
      </c>
      <c r="AF19" s="15" t="str">
        <f ca="1">IFERROR(__xludf.DUMMYFUNCTION("""COMPUTED_VALUE"""),"44. Cusco")</f>
        <v>44. Cusco</v>
      </c>
    </row>
    <row r="20" spans="1:32" x14ac:dyDescent="0.2">
      <c r="A20" s="16"/>
      <c r="AC20" s="28"/>
      <c r="AD20" s="28" t="str">
        <f ca="1">IFERROR(__xludf.DUMMYFUNCTION("""COMPUTED_VALUE"""),"50719- VIRGEN DEL CARMEN TINKE")</f>
        <v>50719- VIRGEN DEL CARMEN TINKE</v>
      </c>
      <c r="AE20" s="28" t="str">
        <f ca="1">IFERROR(__xludf.DUMMYFUNCTION("""COMPUTED_VALUE"""),"50719 VIRGEN DEL CARMEN")</f>
        <v>50719 VIRGEN DEL CARMEN</v>
      </c>
      <c r="AF20" s="15" t="str">
        <f ca="1">IFERROR(__xludf.DUMMYFUNCTION("""COMPUTED_VALUE"""),"44. Cusco")</f>
        <v>44. Cusco</v>
      </c>
    </row>
    <row r="21" spans="1:32" x14ac:dyDescent="0.2">
      <c r="A21" s="16"/>
      <c r="AC21" s="28"/>
      <c r="AD21" s="28" t="str">
        <f ca="1">IFERROR(__xludf.DUMMYFUNCTION("""COMPUTED_VALUE"""),"50765 - SALLICANCHA")</f>
        <v>50765 - SALLICANCHA</v>
      </c>
      <c r="AE21" s="28" t="str">
        <f ca="1">IFERROR(__xludf.DUMMYFUNCTION("""COMPUTED_VALUE"""),"50765")</f>
        <v>50765</v>
      </c>
      <c r="AF21" s="15" t="str">
        <f ca="1">IFERROR(__xludf.DUMMYFUNCTION("""COMPUTED_VALUE"""),"44. Cusco")</f>
        <v>44. Cusco</v>
      </c>
    </row>
    <row r="22" spans="1:32" x14ac:dyDescent="0.2">
      <c r="A22" s="16"/>
      <c r="AC22" s="28"/>
      <c r="AD22" s="28" t="str">
        <f ca="1">IFERROR(__xludf.DUMMYFUNCTION("""COMPUTED_VALUE"""),"50696 YANACANCHA")</f>
        <v>50696 YANACANCHA</v>
      </c>
      <c r="AE22" s="28" t="str">
        <f ca="1">IFERROR(__xludf.DUMMYFUNCTION("""COMPUTED_VALUE"""),"50696 YANACANCHA")</f>
        <v>50696 YANACANCHA</v>
      </c>
      <c r="AF22" s="15" t="str">
        <f ca="1">IFERROR(__xludf.DUMMYFUNCTION("""COMPUTED_VALUE"""),"44. Cusco")</f>
        <v>44. Cusco</v>
      </c>
    </row>
    <row r="23" spans="1:32" x14ac:dyDescent="0.2">
      <c r="A23" s="16"/>
      <c r="AC23" s="28"/>
      <c r="AD23" s="28" t="str">
        <f ca="1">IFERROR(__xludf.DUMMYFUNCTION("""COMPUTED_VALUE"""),"50854 de PATAPALLAPA ALTA")</f>
        <v>50854 de PATAPALLAPA ALTA</v>
      </c>
      <c r="AE23" s="28" t="str">
        <f ca="1">IFERROR(__xludf.DUMMYFUNCTION("""COMPUTED_VALUE"""),"50854")</f>
        <v>50854</v>
      </c>
      <c r="AF23" s="15" t="str">
        <f ca="1">IFERROR(__xludf.DUMMYFUNCTION("""COMPUTED_VALUE"""),"44. Cusco")</f>
        <v>44. Cusco</v>
      </c>
    </row>
    <row r="24" spans="1:32" x14ac:dyDescent="0.2">
      <c r="A24" s="16"/>
      <c r="AC24" s="28"/>
      <c r="AD24" s="28" t="str">
        <f ca="1">IFERROR(__xludf.DUMMYFUNCTION("""COMPUTED_VALUE"""),"50977 Andamayo")</f>
        <v>50977 Andamayo</v>
      </c>
      <c r="AE24" s="28" t="str">
        <f ca="1">IFERROR(__xludf.DUMMYFUNCTION("""COMPUTED_VALUE"""),"50977")</f>
        <v>50977</v>
      </c>
      <c r="AF24" s="15" t="str">
        <f ca="1">IFERROR(__xludf.DUMMYFUNCTION("""COMPUTED_VALUE"""),"44. Cusco")</f>
        <v>44. Cusco</v>
      </c>
    </row>
    <row r="25" spans="1:32" x14ac:dyDescent="0.2">
      <c r="A25" s="16"/>
      <c r="AC25" s="28"/>
      <c r="AD25" s="28" t="str">
        <f ca="1">IFERROR(__xludf.DUMMYFUNCTION("""COMPUTED_VALUE"""),"501344 - CCASAPATA")</f>
        <v>501344 - CCASAPATA</v>
      </c>
      <c r="AE25" s="28" t="str">
        <f ca="1">IFERROR(__xludf.DUMMYFUNCTION("""COMPUTED_VALUE"""),"501344")</f>
        <v>501344</v>
      </c>
      <c r="AF25" s="15" t="str">
        <f ca="1">IFERROR(__xludf.DUMMYFUNCTION("""COMPUTED_VALUE"""),"44. Cusco")</f>
        <v>44. Cusco</v>
      </c>
    </row>
    <row r="26" spans="1:32" x14ac:dyDescent="0.2">
      <c r="A26" s="16"/>
      <c r="AC26" s="28"/>
      <c r="AD26" s="28" t="str">
        <f ca="1">IFERROR(__xludf.DUMMYFUNCTION("""COMPUTED_VALUE"""),"501344- CCASAPATA")</f>
        <v>501344- CCASAPATA</v>
      </c>
      <c r="AE26" s="28" t="str">
        <f ca="1">IFERROR(__xludf.DUMMYFUNCTION("""COMPUTED_VALUE"""),"501344")</f>
        <v>501344</v>
      </c>
      <c r="AF26" s="15" t="str">
        <f ca="1">IFERROR(__xludf.DUMMYFUNCTION("""COMPUTED_VALUE"""),"44. Cusco")</f>
        <v>44. Cusco</v>
      </c>
    </row>
    <row r="27" spans="1:32" x14ac:dyDescent="0.2">
      <c r="A27" s="16"/>
      <c r="AC27" s="28"/>
      <c r="AD27" s="28" t="str">
        <f ca="1">IFERROR(__xludf.DUMMYFUNCTION("""COMPUTED_VALUE"""),"501432 - Kumuncancha")</f>
        <v>501432 - Kumuncancha</v>
      </c>
      <c r="AE27" s="28" t="str">
        <f ca="1">IFERROR(__xludf.DUMMYFUNCTION("""COMPUTED_VALUE"""),"501432 PAPA FRANCISCO I")</f>
        <v>501432 PAPA FRANCISCO I</v>
      </c>
      <c r="AF27" s="15" t="str">
        <f ca="1">IFERROR(__xludf.DUMMYFUNCTION("""COMPUTED_VALUE"""),"44. Cusco")</f>
        <v>44. Cusco</v>
      </c>
    </row>
    <row r="28" spans="1:32" x14ac:dyDescent="0.2">
      <c r="A28" s="16"/>
      <c r="AC28" s="28"/>
      <c r="AD28" s="28" t="str">
        <f ca="1">IFERROR(__xludf.DUMMYFUNCTION("""COMPUTED_VALUE"""),"501455 - CRISTO REY TIKARIY")</f>
        <v>501455 - CRISTO REY TIKARIY</v>
      </c>
      <c r="AE28" s="28" t="str">
        <f ca="1">IFERROR(__xludf.DUMMYFUNCTION("""COMPUTED_VALUE"""),"501455 CRISTO REY TTIKARIY")</f>
        <v>501455 CRISTO REY TTIKARIY</v>
      </c>
      <c r="AF28" s="15" t="str">
        <f ca="1">IFERROR(__xludf.DUMMYFUNCTION("""COMPUTED_VALUE"""),"44. Cusco")</f>
        <v>44. Cusco</v>
      </c>
    </row>
    <row r="29" spans="1:32" x14ac:dyDescent="0.2">
      <c r="A29" s="16"/>
      <c r="AC29" s="28"/>
      <c r="AD29" s="28" t="str">
        <f ca="1">IFERROR(__xludf.DUMMYFUNCTION("""COMPUTED_VALUE"""),"Papa Francisco I")</f>
        <v>Papa Francisco I</v>
      </c>
      <c r="AE29" s="28" t="str">
        <f ca="1">IFERROR(__xludf.DUMMYFUNCTION("""COMPUTED_VALUE"""),"501432 PAPA FRANCISCO I")</f>
        <v>501432 PAPA FRANCISCO I</v>
      </c>
      <c r="AF29" s="15" t="str">
        <f ca="1">IFERROR(__xludf.DUMMYFUNCTION("""COMPUTED_VALUE"""),"44. Cusco")</f>
        <v>44. Cusco</v>
      </c>
    </row>
    <row r="30" spans="1:32" x14ac:dyDescent="0.2">
      <c r="A30" s="16"/>
      <c r="AC30" s="28"/>
      <c r="AD30" s="28" t="str">
        <f ca="1">IFERROR(__xludf.DUMMYFUNCTION("""COMPUTED_VALUE"""),"601448")</f>
        <v>601448</v>
      </c>
      <c r="AE30" s="28" t="str">
        <f ca="1">IFERROR(__xludf.DUMMYFUNCTION("""COMPUTED_VALUE"""),"601448")</f>
        <v>601448</v>
      </c>
      <c r="AF30" s="15" t="str">
        <f ca="1">IFERROR(__xludf.DUMMYFUNCTION("""COMPUTED_VALUE"""),"47. Loreto")</f>
        <v>47. Loreto</v>
      </c>
    </row>
    <row r="31" spans="1:32" x14ac:dyDescent="0.2">
      <c r="A31" s="16"/>
      <c r="AC31" s="28"/>
      <c r="AD31" s="28" t="str">
        <f ca="1">IFERROR(__xludf.DUMMYFUNCTION("""COMPUTED_VALUE"""),"601148")</f>
        <v>601148</v>
      </c>
      <c r="AE31" s="28" t="str">
        <f ca="1">IFERROR(__xludf.DUMMYFUNCTION("""COMPUTED_VALUE"""),"601448")</f>
        <v>601448</v>
      </c>
      <c r="AF31" s="15" t="str">
        <f ca="1">IFERROR(__xludf.DUMMYFUNCTION("""COMPUTED_VALUE"""),"47. Loreto")</f>
        <v>47. Loreto</v>
      </c>
    </row>
    <row r="32" spans="1:32" x14ac:dyDescent="0.2">
      <c r="A32" s="16"/>
      <c r="AC32" s="28"/>
      <c r="AD32" s="28" t="str">
        <f ca="1">IFERROR(__xludf.DUMMYFUNCTION("""COMPUTED_VALUE"""),"601614")</f>
        <v>601614</v>
      </c>
      <c r="AE32" s="28" t="str">
        <f ca="1">IFERROR(__xludf.DUMMYFUNCTION("""COMPUTED_VALUE"""),"601614")</f>
        <v>601614</v>
      </c>
      <c r="AF32" s="15" t="str">
        <f ca="1">IFERROR(__xludf.DUMMYFUNCTION("""COMPUTED_VALUE"""),"47. Loreto")</f>
        <v>47. Loreto</v>
      </c>
    </row>
    <row r="33" spans="1:32" x14ac:dyDescent="0.2">
      <c r="A33" s="16"/>
      <c r="AC33" s="28"/>
      <c r="AD33" s="28" t="str">
        <f ca="1">IFERROR(__xludf.DUMMYFUNCTION("""COMPUTED_VALUE"""),"EL MILAGRO")</f>
        <v>EL MILAGRO</v>
      </c>
      <c r="AE33" s="28" t="str">
        <f ca="1">IFERROR(__xludf.DUMMYFUNCTION("""COMPUTED_VALUE"""),"EL MILAGRO")</f>
        <v>EL MILAGRO</v>
      </c>
      <c r="AF33" s="15" t="str">
        <f ca="1">IFERROR(__xludf.DUMMYFUNCTION("""COMPUTED_VALUE"""),"47. Loreto")</f>
        <v>47. Loreto</v>
      </c>
    </row>
    <row r="34" spans="1:32" x14ac:dyDescent="0.2">
      <c r="A34" s="16"/>
      <c r="AC34" s="28"/>
      <c r="AD34" s="28" t="str">
        <f ca="1">IFERROR(__xludf.DUMMYFUNCTION("""COMPUTED_VALUE"""),"EL MILAGRO ")</f>
        <v xml:space="preserve">EL MILAGRO </v>
      </c>
      <c r="AE34" s="28" t="str">
        <f ca="1">IFERROR(__xludf.DUMMYFUNCTION("""COMPUTED_VALUE"""),"EL MILAGRO")</f>
        <v>EL MILAGRO</v>
      </c>
      <c r="AF34" s="15" t="str">
        <f ca="1">IFERROR(__xludf.DUMMYFUNCTION("""COMPUTED_VALUE"""),"47. Loreto")</f>
        <v>47. Loreto</v>
      </c>
    </row>
    <row r="35" spans="1:32" x14ac:dyDescent="0.2">
      <c r="A35" s="16"/>
      <c r="AC35" s="28"/>
      <c r="AD35" s="28" t="str">
        <f ca="1">IFERROR(__xludf.DUMMYFUNCTION("""COMPUTED_VALUE"""),"601514")</f>
        <v>601514</v>
      </c>
      <c r="AE35" s="28" t="str">
        <f ca="1">IFERROR(__xludf.DUMMYFUNCTION("""COMPUTED_VALUE"""),"601514")</f>
        <v>601514</v>
      </c>
      <c r="AF35" s="15" t="str">
        <f ca="1">IFERROR(__xludf.DUMMYFUNCTION("""COMPUTED_VALUE"""),"47. Loreto")</f>
        <v>47. Loreto</v>
      </c>
    </row>
    <row r="36" spans="1:32" x14ac:dyDescent="0.2">
      <c r="A36" s="16"/>
      <c r="AC36" s="28"/>
      <c r="AD36" s="28" t="str">
        <f ca="1">IFERROR(__xludf.DUMMYFUNCTION("""COMPUTED_VALUE"""),"601331")</f>
        <v>601331</v>
      </c>
      <c r="AE36" s="28" t="str">
        <f ca="1">IFERROR(__xludf.DUMMYFUNCTION("""COMPUTED_VALUE"""),"601331")</f>
        <v>601331</v>
      </c>
      <c r="AF36" s="15" t="str">
        <f ca="1">IFERROR(__xludf.DUMMYFUNCTION("""COMPUTED_VALUE"""),"47. Loreto")</f>
        <v>47. Loreto</v>
      </c>
    </row>
    <row r="37" spans="1:32" x14ac:dyDescent="0.2">
      <c r="A37" s="16"/>
      <c r="AC37" s="28"/>
      <c r="AD37" s="28" t="str">
        <f ca="1">IFERROR(__xludf.DUMMYFUNCTION("""COMPUTED_VALUE"""),"6010230")</f>
        <v>6010230</v>
      </c>
      <c r="AE37" s="28" t="str">
        <f ca="1">IFERROR(__xludf.DUMMYFUNCTION("""COMPUTED_VALUE"""),"6010230 BARBARA D'ACHILLE")</f>
        <v>6010230 BARBARA D'ACHILLE</v>
      </c>
      <c r="AF37" s="15" t="str">
        <f ca="1">IFERROR(__xludf.DUMMYFUNCTION("""COMPUTED_VALUE"""),"47. Loreto")</f>
        <v>47. Loreto</v>
      </c>
    </row>
    <row r="38" spans="1:32" x14ac:dyDescent="0.2">
      <c r="A38" s="16"/>
      <c r="AC38" s="28"/>
      <c r="AD38" s="28" t="str">
        <f ca="1">IFERROR(__xludf.DUMMYFUNCTION("""COMPUTED_VALUE"""),"60133")</f>
        <v>60133</v>
      </c>
      <c r="AE38" s="28" t="str">
        <f ca="1">IFERROR(__xludf.DUMMYFUNCTION("""COMPUTED_VALUE"""),"60133")</f>
        <v>60133</v>
      </c>
      <c r="AF38" s="15" t="str">
        <f ca="1">IFERROR(__xludf.DUMMYFUNCTION("""COMPUTED_VALUE"""),"47. Loreto")</f>
        <v>47. Loreto</v>
      </c>
    </row>
    <row r="39" spans="1:32" x14ac:dyDescent="0.2">
      <c r="A39" s="16"/>
      <c r="AC39" s="28"/>
      <c r="AD39" s="28" t="str">
        <f ca="1">IFERROR(__xludf.DUMMYFUNCTION("""COMPUTED_VALUE"""),"60136 MORALILLO")</f>
        <v>60136 MORALILLO</v>
      </c>
      <c r="AE39" s="28" t="str">
        <f ca="1">IFERROR(__xludf.DUMMYFUNCTION("""COMPUTED_VALUE"""),"60136")</f>
        <v>60136</v>
      </c>
      <c r="AF39" s="15" t="str">
        <f ca="1">IFERROR(__xludf.DUMMYFUNCTION("""COMPUTED_VALUE"""),"47. Loreto")</f>
        <v>47. Loreto</v>
      </c>
    </row>
    <row r="40" spans="1:32" x14ac:dyDescent="0.2">
      <c r="A40" s="16"/>
      <c r="AC40" s="28"/>
      <c r="AD40" s="28" t="str">
        <f ca="1">IFERROR(__xludf.DUMMYFUNCTION("""COMPUTED_VALUE"""),"6010102 VILLA BUEN PASTOR")</f>
        <v>6010102 VILLA BUEN PASTOR</v>
      </c>
      <c r="AE40" s="28" t="str">
        <f ca="1">IFERROR(__xludf.DUMMYFUNCTION("""COMPUTED_VALUE"""),"6010102")</f>
        <v>6010102</v>
      </c>
      <c r="AF40" s="15" t="str">
        <f ca="1">IFERROR(__xludf.DUMMYFUNCTION("""COMPUTED_VALUE"""),"47. Loreto")</f>
        <v>47. Loreto</v>
      </c>
    </row>
    <row r="41" spans="1:32" x14ac:dyDescent="0.2">
      <c r="A41" s="16"/>
      <c r="AC41" s="28"/>
      <c r="AD41" s="28" t="str">
        <f ca="1">IFERROR(__xludf.DUMMYFUNCTION("""COMPUTED_VALUE"""),"601448 NUEVO MILAGRO")</f>
        <v>601448 NUEVO MILAGRO</v>
      </c>
      <c r="AE41" s="28" t="str">
        <f ca="1">IFERROR(__xludf.DUMMYFUNCTION("""COMPUTED_VALUE"""),"601448")</f>
        <v>601448</v>
      </c>
      <c r="AF41" s="15" t="str">
        <f ca="1">IFERROR(__xludf.DUMMYFUNCTION("""COMPUTED_VALUE"""),"47. Loreto")</f>
        <v>47. Loreto</v>
      </c>
    </row>
    <row r="42" spans="1:32" x14ac:dyDescent="0.2">
      <c r="A42" s="16"/>
      <c r="AC42" s="28"/>
      <c r="AD42" s="28" t="str">
        <f ca="1">IFERROR(__xludf.DUMMYFUNCTION("""COMPUTED_VALUE"""),"601614 NUEVA ESPERANZA")</f>
        <v>601614 NUEVA ESPERANZA</v>
      </c>
      <c r="AE42" s="28" t="str">
        <f ca="1">IFERROR(__xludf.DUMMYFUNCTION("""COMPUTED_VALUE"""),"601614")</f>
        <v>601614</v>
      </c>
      <c r="AF42" s="15" t="str">
        <f ca="1">IFERROR(__xludf.DUMMYFUNCTION("""COMPUTED_VALUE"""),"47. Loreto")</f>
        <v>47. Loreto</v>
      </c>
    </row>
    <row r="43" spans="1:32" x14ac:dyDescent="0.2">
      <c r="A43" s="16"/>
      <c r="AC43" s="28"/>
      <c r="AD43" s="28" t="str">
        <f ca="1">IFERROR(__xludf.DUMMYFUNCTION("""COMPUTED_VALUE"""),"6010178 BELEN DE JUDA")</f>
        <v>6010178 BELEN DE JUDA</v>
      </c>
      <c r="AE43" s="28" t="str">
        <f ca="1">IFERROR(__xludf.DUMMYFUNCTION("""COMPUTED_VALUE"""),"6010178")</f>
        <v>6010178</v>
      </c>
      <c r="AF43" s="15" t="str">
        <f ca="1">IFERROR(__xludf.DUMMYFUNCTION("""COMPUTED_VALUE"""),"47. Loreto")</f>
        <v>47. Loreto</v>
      </c>
    </row>
    <row r="44" spans="1:32" x14ac:dyDescent="0.2">
      <c r="A44" s="16"/>
      <c r="AC44" s="28"/>
      <c r="AD44" s="28" t="str">
        <f ca="1">IFERROR(__xludf.DUMMYFUNCTION("""COMPUTED_VALUE"""),"601514 DORADO")</f>
        <v>601514 DORADO</v>
      </c>
      <c r="AE44" s="28" t="str">
        <f ca="1">IFERROR(__xludf.DUMMYFUNCTION("""COMPUTED_VALUE"""),"601514")</f>
        <v>601514</v>
      </c>
      <c r="AF44" s="15" t="str">
        <f ca="1">IFERROR(__xludf.DUMMYFUNCTION("""COMPUTED_VALUE"""),"47. Loreto")</f>
        <v>47. Loreto</v>
      </c>
    </row>
    <row r="45" spans="1:32" x14ac:dyDescent="0.2">
      <c r="A45" s="16"/>
      <c r="AC45" s="28"/>
      <c r="AD45" s="28" t="str">
        <f ca="1">IFERROR(__xludf.DUMMYFUNCTION("""COMPUTED_VALUE"""),"601514  DORADO")</f>
        <v>601514  DORADO</v>
      </c>
      <c r="AE45" s="28" t="str">
        <f ca="1">IFERROR(__xludf.DUMMYFUNCTION("""COMPUTED_VALUE"""),"601514")</f>
        <v>601514</v>
      </c>
      <c r="AF45" s="15" t="str">
        <f ca="1">IFERROR(__xludf.DUMMYFUNCTION("""COMPUTED_VALUE"""),"47. Loreto")</f>
        <v>47. Loreto</v>
      </c>
    </row>
    <row r="46" spans="1:32" x14ac:dyDescent="0.2">
      <c r="A46" s="16"/>
      <c r="AC46" s="28"/>
      <c r="AD46" s="28" t="str">
        <f ca="1">IFERROR(__xludf.DUMMYFUNCTION("""COMPUTED_VALUE"""),"601331 TRECE DE FEBRERO")</f>
        <v>601331 TRECE DE FEBRERO</v>
      </c>
      <c r="AE46" s="28" t="str">
        <f ca="1">IFERROR(__xludf.DUMMYFUNCTION("""COMPUTED_VALUE"""),"601331")</f>
        <v>601331</v>
      </c>
      <c r="AF46" s="15" t="str">
        <f ca="1">IFERROR(__xludf.DUMMYFUNCTION("""COMPUTED_VALUE"""),"47. Loreto")</f>
        <v>47. Loreto</v>
      </c>
    </row>
    <row r="47" spans="1:32" x14ac:dyDescent="0.2">
      <c r="A47" s="16"/>
      <c r="AC47" s="28"/>
      <c r="AD47" s="28" t="str">
        <f ca="1">IFERROR(__xludf.DUMMYFUNCTION("""COMPUTED_VALUE"""),"601391 PAUJIL II ZONA")</f>
        <v>601391 PAUJIL II ZONA</v>
      </c>
      <c r="AE47" s="28" t="str">
        <f ca="1">IFERROR(__xludf.DUMMYFUNCTION("""COMPUTED_VALUE"""),"601391")</f>
        <v>601391</v>
      </c>
      <c r="AF47" s="15" t="str">
        <f ca="1">IFERROR(__xludf.DUMMYFUNCTION("""COMPUTED_VALUE"""),"47. Loreto")</f>
        <v>47. Loreto</v>
      </c>
    </row>
    <row r="48" spans="1:32" x14ac:dyDescent="0.2">
      <c r="A48" s="16"/>
      <c r="AC48" s="28"/>
      <c r="AD48" s="28" t="str">
        <f ca="1">IFERROR(__xludf.DUMMYFUNCTION("""COMPUTED_VALUE"""),"601570 ANGEL CARDENAS I")</f>
        <v>601570 ANGEL CARDENAS I</v>
      </c>
      <c r="AE48" s="28" t="str">
        <f ca="1">IFERROR(__xludf.DUMMYFUNCTION("""COMPUTED_VALUE"""),"601570")</f>
        <v>601570</v>
      </c>
      <c r="AF48" s="15" t="str">
        <f ca="1">IFERROR(__xludf.DUMMYFUNCTION("""COMPUTED_VALUE"""),"47. Loreto")</f>
        <v>47. Loreto</v>
      </c>
    </row>
    <row r="49" spans="1:32" x14ac:dyDescent="0.2">
      <c r="A49" s="16"/>
      <c r="AC49" s="28"/>
      <c r="AD49" s="28" t="str">
        <f ca="1">IFERROR(__xludf.DUMMYFUNCTION("""COMPUTED_VALUE"""),"601678 ANGEL CARDENAS II")</f>
        <v>601678 ANGEL CARDENAS II</v>
      </c>
      <c r="AE49" s="28" t="str">
        <f ca="1">IFERROR(__xludf.DUMMYFUNCTION("""COMPUTED_VALUE"""),"601678")</f>
        <v>601678</v>
      </c>
      <c r="AF49" s="15" t="str">
        <f ca="1">IFERROR(__xludf.DUMMYFUNCTION("""COMPUTED_VALUE"""),"47. Loreto")</f>
        <v>47. Loreto</v>
      </c>
    </row>
    <row r="50" spans="1:32" x14ac:dyDescent="0.2">
      <c r="A50" s="16"/>
      <c r="AC50" s="28"/>
      <c r="AD50" s="28" t="str">
        <f ca="1">IFERROR(__xludf.DUMMYFUNCTION("""COMPUTED_VALUE"""),"6010230 NUEVO HORIZONTE")</f>
        <v>6010230 NUEVO HORIZONTE</v>
      </c>
      <c r="AE50" s="28" t="str">
        <f ca="1">IFERROR(__xludf.DUMMYFUNCTION("""COMPUTED_VALUE"""),"6010230 BARBARA D'ACHILLE")</f>
        <v>6010230 BARBARA D'ACHILLE</v>
      </c>
      <c r="AF50" s="15" t="str">
        <f ca="1">IFERROR(__xludf.DUMMYFUNCTION("""COMPUTED_VALUE"""),"47. Loreto")</f>
        <v>47. Loreto</v>
      </c>
    </row>
    <row r="51" spans="1:32" x14ac:dyDescent="0.2">
      <c r="A51" s="16"/>
      <c r="AC51" s="28"/>
      <c r="AD51" s="28" t="str">
        <f ca="1">IFERROR(__xludf.DUMMYFUNCTION("""COMPUTED_VALUE"""),"60181 SAN PEDRO DE PINTUYACU")</f>
        <v>60181 SAN PEDRO DE PINTUYACU</v>
      </c>
      <c r="AE51" s="28" t="str">
        <f ca="1">IFERROR(__xludf.DUMMYFUNCTION("""COMPUTED_VALUE"""),"60181")</f>
        <v>60181</v>
      </c>
      <c r="AF51" s="15" t="str">
        <f ca="1">IFERROR(__xludf.DUMMYFUNCTION("""COMPUTED_VALUE"""),"47. Loreto")</f>
        <v>47. Loreto</v>
      </c>
    </row>
    <row r="52" spans="1:32" x14ac:dyDescent="0.2">
      <c r="A52" s="16"/>
      <c r="AC52" s="28"/>
      <c r="AD52" s="28" t="str">
        <f ca="1">IFERROR(__xludf.DUMMYFUNCTION("""COMPUTED_VALUE"""),"6010231 EX PETROLEROS I")</f>
        <v>6010231 EX PETROLEROS I</v>
      </c>
      <c r="AE52" s="28" t="str">
        <f ca="1">IFERROR(__xludf.DUMMYFUNCTION("""COMPUTED_VALUE"""),"6010231")</f>
        <v>6010231</v>
      </c>
      <c r="AF52" s="15" t="str">
        <f ca="1">IFERROR(__xludf.DUMMYFUNCTION("""COMPUTED_VALUE"""),"47. Loreto")</f>
        <v>47. Loreto</v>
      </c>
    </row>
    <row r="53" spans="1:32" x14ac:dyDescent="0.2">
      <c r="A53" s="16"/>
      <c r="AC53" s="28"/>
      <c r="AD53" s="28" t="str">
        <f ca="1">IFERROR(__xludf.DUMMYFUNCTION("""COMPUTED_VALUE"""),"601511 10 DE OCTUBRE I")</f>
        <v>601511 10 DE OCTUBRE I</v>
      </c>
      <c r="AE53" s="28" t="str">
        <f ca="1">IFERROR(__xludf.DUMMYFUNCTION("""COMPUTED_VALUE"""),"601511")</f>
        <v>601511</v>
      </c>
      <c r="AF53" s="15" t="str">
        <f ca="1">IFERROR(__xludf.DUMMYFUNCTION("""COMPUTED_VALUE"""),"47. Loreto")</f>
        <v>47. Loreto</v>
      </c>
    </row>
    <row r="54" spans="1:32" x14ac:dyDescent="0.2">
      <c r="A54" s="16"/>
      <c r="AC54" s="28"/>
      <c r="AD54" s="28" t="str">
        <f ca="1">IFERROR(__xludf.DUMMYFUNCTION("""COMPUTED_VALUE"""),"601580 10 DE OCTUBRE II")</f>
        <v>601580 10 DE OCTUBRE II</v>
      </c>
      <c r="AE54" s="28" t="str">
        <f ca="1">IFERROR(__xludf.DUMMYFUNCTION("""COMPUTED_VALUE"""),"601580")</f>
        <v>601580</v>
      </c>
      <c r="AF54" s="15" t="str">
        <f ca="1">IFERROR(__xludf.DUMMYFUNCTION("""COMPUTED_VALUE"""),"47. Loreto")</f>
        <v>47. Loreto</v>
      </c>
    </row>
    <row r="55" spans="1:32" x14ac:dyDescent="0.2">
      <c r="A55" s="16"/>
      <c r="AC55" s="28"/>
      <c r="AD55" s="28" t="str">
        <f ca="1">IFERROR(__xludf.DUMMYFUNCTION("""COMPUTED_VALUE"""),"601444 TRIUNFO")</f>
        <v>601444 TRIUNFO</v>
      </c>
      <c r="AE55" s="28" t="str">
        <f ca="1">IFERROR(__xludf.DUMMYFUNCTION("""COMPUTED_VALUE"""),"601444")</f>
        <v>601444</v>
      </c>
      <c r="AF55" s="15" t="str">
        <f ca="1">IFERROR(__xludf.DUMMYFUNCTION("""COMPUTED_VALUE"""),"47. Loreto")</f>
        <v>47. Loreto</v>
      </c>
    </row>
    <row r="56" spans="1:32" x14ac:dyDescent="0.2">
      <c r="A56" s="16"/>
      <c r="AC56" s="28"/>
      <c r="AD56" s="28" t="str">
        <f ca="1">IFERROR(__xludf.DUMMYFUNCTION("""COMPUTED_VALUE"""),"601571 HUAMBE")</f>
        <v>601571 HUAMBE</v>
      </c>
      <c r="AE56" s="28" t="str">
        <f ca="1">IFERROR(__xludf.DUMMYFUNCTION("""COMPUTED_VALUE"""),"601571")</f>
        <v>601571</v>
      </c>
      <c r="AF56" s="15" t="str">
        <f ca="1">IFERROR(__xludf.DUMMYFUNCTION("""COMPUTED_VALUE"""),"47. Loreto")</f>
        <v>47. Loreto</v>
      </c>
    </row>
    <row r="57" spans="1:32" x14ac:dyDescent="0.2">
      <c r="A57" s="16"/>
      <c r="AC57" s="28"/>
      <c r="AD57" s="28" t="str">
        <f ca="1">IFERROR(__xludf.DUMMYFUNCTION("""COMPUTED_VALUE"""),"601563 LA HABANA")</f>
        <v>601563 LA HABANA</v>
      </c>
      <c r="AE57" s="28" t="str">
        <f ca="1">IFERROR(__xludf.DUMMYFUNCTION("""COMPUTED_VALUE"""),"601563")</f>
        <v>601563</v>
      </c>
      <c r="AF57" s="15" t="str">
        <f ca="1">IFERROR(__xludf.DUMMYFUNCTION("""COMPUTED_VALUE"""),"47. Loreto")</f>
        <v>47. Loreto</v>
      </c>
    </row>
    <row r="58" spans="1:32" x14ac:dyDescent="0.2">
      <c r="A58" s="16"/>
      <c r="AC58" s="28"/>
      <c r="AD58" s="28" t="str">
        <f ca="1">IFERROR(__xludf.DUMMYFUNCTION("""COMPUTED_VALUE"""),"60133 CAHUIDE")</f>
        <v>60133 CAHUIDE</v>
      </c>
      <c r="AE58" s="28" t="str">
        <f ca="1">IFERROR(__xludf.DUMMYFUNCTION("""COMPUTED_VALUE"""),"60133")</f>
        <v>60133</v>
      </c>
      <c r="AF58" s="15" t="str">
        <f ca="1">IFERROR(__xludf.DUMMYFUNCTION("""COMPUTED_VALUE"""),"47. Loreto")</f>
        <v>47. Loreto</v>
      </c>
    </row>
    <row r="59" spans="1:32" x14ac:dyDescent="0.2">
      <c r="A59" s="16"/>
      <c r="AC59" s="28"/>
      <c r="AD59" s="28" t="str">
        <f ca="1">IFERROR(__xludf.DUMMYFUNCTION("""COMPUTED_VALUE"""),"6013")</f>
        <v>6013</v>
      </c>
      <c r="AE59" s="28" t="str">
        <f ca="1">IFERROR(__xludf.DUMMYFUNCTION("""COMPUTED_VALUE"""),"60133")</f>
        <v>60133</v>
      </c>
      <c r="AF59" s="15" t="str">
        <f ca="1">IFERROR(__xludf.DUMMYFUNCTION("""COMPUTED_VALUE"""),"47. Loreto")</f>
        <v>47. Loreto</v>
      </c>
    </row>
    <row r="60" spans="1:32" x14ac:dyDescent="0.2">
      <c r="A60" s="16"/>
      <c r="AC60" s="28"/>
      <c r="AD60" s="28" t="str">
        <f ca="1">IFERROR(__xludf.DUMMYFUNCTION("""COMPUTED_VALUE"""),"14975 El Carbon")</f>
        <v>14975 El Carbon</v>
      </c>
      <c r="AE60" s="28" t="str">
        <f ca="1">IFERROR(__xludf.DUMMYFUNCTION("""COMPUTED_VALUE"""),"14975")</f>
        <v>14975</v>
      </c>
      <c r="AF60" s="15" t="str">
        <f ca="1">IFERROR(__xludf.DUMMYFUNCTION("""COMPUTED_VALUE"""),"48. Piura")</f>
        <v>48. Piura</v>
      </c>
    </row>
    <row r="61" spans="1:32" x14ac:dyDescent="0.2">
      <c r="A61" s="16"/>
      <c r="AC61" s="28"/>
      <c r="AD61" s="28" t="str">
        <f ca="1">IFERROR(__xludf.DUMMYFUNCTION("""COMPUTED_VALUE"""),"15219 Tinajones")</f>
        <v>15219 Tinajones</v>
      </c>
      <c r="AE61" s="28" t="str">
        <f ca="1">IFERROR(__xludf.DUMMYFUNCTION("""COMPUTED_VALUE"""),"15219")</f>
        <v>15219</v>
      </c>
      <c r="AF61" s="15" t="str">
        <f ca="1">IFERROR(__xludf.DUMMYFUNCTION("""COMPUTED_VALUE"""),"48. Piura")</f>
        <v>48. Piura</v>
      </c>
    </row>
    <row r="62" spans="1:32" x14ac:dyDescent="0.2">
      <c r="A62" s="16"/>
      <c r="AC62" s="28"/>
      <c r="AD62" s="28" t="str">
        <f ca="1">IFERROR(__xludf.DUMMYFUNCTION("""COMPUTED_VALUE"""),"15478 Cerro de Leones")</f>
        <v>15478 Cerro de Leones</v>
      </c>
      <c r="AE62" s="28" t="str">
        <f ca="1">IFERROR(__xludf.DUMMYFUNCTION("""COMPUTED_VALUE"""),"15478")</f>
        <v>15478</v>
      </c>
      <c r="AF62" s="15" t="str">
        <f ca="1">IFERROR(__xludf.DUMMYFUNCTION("""COMPUTED_VALUE"""),"48. Piura")</f>
        <v>48. Piura</v>
      </c>
    </row>
    <row r="63" spans="1:32" x14ac:dyDescent="0.2">
      <c r="A63" s="16"/>
      <c r="AC63" s="28"/>
      <c r="AD63" s="28" t="str">
        <f ca="1">IFERROR(__xludf.DUMMYFUNCTION("""COMPUTED_VALUE"""),"15383 Totoral Bajo")</f>
        <v>15383 Totoral Bajo</v>
      </c>
      <c r="AE63" s="28" t="str">
        <f ca="1">IFERROR(__xludf.DUMMYFUNCTION("""COMPUTED_VALUE"""),"15383")</f>
        <v>15383</v>
      </c>
      <c r="AF63" s="15" t="str">
        <f ca="1">IFERROR(__xludf.DUMMYFUNCTION("""COMPUTED_VALUE"""),"48. Piura")</f>
        <v>48. Piura</v>
      </c>
    </row>
    <row r="64" spans="1:32" x14ac:dyDescent="0.2">
      <c r="A64" s="16"/>
      <c r="AC64" s="28"/>
      <c r="AD64" s="28" t="str">
        <f ca="1">IFERROR(__xludf.DUMMYFUNCTION("""COMPUTED_VALUE"""),"14045 Miraflores Bajo")</f>
        <v>14045 Miraflores Bajo</v>
      </c>
      <c r="AE64" s="28" t="str">
        <f ca="1">IFERROR(__xludf.DUMMYFUNCTION("""COMPUTED_VALUE"""),"14045")</f>
        <v>14045</v>
      </c>
      <c r="AF64" s="15" t="str">
        <f ca="1">IFERROR(__xludf.DUMMYFUNCTION("""COMPUTED_VALUE"""),"48. Piura")</f>
        <v>48. Piura</v>
      </c>
    </row>
    <row r="65" spans="1:32" x14ac:dyDescent="0.2">
      <c r="A65" s="16"/>
      <c r="AC65" s="28"/>
      <c r="AD65" s="28" t="str">
        <f ca="1">IFERROR(__xludf.DUMMYFUNCTION("""COMPUTED_VALUE"""),"20104 CP-8")</f>
        <v>20104 CP-8</v>
      </c>
      <c r="AE65" s="28" t="str">
        <f ca="1">IFERROR(__xludf.DUMMYFUNCTION("""COMPUTED_VALUE"""),"20104")</f>
        <v>20104</v>
      </c>
      <c r="AF65" s="15" t="str">
        <f ca="1">IFERROR(__xludf.DUMMYFUNCTION("""COMPUTED_VALUE"""),"48. Piura")</f>
        <v>48. Piura</v>
      </c>
    </row>
    <row r="66" spans="1:32" x14ac:dyDescent="0.2">
      <c r="A66" s="16"/>
      <c r="AC66" s="28"/>
      <c r="AD66" s="28" t="str">
        <f ca="1">IFERROR(__xludf.DUMMYFUNCTION("""COMPUTED_VALUE"""),"15304 Guaraguaos.B")</f>
        <v>15304 Guaraguaos.B</v>
      </c>
      <c r="AE66" s="28" t="str">
        <f ca="1">IFERROR(__xludf.DUMMYFUNCTION("""COMPUTED_VALUE"""),"15304")</f>
        <v>15304</v>
      </c>
      <c r="AF66" s="15" t="str">
        <f ca="1">IFERROR(__xludf.DUMMYFUNCTION("""COMPUTED_VALUE"""),"48. Piura")</f>
        <v>48. Piura</v>
      </c>
    </row>
    <row r="67" spans="1:32" x14ac:dyDescent="0.2">
      <c r="A67" s="16"/>
      <c r="AC67" s="28"/>
      <c r="AD67" s="28" t="str">
        <f ca="1">IFERROR(__xludf.DUMMYFUNCTION("""COMPUTED_VALUE"""),"20123 Cruce de Vega")</f>
        <v>20123 Cruce de Vega</v>
      </c>
      <c r="AE67" s="28" t="str">
        <f ca="1">IFERROR(__xludf.DUMMYFUNCTION("""COMPUTED_VALUE"""),"20123")</f>
        <v>20123</v>
      </c>
      <c r="AF67" s="15" t="str">
        <f ca="1">IFERROR(__xludf.DUMMYFUNCTION("""COMPUTED_VALUE"""),"48. Piura")</f>
        <v>48. Piura</v>
      </c>
    </row>
    <row r="68" spans="1:32" x14ac:dyDescent="0.2">
      <c r="A68" s="16"/>
      <c r="AC68" s="28"/>
      <c r="AD68" s="28" t="str">
        <f ca="1">IFERROR(__xludf.DUMMYFUNCTION("""COMPUTED_VALUE"""),"14141 Pueblo Nuevo")</f>
        <v>14141 Pueblo Nuevo</v>
      </c>
      <c r="AE68" s="28" t="str">
        <f ca="1">IFERROR(__xludf.DUMMYFUNCTION("""COMPUTED_VALUE"""),"14141")</f>
        <v>14141</v>
      </c>
      <c r="AF68" s="15" t="str">
        <f ca="1">IFERROR(__xludf.DUMMYFUNCTION("""COMPUTED_VALUE"""),"48. Piura")</f>
        <v>48. Piura</v>
      </c>
    </row>
    <row r="69" spans="1:32" x14ac:dyDescent="0.2">
      <c r="A69" s="16"/>
      <c r="AC69" s="28"/>
      <c r="AD69" s="28" t="str">
        <f ca="1">IFERROR(__xludf.DUMMYFUNCTION("""COMPUTED_VALUE"""),"15220 Miraflores Alto")</f>
        <v>15220 Miraflores Alto</v>
      </c>
      <c r="AE69" s="28" t="str">
        <f ca="1">IFERROR(__xludf.DUMMYFUNCTION("""COMPUTED_VALUE"""),"15220")</f>
        <v>15220</v>
      </c>
      <c r="AF69" s="15" t="str">
        <f ca="1">IFERROR(__xludf.DUMMYFUNCTION("""COMPUTED_VALUE"""),"48. Piura")</f>
        <v>48. Piura</v>
      </c>
    </row>
    <row r="70" spans="1:32" x14ac:dyDescent="0.2">
      <c r="A70" s="16"/>
      <c r="AC70" s="28"/>
      <c r="AD70" s="28" t="str">
        <f ca="1">IFERROR(__xludf.DUMMYFUNCTION("""COMPUTED_VALUE"""),"14145 SJB")</f>
        <v>14145 SJB</v>
      </c>
      <c r="AE70" s="28" t="str">
        <f ca="1">IFERROR(__xludf.DUMMYFUNCTION("""COMPUTED_VALUE"""),"14145 SANTA JULIA BILLIART")</f>
        <v>14145 SANTA JULIA BILLIART</v>
      </c>
      <c r="AF70" s="15" t="str">
        <f ca="1">IFERROR(__xludf.DUMMYFUNCTION("""COMPUTED_VALUE"""),"48. Piura")</f>
        <v>48. Piura</v>
      </c>
    </row>
    <row r="71" spans="1:32" x14ac:dyDescent="0.2">
      <c r="A71" s="16"/>
      <c r="AC71" s="28"/>
      <c r="AD71" s="28" t="str">
        <f ca="1">IFERROR(__xludf.DUMMYFUNCTION("""COMPUTED_VALUE"""),"SCJ PUEBLO LIBRE")</f>
        <v>SCJ PUEBLO LIBRE</v>
      </c>
      <c r="AE71" s="28" t="str">
        <f ca="1">IFERROR(__xludf.DUMMYFUNCTION("""COMPUTED_VALUE"""),"SAGRADO CORAZON DE JESUS")</f>
        <v>SAGRADO CORAZON DE JESUS</v>
      </c>
      <c r="AF71" s="15" t="str">
        <f ca="1">IFERROR(__xludf.DUMMYFUNCTION("""COMPUTED_VALUE"""),"48. Piura")</f>
        <v>48. Piura</v>
      </c>
    </row>
    <row r="72" spans="1:32" x14ac:dyDescent="0.2">
      <c r="A72" s="16"/>
      <c r="AC72" s="28"/>
      <c r="AD72" s="28" t="str">
        <f ca="1">IFERROR(__xludf.DUMMYFUNCTION("""COMPUTED_VALUE"""),"14924 DAC")</f>
        <v>14924 DAC</v>
      </c>
      <c r="AE72" s="28" t="str">
        <f ca="1">IFERROR(__xludf.DUMMYFUNCTION("""COMPUTED_VALUE"""),"14924 DANIEL ALCIDES CARRION")</f>
        <v>14924 DANIEL ALCIDES CARRION</v>
      </c>
      <c r="AF72" s="15" t="str">
        <f ca="1">IFERROR(__xludf.DUMMYFUNCTION("""COMPUTED_VALUE"""),"48. Piura")</f>
        <v>48. Piura</v>
      </c>
    </row>
    <row r="73" spans="1:32" x14ac:dyDescent="0.2">
      <c r="A73" s="16"/>
      <c r="AC73" s="28"/>
      <c r="AD73" s="28" t="str">
        <f ca="1">IFERROR(__xludf.DUMMYFUNCTION("""COMPUTED_VALUE"""),"SantaRosa-Palominos")</f>
        <v>SantaRosa-Palominos</v>
      </c>
      <c r="AE73" s="28" t="str">
        <f ca="1">IFERROR(__xludf.DUMMYFUNCTION("""COMPUTED_VALUE"""),"14144 SANTA ROSA")</f>
        <v>14144 SANTA ROSA</v>
      </c>
      <c r="AF73" s="15" t="str">
        <f ca="1">IFERROR(__xludf.DUMMYFUNCTION("""COMPUTED_VALUE"""),"48. Piura")</f>
        <v>48. Piura</v>
      </c>
    </row>
    <row r="74" spans="1:32" x14ac:dyDescent="0.2">
      <c r="A74" s="16"/>
      <c r="AC74" s="28"/>
      <c r="AD74" s="28" t="str">
        <f ca="1">IFERROR(__xludf.DUMMYFUNCTION("""COMPUTED_VALUE"""),"14924 DANIEL ALCIDES CARRION")</f>
        <v>14924 DANIEL ALCIDES CARRION</v>
      </c>
      <c r="AE74" s="28" t="str">
        <f ca="1">IFERROR(__xludf.DUMMYFUNCTION("""COMPUTED_VALUE"""),"14924 DANIEL ALCIDES CARRION")</f>
        <v>14924 DANIEL ALCIDES CARRION</v>
      </c>
      <c r="AF74" s="15" t="str">
        <f ca="1">IFERROR(__xludf.DUMMYFUNCTION("""COMPUTED_VALUE"""),"48. Piura")</f>
        <v>48. Piura</v>
      </c>
    </row>
    <row r="75" spans="1:32" x14ac:dyDescent="0.2">
      <c r="A75" s="16"/>
      <c r="AC75" s="28"/>
      <c r="AD75" s="28" t="str">
        <f ca="1">IFERROR(__xludf.DUMMYFUNCTION("""COMPUTED_VALUE"""),"20104")</f>
        <v>20104</v>
      </c>
      <c r="AE75" s="28" t="str">
        <f ca="1">IFERROR(__xludf.DUMMYFUNCTION("""COMPUTED_VALUE"""),"20104")</f>
        <v>20104</v>
      </c>
      <c r="AF75" s="15" t="str">
        <f ca="1">IFERROR(__xludf.DUMMYFUNCTION("""COMPUTED_VALUE"""),"48. Piura")</f>
        <v>48. Piura</v>
      </c>
    </row>
    <row r="76" spans="1:32" x14ac:dyDescent="0.2">
      <c r="A76" s="16"/>
      <c r="AC76" s="28"/>
      <c r="AD76" s="28" t="str">
        <f ca="1">IFERROR(__xludf.DUMMYFUNCTION("""COMPUTED_VALUE"""),"14975")</f>
        <v>14975</v>
      </c>
      <c r="AE76" s="28" t="str">
        <f ca="1">IFERROR(__xludf.DUMMYFUNCTION("""COMPUTED_VALUE"""),"14975")</f>
        <v>14975</v>
      </c>
      <c r="AF76" s="15" t="str">
        <f ca="1">IFERROR(__xludf.DUMMYFUNCTION("""COMPUTED_VALUE"""),"48. Piura")</f>
        <v>48. Piura</v>
      </c>
    </row>
    <row r="77" spans="1:32" x14ac:dyDescent="0.2">
      <c r="A77" s="16"/>
      <c r="AC77" s="28"/>
      <c r="AD77" s="28" t="str">
        <f ca="1">IFERROR(__xludf.DUMMYFUNCTION("""COMPUTED_VALUE"""),"15304")</f>
        <v>15304</v>
      </c>
      <c r="AE77" s="28" t="str">
        <f ca="1">IFERROR(__xludf.DUMMYFUNCTION("""COMPUTED_VALUE"""),"15304")</f>
        <v>15304</v>
      </c>
      <c r="AF77" s="15" t="str">
        <f ca="1">IFERROR(__xludf.DUMMYFUNCTION("""COMPUTED_VALUE"""),"48. Piura")</f>
        <v>48. Piura</v>
      </c>
    </row>
    <row r="78" spans="1:32" x14ac:dyDescent="0.2">
      <c r="A78" s="16"/>
      <c r="AC78" s="28"/>
      <c r="AD78" s="28" t="str">
        <f ca="1">IFERROR(__xludf.DUMMYFUNCTION("""COMPUTED_VALUE"""),"SAGRADO CORAZON DE JESUS")</f>
        <v>SAGRADO CORAZON DE JESUS</v>
      </c>
      <c r="AE78" s="28" t="str">
        <f ca="1">IFERROR(__xludf.DUMMYFUNCTION("""COMPUTED_VALUE"""),"SAGRADO CORAZON DE JESUS")</f>
        <v>SAGRADO CORAZON DE JESUS</v>
      </c>
      <c r="AF78" s="15" t="str">
        <f ca="1">IFERROR(__xludf.DUMMYFUNCTION("""COMPUTED_VALUE"""),"48. Piura")</f>
        <v>48. Piura</v>
      </c>
    </row>
    <row r="79" spans="1:32" x14ac:dyDescent="0.2">
      <c r="A79" s="16"/>
      <c r="AC79" s="28"/>
      <c r="AD79" s="28" t="str">
        <f ca="1">IFERROR(__xludf.DUMMYFUNCTION("""COMPUTED_VALUE"""),"14144 SANTA ROSA")</f>
        <v>14144 SANTA ROSA</v>
      </c>
      <c r="AE79" s="28" t="str">
        <f ca="1">IFERROR(__xludf.DUMMYFUNCTION("""COMPUTED_VALUE"""),"14144 SANTA ROSA")</f>
        <v>14144 SANTA ROSA</v>
      </c>
      <c r="AF79" s="15" t="str">
        <f ca="1">IFERROR(__xludf.DUMMYFUNCTION("""COMPUTED_VALUE"""),"48. Piura")</f>
        <v>48. Piura</v>
      </c>
    </row>
    <row r="80" spans="1:32" x14ac:dyDescent="0.2">
      <c r="A80" s="16"/>
      <c r="AC80" s="28"/>
      <c r="AD80" s="28" t="str">
        <f ca="1">IFERROR(__xludf.DUMMYFUNCTION("""COMPUTED_VALUE"""),"14894")</f>
        <v>14894</v>
      </c>
      <c r="AE80" s="28" t="str">
        <f ca="1">IFERROR(__xludf.DUMMYFUNCTION("""COMPUTED_VALUE"""),"14894")</f>
        <v>14894</v>
      </c>
      <c r="AF80" s="15" t="str">
        <f ca="1">IFERROR(__xludf.DUMMYFUNCTION("""COMPUTED_VALUE"""),"48. Piura")</f>
        <v>48. Piura</v>
      </c>
    </row>
    <row r="81" spans="1:32" x14ac:dyDescent="0.2">
      <c r="A81" s="16"/>
      <c r="AC81" s="28"/>
      <c r="AD81" s="28" t="str">
        <f ca="1">IFERROR(__xludf.DUMMYFUNCTION("""COMPUTED_VALUE"""),"15383")</f>
        <v>15383</v>
      </c>
      <c r="AE81" s="28" t="str">
        <f ca="1">IFERROR(__xludf.DUMMYFUNCTION("""COMPUTED_VALUE"""),"15383")</f>
        <v>15383</v>
      </c>
      <c r="AF81" s="15" t="str">
        <f ca="1">IFERROR(__xludf.DUMMYFUNCTION("""COMPUTED_VALUE"""),"48. Piura")</f>
        <v>48. Piura</v>
      </c>
    </row>
    <row r="82" spans="1:32" x14ac:dyDescent="0.2">
      <c r="A82" s="16"/>
      <c r="AC82" s="28"/>
      <c r="AD82" s="28" t="str">
        <f ca="1">IFERROR(__xludf.DUMMYFUNCTION("""COMPUTED_VALUE"""),"14141")</f>
        <v>14141</v>
      </c>
      <c r="AE82" s="28" t="str">
        <f ca="1">IFERROR(__xludf.DUMMYFUNCTION("""COMPUTED_VALUE"""),"14141")</f>
        <v>14141</v>
      </c>
      <c r="AF82" s="15" t="str">
        <f ca="1">IFERROR(__xludf.DUMMYFUNCTION("""COMPUTED_VALUE"""),"48. Piura")</f>
        <v>48. Piura</v>
      </c>
    </row>
    <row r="83" spans="1:32" x14ac:dyDescent="0.2">
      <c r="A83" s="16"/>
      <c r="AC83" s="28"/>
      <c r="AD83" s="28" t="str">
        <f ca="1">IFERROR(__xludf.DUMMYFUNCTION("""COMPUTED_VALUE"""),"15478")</f>
        <v>15478</v>
      </c>
      <c r="AE83" s="28" t="str">
        <f ca="1">IFERROR(__xludf.DUMMYFUNCTION("""COMPUTED_VALUE"""),"15478")</f>
        <v>15478</v>
      </c>
      <c r="AF83" s="15" t="str">
        <f ca="1">IFERROR(__xludf.DUMMYFUNCTION("""COMPUTED_VALUE"""),"48. Piura")</f>
        <v>48. Piura</v>
      </c>
    </row>
    <row r="84" spans="1:32" x14ac:dyDescent="0.2">
      <c r="A84" s="16"/>
      <c r="AC84" s="28"/>
      <c r="AD84" s="28" t="str">
        <f ca="1">IFERROR(__xludf.DUMMYFUNCTION("""COMPUTED_VALUE"""),"14045")</f>
        <v>14045</v>
      </c>
      <c r="AE84" s="28" t="str">
        <f ca="1">IFERROR(__xludf.DUMMYFUNCTION("""COMPUTED_VALUE"""),"14045")</f>
        <v>14045</v>
      </c>
      <c r="AF84" s="15" t="str">
        <f ca="1">IFERROR(__xludf.DUMMYFUNCTION("""COMPUTED_VALUE"""),"48. Piura")</f>
        <v>48. Piura</v>
      </c>
    </row>
    <row r="85" spans="1:32" x14ac:dyDescent="0.2">
      <c r="A85" s="16"/>
      <c r="AC85" s="28"/>
      <c r="AD85" s="28" t="str">
        <f ca="1">IFERROR(__xludf.DUMMYFUNCTION("""COMPUTED_VALUE"""),"14145 SANTA JULIA BILLIART")</f>
        <v>14145 SANTA JULIA BILLIART</v>
      </c>
      <c r="AE85" s="28" t="str">
        <f ca="1">IFERROR(__xludf.DUMMYFUNCTION("""COMPUTED_VALUE"""),"14145 SANTA JULIA BILLIART")</f>
        <v>14145 SANTA JULIA BILLIART</v>
      </c>
      <c r="AF85" s="15" t="str">
        <f ca="1">IFERROR(__xludf.DUMMYFUNCTION("""COMPUTED_VALUE"""),"48. Piura")</f>
        <v>48. Piura</v>
      </c>
    </row>
    <row r="86" spans="1:32" x14ac:dyDescent="0.2">
      <c r="A86" s="16"/>
      <c r="AC86" s="28"/>
      <c r="AD86" s="28" t="str">
        <f ca="1">IFERROR(__xludf.DUMMYFUNCTION("""COMPUTED_VALUE"""),"20123")</f>
        <v>20123</v>
      </c>
      <c r="AE86" s="28" t="str">
        <f ca="1">IFERROR(__xludf.DUMMYFUNCTION("""COMPUTED_VALUE"""),"20123")</f>
        <v>20123</v>
      </c>
      <c r="AF86" s="15" t="str">
        <f ca="1">IFERROR(__xludf.DUMMYFUNCTION("""COMPUTED_VALUE"""),"48. Piura")</f>
        <v>48. Piura</v>
      </c>
    </row>
    <row r="87" spans="1:32" x14ac:dyDescent="0.2">
      <c r="A87" s="16"/>
      <c r="AC87" s="28"/>
      <c r="AD87" s="28" t="str">
        <f ca="1">IFERROR(__xludf.DUMMYFUNCTION("""COMPUTED_VALUE"""),"15219")</f>
        <v>15219</v>
      </c>
      <c r="AE87" s="28" t="str">
        <f ca="1">IFERROR(__xludf.DUMMYFUNCTION("""COMPUTED_VALUE"""),"15219")</f>
        <v>15219</v>
      </c>
      <c r="AF87" s="15" t="str">
        <f ca="1">IFERROR(__xludf.DUMMYFUNCTION("""COMPUTED_VALUE"""),"48. Piura")</f>
        <v>48. Piura</v>
      </c>
    </row>
    <row r="88" spans="1:32" x14ac:dyDescent="0.2">
      <c r="A88" s="16"/>
      <c r="AC88" s="28"/>
      <c r="AD88" s="28" t="str">
        <f ca="1">IFERROR(__xludf.DUMMYFUNCTION("""COMPUTED_VALUE"""),"15220")</f>
        <v>15220</v>
      </c>
      <c r="AE88" s="28" t="str">
        <f ca="1">IFERROR(__xludf.DUMMYFUNCTION("""COMPUTED_VALUE"""),"15220")</f>
        <v>15220</v>
      </c>
      <c r="AF88" s="15" t="str">
        <f ca="1">IFERROR(__xludf.DUMMYFUNCTION("""COMPUTED_VALUE"""),"48. Piura")</f>
        <v>48. Piura</v>
      </c>
    </row>
    <row r="89" spans="1:32" x14ac:dyDescent="0.2">
      <c r="A89" s="16"/>
      <c r="AC89" s="28"/>
      <c r="AD89" s="28" t="str">
        <f ca="1">IFERROR(__xludf.DUMMYFUNCTION("""COMPUTED_VALUE"""),"IE Sagrado Corazón")</f>
        <v>IE Sagrado Corazón</v>
      </c>
      <c r="AE89" s="28" t="str">
        <f ca="1">IFERROR(__xludf.DUMMYFUNCTION("""COMPUTED_VALUE"""),"SAGRADO CORAZON DE JESUS")</f>
        <v>SAGRADO CORAZON DE JESUS</v>
      </c>
      <c r="AF89" s="15" t="str">
        <f ca="1">IFERROR(__xludf.DUMMYFUNCTION("""COMPUTED_VALUE"""),"48. Piura")</f>
        <v>48. Piura</v>
      </c>
    </row>
    <row r="90" spans="1:32" x14ac:dyDescent="0.2">
      <c r="A90" s="16"/>
      <c r="AC90" s="28"/>
      <c r="AD90" s="28" t="str">
        <f ca="1">IFERROR(__xludf.DUMMYFUNCTION("""COMPUTED_VALUE"""),"IE Santa Rosa")</f>
        <v>IE Santa Rosa</v>
      </c>
      <c r="AE90" s="28" t="str">
        <f ca="1">IFERROR(__xludf.DUMMYFUNCTION("""COMPUTED_VALUE"""),"14144 SANTA ROSA")</f>
        <v>14144 SANTA ROSA</v>
      </c>
      <c r="AF90" s="15" t="str">
        <f ca="1">IFERROR(__xludf.DUMMYFUNCTION("""COMPUTED_VALUE"""),"48. Piura")</f>
        <v>48. Piura</v>
      </c>
    </row>
    <row r="91" spans="1:32" x14ac:dyDescent="0.2">
      <c r="A91" s="16"/>
      <c r="AC91" s="28"/>
      <c r="AD91" s="28" t="str">
        <f ca="1">IFERROR(__xludf.DUMMYFUNCTION("""COMPUTED_VALUE"""),"IE Totoral Alto")</f>
        <v>IE Totoral Alto</v>
      </c>
      <c r="AE91" s="28" t="str">
        <f ca="1">IFERROR(__xludf.DUMMYFUNCTION("""COMPUTED_VALUE"""),"14894")</f>
        <v>14894</v>
      </c>
      <c r="AF91" s="15" t="str">
        <f ca="1">IFERROR(__xludf.DUMMYFUNCTION("""COMPUTED_VALUE"""),"48. Piura")</f>
        <v>48. Piura</v>
      </c>
    </row>
    <row r="92" spans="1:32" x14ac:dyDescent="0.2">
      <c r="A92" s="16"/>
      <c r="AC92" s="28"/>
      <c r="AD92" s="28" t="str">
        <f ca="1">IFERROR(__xludf.DUMMYFUNCTION("""COMPUTED_VALUE"""),"IE Santa Julia")</f>
        <v>IE Santa Julia</v>
      </c>
      <c r="AE92" s="28" t="str">
        <f ca="1">IFERROR(__xludf.DUMMYFUNCTION("""COMPUTED_VALUE"""),"14145 SANTA JULIA BILLIART")</f>
        <v>14145 SANTA JULIA BILLIART</v>
      </c>
      <c r="AF92" s="15" t="str">
        <f ca="1">IFERROR(__xludf.DUMMYFUNCTION("""COMPUTED_VALUE"""),"48. Piura")</f>
        <v>48. Piura</v>
      </c>
    </row>
    <row r="93" spans="1:32" x14ac:dyDescent="0.2">
      <c r="A93" s="16"/>
      <c r="AC93" s="28"/>
      <c r="AD93" s="28" t="str">
        <f ca="1">IFERROR(__xludf.DUMMYFUNCTION("""COMPUTED_VALUE"""),"86809 Huarac-huarán")</f>
        <v>86809 Huarac-huarán</v>
      </c>
      <c r="AE93" s="28" t="str">
        <f ca="1">IFERROR(__xludf.DUMMYFUNCTION("""COMPUTED_VALUE"""),"86809")</f>
        <v>86809</v>
      </c>
      <c r="AF93" s="15" t="str">
        <f ca="1">IFERROR(__xludf.DUMMYFUNCTION("""COMPUTED_VALUE"""),"54. Ancash")</f>
        <v>54. Ancash</v>
      </c>
    </row>
    <row r="94" spans="1:32" x14ac:dyDescent="0.2">
      <c r="A94" s="16"/>
      <c r="AC94" s="28"/>
      <c r="AD94" s="28" t="str">
        <f ca="1">IFERROR(__xludf.DUMMYFUNCTION("""COMPUTED_VALUE"""),"88247 - Capan")</f>
        <v>88247 - Capan</v>
      </c>
      <c r="AE94" s="28" t="str">
        <f ca="1">IFERROR(__xludf.DUMMYFUNCTION("""COMPUTED_VALUE"""),"88247 SAN ENRIQUE")</f>
        <v>88247 SAN ENRIQUE</v>
      </c>
      <c r="AF94" s="15" t="str">
        <f ca="1">IFERROR(__xludf.DUMMYFUNCTION("""COMPUTED_VALUE"""),"54. Ancash")</f>
        <v>54. Ancash</v>
      </c>
    </row>
    <row r="95" spans="1:32" x14ac:dyDescent="0.2">
      <c r="A95" s="16"/>
      <c r="AC95" s="28"/>
      <c r="AD95" s="28" t="str">
        <f ca="1">IFERROR(__xludf.DUMMYFUNCTION("""COMPUTED_VALUE"""),"86548 - Pichiu")</f>
        <v>86548 - Pichiu</v>
      </c>
      <c r="AE95" s="28" t="str">
        <f ca="1">IFERROR(__xludf.DUMMYFUNCTION("""COMPUTED_VALUE"""),"86548 JOSE MARIA VELAZ")</f>
        <v>86548 JOSE MARIA VELAZ</v>
      </c>
      <c r="AF95" s="15" t="str">
        <f ca="1">IFERROR(__xludf.DUMMYFUNCTION("""COMPUTED_VALUE"""),"54. Ancash")</f>
        <v>54. Ancash</v>
      </c>
    </row>
    <row r="96" spans="1:32" x14ac:dyDescent="0.2">
      <c r="A96" s="16"/>
      <c r="AC96" s="28"/>
      <c r="AD96" s="28" t="str">
        <f ca="1">IFERROR(__xludf.DUMMYFUNCTION("""COMPUTED_VALUE"""),"Huarachuran")</f>
        <v>Huarachuran</v>
      </c>
      <c r="AE96" s="28" t="str">
        <f ca="1">IFERROR(__xludf.DUMMYFUNCTION("""COMPUTED_VALUE"""),"86809")</f>
        <v>86809</v>
      </c>
      <c r="AF96" s="15" t="str">
        <f ca="1">IFERROR(__xludf.DUMMYFUNCTION("""COMPUTED_VALUE"""),"54. Ancash")</f>
        <v>54. Ancash</v>
      </c>
    </row>
    <row r="97" spans="1:32" x14ac:dyDescent="0.2">
      <c r="A97" s="16"/>
      <c r="AC97" s="28"/>
      <c r="AD97" s="28" t="str">
        <f ca="1">IFERROR(__xludf.DUMMYFUNCTION("""COMPUTED_VALUE"""),"Pichiu")</f>
        <v>Pichiu</v>
      </c>
      <c r="AE97" s="28" t="str">
        <f ca="1">IFERROR(__xludf.DUMMYFUNCTION("""COMPUTED_VALUE"""),"86548 JOSE MARIA VELAZ")</f>
        <v>86548 JOSE MARIA VELAZ</v>
      </c>
      <c r="AF97" s="15" t="str">
        <f ca="1">IFERROR(__xludf.DUMMYFUNCTION("""COMPUTED_VALUE"""),"54. Ancash")</f>
        <v>54. Ancash</v>
      </c>
    </row>
    <row r="98" spans="1:32" x14ac:dyDescent="0.2">
      <c r="A98" s="16"/>
      <c r="AC98" s="28"/>
      <c r="AD98" s="28" t="str">
        <f ca="1">IFERROR(__xludf.DUMMYFUNCTION("""COMPUTED_VALUE"""),"Carap")</f>
        <v>Carap</v>
      </c>
      <c r="AE98" s="28" t="str">
        <f ca="1">IFERROR(__xludf.DUMMYFUNCTION("""COMPUTED_VALUE"""),"88327")</f>
        <v>88327</v>
      </c>
      <c r="AF98" s="15" t="str">
        <f ca="1">IFERROR(__xludf.DUMMYFUNCTION("""COMPUTED_VALUE"""),"54. Ancash")</f>
        <v>54. Ancash</v>
      </c>
    </row>
    <row r="99" spans="1:32" x14ac:dyDescent="0.2">
      <c r="A99" s="16"/>
      <c r="AC99" s="28"/>
      <c r="AD99" s="28" t="str">
        <f ca="1">IFERROR(__xludf.DUMMYFUNCTION("""COMPUTED_VALUE"""),"Capan")</f>
        <v>Capan</v>
      </c>
      <c r="AE99" s="28" t="str">
        <f ca="1">IFERROR(__xludf.DUMMYFUNCTION("""COMPUTED_VALUE"""),"88247 SAN ENRIQUE")</f>
        <v>88247 SAN ENRIQUE</v>
      </c>
      <c r="AF99" s="15" t="str">
        <f ca="1">IFERROR(__xludf.DUMMYFUNCTION("""COMPUTED_VALUE"""),"54. Ancash")</f>
        <v>54. Ancash</v>
      </c>
    </row>
    <row r="100" spans="1:32" x14ac:dyDescent="0.2">
      <c r="A100" s="16"/>
      <c r="AC100" s="28"/>
      <c r="AD100" s="28" t="str">
        <f ca="1">IFERROR(__xludf.DUMMYFUNCTION("""COMPUTED_VALUE"""),"Huascar")</f>
        <v>Huascar</v>
      </c>
      <c r="AE100" s="28" t="str">
        <f ca="1">IFERROR(__xludf.DUMMYFUNCTION("""COMPUTED_VALUE"""),"86769 ABRAHAM VALDELOMAR")</f>
        <v>86769 ABRAHAM VALDELOMAR</v>
      </c>
      <c r="AF100" s="15" t="str">
        <f ca="1">IFERROR(__xludf.DUMMYFUNCTION("""COMPUTED_VALUE"""),"54. Ancash")</f>
        <v>54. Ancash</v>
      </c>
    </row>
    <row r="101" spans="1:32" x14ac:dyDescent="0.2">
      <c r="A101" s="16"/>
      <c r="AC101" s="28"/>
      <c r="AD101" s="28" t="str">
        <f ca="1">IFERROR(__xludf.DUMMYFUNCTION("""COMPUTED_VALUE"""),"Captuy")</f>
        <v>Captuy</v>
      </c>
      <c r="AE101" s="28" t="str">
        <f ca="1">IFERROR(__xludf.DUMMYFUNCTION("""COMPUTED_VALUE"""),"88225 CAPTUY")</f>
        <v>88225 CAPTUY</v>
      </c>
      <c r="AF101" s="15" t="str">
        <f ca="1">IFERROR(__xludf.DUMMYFUNCTION("""COMPUTED_VALUE"""),"54. Ancash")</f>
        <v>54. Ancash</v>
      </c>
    </row>
    <row r="102" spans="1:32" x14ac:dyDescent="0.2">
      <c r="A102" s="16"/>
      <c r="AC102" s="28"/>
      <c r="AD102" s="28" t="str">
        <f ca="1">IFERROR(__xludf.DUMMYFUNCTION("""COMPUTED_VALUE"""),"Huarac Huran")</f>
        <v>Huarac Huran</v>
      </c>
      <c r="AE102" s="28" t="str">
        <f ca="1">IFERROR(__xludf.DUMMYFUNCTION("""COMPUTED_VALUE"""),"86809")</f>
        <v>86809</v>
      </c>
      <c r="AF102" s="15" t="str">
        <f ca="1">IFERROR(__xludf.DUMMYFUNCTION("""COMPUTED_VALUE"""),"54. Ancash")</f>
        <v>54. Ancash</v>
      </c>
    </row>
    <row r="103" spans="1:32" x14ac:dyDescent="0.2">
      <c r="A103" s="16"/>
      <c r="AC103" s="28"/>
      <c r="AD103" s="28" t="str">
        <f ca="1">IFERROR(__xludf.DUMMYFUNCTION("""COMPUTED_VALUE"""),"Huáscar")</f>
        <v>Huáscar</v>
      </c>
      <c r="AE103" s="28" t="str">
        <f ca="1">IFERROR(__xludf.DUMMYFUNCTION("""COMPUTED_VALUE"""),"86769 ABRAHAM VALDELOMAR")</f>
        <v>86769 ABRAHAM VALDELOMAR</v>
      </c>
      <c r="AF103" s="15" t="str">
        <f ca="1">IFERROR(__xludf.DUMMYFUNCTION("""COMPUTED_VALUE"""),"54. Ancash")</f>
        <v>54. Ancash</v>
      </c>
    </row>
    <row r="104" spans="1:32" x14ac:dyDescent="0.2">
      <c r="A104" s="16"/>
      <c r="AC104" s="28"/>
      <c r="AD104" s="28" t="str">
        <f ca="1">IFERROR(__xludf.DUMMYFUNCTION("""COMPUTED_VALUE"""),"Huran Huran")</f>
        <v>Huran Huran</v>
      </c>
      <c r="AE104" s="28" t="str">
        <f ca="1">IFERROR(__xludf.DUMMYFUNCTION("""COMPUTED_VALUE"""),"86809")</f>
        <v>86809</v>
      </c>
      <c r="AF104" s="15" t="str">
        <f ca="1">IFERROR(__xludf.DUMMYFUNCTION("""COMPUTED_VALUE"""),"54. Ancash")</f>
        <v>54. Ancash</v>
      </c>
    </row>
    <row r="105" spans="1:32" x14ac:dyDescent="0.2">
      <c r="A105" s="16"/>
      <c r="AC105" s="28"/>
      <c r="AD105" s="28" t="str">
        <f ca="1">IFERROR(__xludf.DUMMYFUNCTION("""COMPUTED_VALUE"""),"64155 Bagazan")</f>
        <v>64155 Bagazan</v>
      </c>
      <c r="AE105" s="28" t="str">
        <f ca="1">IFERROR(__xludf.DUMMYFUNCTION("""COMPUTED_VALUE"""),"64155")</f>
        <v>64155</v>
      </c>
      <c r="AF105" s="15" t="str">
        <f ca="1">IFERROR(__xludf.DUMMYFUNCTION("""COMPUTED_VALUE"""),"72. Ucayali")</f>
        <v>72. Ucayali</v>
      </c>
    </row>
    <row r="106" spans="1:32" x14ac:dyDescent="0.2">
      <c r="A106" s="16"/>
      <c r="AC106" s="28"/>
      <c r="AD106" s="28" t="str">
        <f ca="1">IFERROR(__xludf.DUMMYFUNCTION("""COMPUTED_VALUE"""),"64346 Miraflores")</f>
        <v>64346 Miraflores</v>
      </c>
      <c r="AE106" s="28" t="str">
        <f ca="1">IFERROR(__xludf.DUMMYFUNCTION("""COMPUTED_VALUE"""),"64346")</f>
        <v>64346</v>
      </c>
      <c r="AF106" s="15" t="str">
        <f ca="1">IFERROR(__xludf.DUMMYFUNCTION("""COMPUTED_VALUE"""),"72. Ucayali")</f>
        <v>72. Ucayali</v>
      </c>
    </row>
    <row r="107" spans="1:32" x14ac:dyDescent="0.2">
      <c r="A107" s="16"/>
      <c r="AC107" s="28"/>
      <c r="AD107" s="28" t="str">
        <f ca="1">IFERROR(__xludf.DUMMYFUNCTION("""COMPUTED_VALUE"""),"64641 Nueva Alianza")</f>
        <v>64641 Nueva Alianza</v>
      </c>
      <c r="AE107" s="28" t="str">
        <f ca="1">IFERROR(__xludf.DUMMYFUNCTION("""COMPUTED_VALUE"""),"64641")</f>
        <v>64641</v>
      </c>
      <c r="AF107" s="15" t="str">
        <f ca="1">IFERROR(__xludf.DUMMYFUNCTION("""COMPUTED_VALUE"""),"72. Ucayali")</f>
        <v>72. Ucayali</v>
      </c>
    </row>
    <row r="108" spans="1:32" x14ac:dyDescent="0.2">
      <c r="A108" s="16"/>
      <c r="AC108" s="28"/>
      <c r="AD108" s="28" t="str">
        <f ca="1">IFERROR(__xludf.DUMMYFUNCTION("""COMPUTED_VALUE"""),"64872-B Santa Martha")</f>
        <v>64872-B Santa Martha</v>
      </c>
      <c r="AE108" s="28" t="str">
        <f ca="1">IFERROR(__xludf.DUMMYFUNCTION("""COMPUTED_VALUE"""),"64871-B")</f>
        <v>64871-B</v>
      </c>
      <c r="AF108" s="15" t="str">
        <f ca="1">IFERROR(__xludf.DUMMYFUNCTION("""COMPUTED_VALUE"""),"72. Ucayali")</f>
        <v>72. Ucayali</v>
      </c>
    </row>
    <row r="109" spans="1:32" x14ac:dyDescent="0.2">
      <c r="A109" s="16"/>
      <c r="AC109" s="28"/>
      <c r="AD109" s="28" t="str">
        <f ca="1">IFERROR(__xludf.DUMMYFUNCTION("""COMPUTED_VALUE"""),"64996 Libertad")</f>
        <v>64996 Libertad</v>
      </c>
      <c r="AE109" s="28" t="str">
        <f ca="1">IFERROR(__xludf.DUMMYFUNCTION("""COMPUTED_VALUE"""),"64996")</f>
        <v>64996</v>
      </c>
      <c r="AF109" s="15" t="str">
        <f ca="1">IFERROR(__xludf.DUMMYFUNCTION("""COMPUTED_VALUE"""),"72. Ucayali")</f>
        <v>72. Ucayali</v>
      </c>
    </row>
    <row r="110" spans="1:32" x14ac:dyDescent="0.2">
      <c r="A110" s="16"/>
      <c r="AC110" s="28"/>
      <c r="AD110" s="28" t="str">
        <f ca="1">IFERROR(__xludf.DUMMYFUNCTION("""COMPUTED_VALUE"""),"64028 Mazaray")</f>
        <v>64028 Mazaray</v>
      </c>
      <c r="AE110" s="28" t="str">
        <f ca="1">IFERROR(__xludf.DUMMYFUNCTION("""COMPUTED_VALUE"""),"64028")</f>
        <v>64028</v>
      </c>
      <c r="AF110" s="15" t="str">
        <f ca="1">IFERROR(__xludf.DUMMYFUNCTION("""COMPUTED_VALUE"""),"72. Ucayali")</f>
        <v>72. Ucayali</v>
      </c>
    </row>
    <row r="111" spans="1:32" x14ac:dyDescent="0.2">
      <c r="A111" s="16"/>
      <c r="AC111" s="28"/>
      <c r="AD111" s="28" t="str">
        <f ca="1">IFERROR(__xludf.DUMMYFUNCTION("""COMPUTED_VALUE"""),"64048 Nuevo Barranca")</f>
        <v>64048 Nuevo Barranca</v>
      </c>
      <c r="AE111" s="28" t="str">
        <f ca="1">IFERROR(__xludf.DUMMYFUNCTION("""COMPUTED_VALUE"""),"64048")</f>
        <v>64048</v>
      </c>
      <c r="AF111" s="15" t="str">
        <f ca="1">IFERROR(__xludf.DUMMYFUNCTION("""COMPUTED_VALUE"""),"72. Ucayali")</f>
        <v>72. Ucayali</v>
      </c>
    </row>
    <row r="112" spans="1:32" x14ac:dyDescent="0.2">
      <c r="A112" s="16"/>
      <c r="AC112" s="28"/>
      <c r="AD112" s="28" t="str">
        <f ca="1">IFERROR(__xludf.DUMMYFUNCTION("""COMPUTED_VALUE"""),"64115 Nuevo Bagazán")</f>
        <v>64115 Nuevo Bagazán</v>
      </c>
      <c r="AE112" s="28" t="str">
        <f ca="1">IFERROR(__xludf.DUMMYFUNCTION("""COMPUTED_VALUE"""),"64115")</f>
        <v>64115</v>
      </c>
      <c r="AF112" s="15" t="str">
        <f ca="1">IFERROR(__xludf.DUMMYFUNCTION("""COMPUTED_VALUE"""),"72. Ucayali")</f>
        <v>72. Ucayali</v>
      </c>
    </row>
    <row r="113" spans="1:32" x14ac:dyDescent="0.2">
      <c r="A113" s="16"/>
      <c r="AC113" s="28"/>
      <c r="AD113" s="28" t="str">
        <f ca="1">IFERROR(__xludf.DUMMYFUNCTION("""COMPUTED_VALUE"""),"64508-B Santa Isabel")</f>
        <v>64508-B Santa Isabel</v>
      </c>
      <c r="AE113" s="28" t="str">
        <f ca="1">IFERROR(__xludf.DUMMYFUNCTION("""COMPUTED_VALUE"""),"64508-B")</f>
        <v>64508-B</v>
      </c>
      <c r="AF113" s="15" t="str">
        <f ca="1">IFERROR(__xludf.DUMMYFUNCTION("""COMPUTED_VALUE"""),"72. Ucayali")</f>
        <v>72. Ucayali</v>
      </c>
    </row>
    <row r="114" spans="1:32" x14ac:dyDescent="0.2">
      <c r="A114" s="16"/>
      <c r="AC114" s="28"/>
      <c r="AD114" s="28" t="str">
        <f ca="1">IFERROR(__xludf.DUMMYFUNCTION("""COMPUTED_VALUE"""),"64873-B Santa Elisa")</f>
        <v>64873-B Santa Elisa</v>
      </c>
      <c r="AE114" s="28" t="str">
        <f ca="1">IFERROR(__xludf.DUMMYFUNCTION("""COMPUTED_VALUE"""),"64873-B")</f>
        <v>64873-B</v>
      </c>
      <c r="AF114" s="15" t="str">
        <f ca="1">IFERROR(__xludf.DUMMYFUNCTION("""COMPUTED_VALUE"""),"72. Ucayali")</f>
        <v>72. Ucayali</v>
      </c>
    </row>
    <row r="115" spans="1:32" x14ac:dyDescent="0.2">
      <c r="A115" s="16"/>
      <c r="AC115" s="28"/>
      <c r="AD115" s="28" t="str">
        <f ca="1">IFERROR(__xludf.DUMMYFUNCTION("""COMPUTED_VALUE"""),"64545-B Puerto Consuelo")</f>
        <v>64545-B Puerto Consuelo</v>
      </c>
      <c r="AE115" s="28" t="str">
        <f ca="1">IFERROR(__xludf.DUMMYFUNCTION("""COMPUTED_VALUE"""),"64545-B")</f>
        <v>64545-B</v>
      </c>
      <c r="AF115" s="15" t="str">
        <f ca="1">IFERROR(__xludf.DUMMYFUNCTION("""COMPUTED_VALUE"""),"72. Ucayali")</f>
        <v>72. Ucayali</v>
      </c>
    </row>
    <row r="116" spans="1:32" x14ac:dyDescent="0.2">
      <c r="A116" s="16"/>
      <c r="AC116" s="28"/>
      <c r="AD116" s="28" t="str">
        <f ca="1">IFERROR(__xludf.DUMMYFUNCTION("""COMPUTED_VALUE"""),"64949 Isla Primavera")</f>
        <v>64949 Isla Primavera</v>
      </c>
      <c r="AE116" s="28" t="str">
        <f ca="1">IFERROR(__xludf.DUMMYFUNCTION("""COMPUTED_VALUE"""),"64949")</f>
        <v>64949</v>
      </c>
      <c r="AF116" s="15" t="str">
        <f ca="1">IFERROR(__xludf.DUMMYFUNCTION("""COMPUTED_VALUE"""),"72. Ucayali")</f>
        <v>72. Ucayali</v>
      </c>
    </row>
    <row r="117" spans="1:32" x14ac:dyDescent="0.2">
      <c r="A117" s="16"/>
      <c r="AC117" s="28"/>
      <c r="AD117" s="28" t="str">
        <f ca="1">IFERROR(__xludf.DUMMYFUNCTION("""COMPUTED_VALUE"""),"64871-B Santa Martha")</f>
        <v>64871-B Santa Martha</v>
      </c>
      <c r="AE117" s="28" t="str">
        <f ca="1">IFERROR(__xludf.DUMMYFUNCTION("""COMPUTED_VALUE"""),"64871-B")</f>
        <v>64871-B</v>
      </c>
      <c r="AF117" s="15" t="str">
        <f ca="1">IFERROR(__xludf.DUMMYFUNCTION("""COMPUTED_VALUE"""),"72. Ucayali")</f>
        <v>72. Ucayali</v>
      </c>
    </row>
    <row r="118" spans="1:32" x14ac:dyDescent="0.2">
      <c r="A118" s="16"/>
      <c r="AC118" s="28"/>
      <c r="AD118" s="28" t="str">
        <f ca="1">IFERROR(__xludf.DUMMYFUNCTION("""COMPUTED_VALUE"""),"64829 Villa Esther")</f>
        <v>64829 Villa Esther</v>
      </c>
      <c r="AE118" s="28" t="str">
        <f ca="1">IFERROR(__xludf.DUMMYFUNCTION("""COMPUTED_VALUE"""),"64829")</f>
        <v>64829</v>
      </c>
      <c r="AF118" s="15" t="str">
        <f ca="1">IFERROR(__xludf.DUMMYFUNCTION("""COMPUTED_VALUE"""),"72. Ucayali")</f>
        <v>72. Ucayali</v>
      </c>
    </row>
    <row r="119" spans="1:32" x14ac:dyDescent="0.2">
      <c r="A119" s="16"/>
      <c r="AC119" s="28"/>
      <c r="AD119" s="28" t="str">
        <f ca="1">IFERROR(__xludf.DUMMYFUNCTION("""COMPUTED_VALUE"""),"65199 Tres de Mayo")</f>
        <v>65199 Tres de Mayo</v>
      </c>
      <c r="AE119" s="28" t="str">
        <f ca="1">IFERROR(__xludf.DUMMYFUNCTION("""COMPUTED_VALUE"""),"65199")</f>
        <v>65199</v>
      </c>
      <c r="AF119" s="15" t="str">
        <f ca="1">IFERROR(__xludf.DUMMYFUNCTION("""COMPUTED_VALUE"""),"72. Ucayali")</f>
        <v>72. Ucayali</v>
      </c>
    </row>
    <row r="120" spans="1:32" x14ac:dyDescent="0.2">
      <c r="A120" s="16"/>
      <c r="AC120" s="28"/>
      <c r="AD120" s="28" t="str">
        <f ca="1">IFERROR(__xludf.DUMMYFUNCTION("""COMPUTED_VALUE"""),"BAGAZAN 64115")</f>
        <v>BAGAZAN 64115</v>
      </c>
      <c r="AE120" s="28" t="str">
        <f ca="1">IFERROR(__xludf.DUMMYFUNCTION("""COMPUTED_VALUE"""),"64115")</f>
        <v>64115</v>
      </c>
      <c r="AF120" s="15" t="str">
        <f ca="1">IFERROR(__xludf.DUMMYFUNCTION("""COMPUTED_VALUE"""),"72. Ucayali")</f>
        <v>72. Ucayali</v>
      </c>
    </row>
    <row r="121" spans="1:32" x14ac:dyDescent="0.2">
      <c r="A121" s="16"/>
      <c r="AC121" s="28"/>
      <c r="AD121" s="28" t="str">
        <f ca="1">IFERROR(__xludf.DUMMYFUNCTION("""COMPUTED_VALUE"""),"MAZARAY 64028")</f>
        <v>MAZARAY 64028</v>
      </c>
      <c r="AE121" s="28" t="str">
        <f ca="1">IFERROR(__xludf.DUMMYFUNCTION("""COMPUTED_VALUE"""),"64028")</f>
        <v>64028</v>
      </c>
      <c r="AF121" s="15" t="str">
        <f ca="1">IFERROR(__xludf.DUMMYFUNCTION("""COMPUTED_VALUE"""),"72. Ucayali")</f>
        <v>72. Ucayali</v>
      </c>
    </row>
    <row r="122" spans="1:32" x14ac:dyDescent="0.2">
      <c r="A122" s="16"/>
      <c r="AC122" s="28"/>
      <c r="AD122" s="28" t="str">
        <f ca="1">IFERROR(__xludf.DUMMYFUNCTION("""COMPUTED_VALUE"""),"VILLA ESTHER 64829")</f>
        <v>VILLA ESTHER 64829</v>
      </c>
      <c r="AE122" s="28" t="str">
        <f ca="1">IFERROR(__xludf.DUMMYFUNCTION("""COMPUTED_VALUE"""),"64829")</f>
        <v>64829</v>
      </c>
      <c r="AF122" s="15" t="str">
        <f ca="1">IFERROR(__xludf.DUMMYFUNCTION("""COMPUTED_VALUE"""),"72. Ucayali")</f>
        <v>72. Ucayali</v>
      </c>
    </row>
    <row r="123" spans="1:32" x14ac:dyDescent="0.2">
      <c r="A123" s="16"/>
      <c r="AC123" s="28"/>
      <c r="AD123" s="28" t="str">
        <f ca="1">IFERROR(__xludf.DUMMYFUNCTION("""COMPUTED_VALUE"""),"MIRAFLORES 64346")</f>
        <v>MIRAFLORES 64346</v>
      </c>
      <c r="AE123" s="28" t="str">
        <f ca="1">IFERROR(__xludf.DUMMYFUNCTION("""COMPUTED_VALUE"""),"64346")</f>
        <v>64346</v>
      </c>
      <c r="AF123" s="15" t="str">
        <f ca="1">IFERROR(__xludf.DUMMYFUNCTION("""COMPUTED_VALUE"""),"72. Ucayali")</f>
        <v>72. Ucayali</v>
      </c>
    </row>
    <row r="124" spans="1:32" x14ac:dyDescent="0.2">
      <c r="A124" s="16"/>
      <c r="AC124" s="28"/>
      <c r="AD124" s="28" t="str">
        <f ca="1">IFERROR(__xludf.DUMMYFUNCTION("""COMPUTED_VALUE"""),"3 DE MAYO 65199")</f>
        <v>3 DE MAYO 65199</v>
      </c>
      <c r="AE124" s="28" t="str">
        <f ca="1">IFERROR(__xludf.DUMMYFUNCTION("""COMPUTED_VALUE"""),"65199")</f>
        <v>65199</v>
      </c>
      <c r="AF124" s="15" t="str">
        <f ca="1">IFERROR(__xludf.DUMMYFUNCTION("""COMPUTED_VALUE"""),"72. Ucayali")</f>
        <v>72. Ucayali</v>
      </c>
    </row>
    <row r="125" spans="1:32" x14ac:dyDescent="0.2">
      <c r="A125" s="16"/>
      <c r="AC125" s="28"/>
      <c r="AD125" s="28" t="str">
        <f ca="1">IFERROR(__xludf.DUMMYFUNCTION("""COMPUTED_VALUE"""),"64048 Barranca")</f>
        <v>64048 Barranca</v>
      </c>
      <c r="AE125" s="28" t="str">
        <f ca="1">IFERROR(__xludf.DUMMYFUNCTION("""COMPUTED_VALUE"""),"64048")</f>
        <v>64048</v>
      </c>
      <c r="AF125" s="15" t="str">
        <f ca="1">IFERROR(__xludf.DUMMYFUNCTION("""COMPUTED_VALUE"""),"72. Ucayali")</f>
        <v>72. Ucayali</v>
      </c>
    </row>
    <row r="126" spans="1:32" x14ac:dyDescent="0.2">
      <c r="A126" s="16"/>
      <c r="AC126" s="28"/>
      <c r="AD126" s="28" t="str">
        <f ca="1">IFERROR(__xludf.DUMMYFUNCTION("""COMPUTED_VALUE"""),"Nuestra Señora de la Candelaria")</f>
        <v>Nuestra Señora de la Candelaria</v>
      </c>
      <c r="AE126" s="28" t="str">
        <f ca="1">IFERROR(__xludf.DUMMYFUNCTION("""COMPUTED_VALUE"""),"NUESTRA SEÑORA DE LA CANDELARIA")</f>
        <v>NUESTRA SEÑORA DE LA CANDELARIA</v>
      </c>
      <c r="AF126" s="15" t="str">
        <f ca="1">IFERROR(__xludf.DUMMYFUNCTION("""COMPUTED_VALUE"""),"79. Huancavelica")</f>
        <v>79. Huancavelica</v>
      </c>
    </row>
    <row r="127" spans="1:32" x14ac:dyDescent="0.2">
      <c r="A127" s="16"/>
      <c r="AC127" s="28"/>
      <c r="AD127" s="28" t="str">
        <f ca="1">IFERROR(__xludf.DUMMYFUNCTION("""COMPUTED_VALUE"""),"Huanccallaco")</f>
        <v>Huanccallaco</v>
      </c>
      <c r="AE127" s="28" t="str">
        <f ca="1">IFERROR(__xludf.DUMMYFUNCTION("""COMPUTED_VALUE"""),"36163 JAVIER HERAUD PEREZ")</f>
        <v>36163 JAVIER HERAUD PEREZ</v>
      </c>
      <c r="AF127" s="15" t="str">
        <f ca="1">IFERROR(__xludf.DUMMYFUNCTION("""COMPUTED_VALUE"""),"79. Huancavelica")</f>
        <v>79. Huancavelica</v>
      </c>
    </row>
    <row r="128" spans="1:32" x14ac:dyDescent="0.2">
      <c r="A128" s="16"/>
      <c r="AC128" s="28"/>
      <c r="AD128" s="28" t="str">
        <f ca="1">IFERROR(__xludf.DUMMYFUNCTION("""COMPUTED_VALUE"""),"Santiago Antunez de Mayolo")</f>
        <v>Santiago Antunez de Mayolo</v>
      </c>
      <c r="AE128" s="28" t="str">
        <f ca="1">IFERROR(__xludf.DUMMYFUNCTION("""COMPUTED_VALUE"""),"SANTIAGO ANTUNEZ DE MAYOLO")</f>
        <v>SANTIAGO ANTUNEZ DE MAYOLO</v>
      </c>
      <c r="AF128" s="15" t="str">
        <f ca="1">IFERROR(__xludf.DUMMYFUNCTION("""COMPUTED_VALUE"""),"79. Huancavelica")</f>
        <v>79. Huancavelica</v>
      </c>
    </row>
    <row r="129" spans="1:32" x14ac:dyDescent="0.2">
      <c r="A129" s="16"/>
      <c r="AC129" s="28"/>
      <c r="AD129" s="28" t="str">
        <f ca="1">IFERROR(__xludf.DUMMYFUNCTION("""COMPUTED_VALUE"""),"Sayri Tupac")</f>
        <v>Sayri Tupac</v>
      </c>
      <c r="AE129" s="28" t="str">
        <f ca="1">IFERROR(__xludf.DUMMYFUNCTION("""COMPUTED_VALUE"""),"SAYRI TUPAC")</f>
        <v>SAYRI TUPAC</v>
      </c>
      <c r="AF129" s="15" t="str">
        <f ca="1">IFERROR(__xludf.DUMMYFUNCTION("""COMPUTED_VALUE"""),"79. Huancavelica")</f>
        <v>79. Huancavelica</v>
      </c>
    </row>
    <row r="130" spans="1:32" x14ac:dyDescent="0.2">
      <c r="A130" s="16"/>
      <c r="AC130" s="28"/>
      <c r="AD130" s="28" t="str">
        <f ca="1">IFERROR(__xludf.DUMMYFUNCTION("""COMPUTED_VALUE"""),"Nuestra Sra Candelaria")</f>
        <v>Nuestra Sra Candelaria</v>
      </c>
      <c r="AE130" s="28" t="str">
        <f ca="1">IFERROR(__xludf.DUMMYFUNCTION("""COMPUTED_VALUE"""),"NUESTRA SEÑORA DE LA CANDELARIA")</f>
        <v>NUESTRA SEÑORA DE LA CANDELARIA</v>
      </c>
      <c r="AF130" s="15" t="str">
        <f ca="1">IFERROR(__xludf.DUMMYFUNCTION("""COMPUTED_VALUE"""),"79. Huancavelica")</f>
        <v>79. Huancavelica</v>
      </c>
    </row>
    <row r="131" spans="1:32" x14ac:dyDescent="0.2">
      <c r="A131" s="16"/>
      <c r="AC131" s="28"/>
      <c r="AD131" s="28" t="str">
        <f ca="1">IFERROR(__xludf.DUMMYFUNCTION("""COMPUTED_VALUE"""),"36789")</f>
        <v>36789</v>
      </c>
      <c r="AE131" s="28" t="str">
        <f ca="1">IFERROR(__xludf.DUMMYFUNCTION("""COMPUTED_VALUE"""),"36789 NUESTRA SEÑORA DEL CARMEN")</f>
        <v>36789 NUESTRA SEÑORA DEL CARMEN</v>
      </c>
      <c r="AF131" s="15" t="str">
        <f ca="1">IFERROR(__xludf.DUMMYFUNCTION("""COMPUTED_VALUE"""),"79. Huancavelica")</f>
        <v>79. Huancavelica</v>
      </c>
    </row>
    <row r="132" spans="1:32" x14ac:dyDescent="0.2">
      <c r="A132" s="16"/>
      <c r="AC132" s="28"/>
      <c r="AD132" s="28" t="str">
        <f ca="1">IFERROR(__xludf.DUMMYFUNCTION("""COMPUTED_VALUE"""),"36207")</f>
        <v>36207</v>
      </c>
      <c r="AE132" s="28" t="str">
        <f ca="1">IFERROR(__xludf.DUMMYFUNCTION("""COMPUTED_VALUE"""),"36207")</f>
        <v>36207</v>
      </c>
      <c r="AF132" s="15" t="str">
        <f ca="1">IFERROR(__xludf.DUMMYFUNCTION("""COMPUTED_VALUE"""),"79. Huancavelica")</f>
        <v>79. Huancavelica</v>
      </c>
    </row>
    <row r="133" spans="1:32" x14ac:dyDescent="0.2">
      <c r="A133" s="16"/>
      <c r="AC133" s="28"/>
      <c r="AD133" s="28" t="str">
        <f ca="1">IFERROR(__xludf.DUMMYFUNCTION("""COMPUTED_VALUE"""),"CORAS")</f>
        <v>CORAS</v>
      </c>
      <c r="AE133" s="28" t="str">
        <f ca="1">IFERROR(__xludf.DUMMYFUNCTION("""COMPUTED_VALUE"""),"CORAS")</f>
        <v>CORAS</v>
      </c>
      <c r="AF133" s="15" t="str">
        <f ca="1">IFERROR(__xludf.DUMMYFUNCTION("""COMPUTED_VALUE"""),"79. Huancavelica")</f>
        <v>79. Huancavelica</v>
      </c>
    </row>
    <row r="134" spans="1:32" x14ac:dyDescent="0.2">
      <c r="A134" s="16"/>
      <c r="AC134" s="28"/>
      <c r="AD134" s="28" t="str">
        <f ca="1">IFERROR(__xludf.DUMMYFUNCTION("""COMPUTED_VALUE"""),"36173")</f>
        <v>36173</v>
      </c>
      <c r="AE134" s="28" t="str">
        <f ca="1">IFERROR(__xludf.DUMMYFUNCTION("""COMPUTED_VALUE"""),"36173")</f>
        <v>36173</v>
      </c>
      <c r="AF134" s="15" t="str">
        <f ca="1">IFERROR(__xludf.DUMMYFUNCTION("""COMPUTED_VALUE"""),"79. Huancavelica")</f>
        <v>79. Huancavelica</v>
      </c>
    </row>
    <row r="135" spans="1:32" x14ac:dyDescent="0.2">
      <c r="A135" s="16"/>
      <c r="AC135" s="28"/>
      <c r="AD135" s="28" t="str">
        <f ca="1">IFERROR(__xludf.DUMMYFUNCTION("""COMPUTED_VALUE"""),"36161")</f>
        <v>36161</v>
      </c>
      <c r="AE135" s="28" t="str">
        <f ca="1">IFERROR(__xludf.DUMMYFUNCTION("""COMPUTED_VALUE"""),"36161 SAN VICENTE DE PAUL")</f>
        <v>36161 SAN VICENTE DE PAUL</v>
      </c>
      <c r="AF135" s="15" t="str">
        <f ca="1">IFERROR(__xludf.DUMMYFUNCTION("""COMPUTED_VALUE"""),"79. Huancavelica")</f>
        <v>79. Huancavelica</v>
      </c>
    </row>
    <row r="136" spans="1:32" x14ac:dyDescent="0.2">
      <c r="A136" s="16"/>
      <c r="AC136" s="28"/>
      <c r="AD136" s="28" t="str">
        <f ca="1">IFERROR(__xludf.DUMMYFUNCTION("""COMPUTED_VALUE"""),"36166")</f>
        <v>36166</v>
      </c>
      <c r="AE136" s="28" t="str">
        <f ca="1">IFERROR(__xludf.DUMMYFUNCTION("""COMPUTED_VALUE"""),"36166 HEROES 29 DE AGOSTO")</f>
        <v>36166 HEROES 29 DE AGOSTO</v>
      </c>
      <c r="AF136" s="15" t="str">
        <f ca="1">IFERROR(__xludf.DUMMYFUNCTION("""COMPUTED_VALUE"""),"79. Huancavelica")</f>
        <v>79. Huancavelica</v>
      </c>
    </row>
    <row r="137" spans="1:32" x14ac:dyDescent="0.2">
      <c r="A137" s="16"/>
      <c r="AC137" s="28"/>
      <c r="AD137" s="28" t="str">
        <f ca="1">IFERROR(__xludf.DUMMYFUNCTION("""COMPUTED_VALUE"""),"JORGE CHAVEZ")</f>
        <v>JORGE CHAVEZ</v>
      </c>
      <c r="AE137" s="28" t="str">
        <f ca="1">IFERROR(__xludf.DUMMYFUNCTION("""COMPUTED_VALUE"""),"JORGE CHAVEZ")</f>
        <v>JORGE CHAVEZ</v>
      </c>
      <c r="AF137" s="15" t="str">
        <f ca="1">IFERROR(__xludf.DUMMYFUNCTION("""COMPUTED_VALUE"""),"79. Huancavelica")</f>
        <v>79. Huancavelica</v>
      </c>
    </row>
    <row r="138" spans="1:32" x14ac:dyDescent="0.2">
      <c r="A138" s="16"/>
      <c r="AC138" s="28"/>
      <c r="AD138" s="28" t="str">
        <f ca="1">IFERROR(__xludf.DUMMYFUNCTION("""COMPUTED_VALUE"""),"JOSE CARLOS MARIATEGUI")</f>
        <v>JOSE CARLOS MARIATEGUI</v>
      </c>
      <c r="AE138" s="28" t="str">
        <f ca="1">IFERROR(__xludf.DUMMYFUNCTION("""COMPUTED_VALUE"""),"JOSE CARLOS MARIATEGUI")</f>
        <v>JOSE CARLOS MARIATEGUI</v>
      </c>
      <c r="AF138" s="15" t="str">
        <f ca="1">IFERROR(__xludf.DUMMYFUNCTION("""COMPUTED_VALUE"""),"79. Huancavelica")</f>
        <v>79. Huancavelica</v>
      </c>
    </row>
    <row r="139" spans="1:32" x14ac:dyDescent="0.2">
      <c r="A139" s="16"/>
      <c r="AC139" s="28"/>
      <c r="AD139" s="28" t="str">
        <f ca="1">IFERROR(__xludf.DUMMYFUNCTION("""COMPUTED_VALUE"""),"RAMON CASTILLA MARQUEZADO")</f>
        <v>RAMON CASTILLA MARQUEZADO</v>
      </c>
      <c r="AE139" s="28" t="str">
        <f ca="1">IFERROR(__xludf.DUMMYFUNCTION("""COMPUTED_VALUE"""),"RAMON CASTILLA MARQUEZADO")</f>
        <v>RAMON CASTILLA MARQUEZADO</v>
      </c>
      <c r="AF139" s="15" t="str">
        <f ca="1">IFERROR(__xludf.DUMMYFUNCTION("""COMPUTED_VALUE"""),"79. Huancavelica")</f>
        <v>79. Huancavelica</v>
      </c>
    </row>
    <row r="140" spans="1:32" x14ac:dyDescent="0.2">
      <c r="A140" s="16"/>
      <c r="AC140" s="28"/>
      <c r="AD140" s="28" t="str">
        <f ca="1">IFERROR(__xludf.DUMMYFUNCTION("""COMPUTED_VALUE"""),"Jorge Chávez")</f>
        <v>Jorge Chávez</v>
      </c>
      <c r="AE140" s="28" t="str">
        <f ca="1">IFERROR(__xludf.DUMMYFUNCTION("""COMPUTED_VALUE"""),"JORGE CHAVEZ")</f>
        <v>JORGE CHAVEZ</v>
      </c>
      <c r="AF140" s="15" t="str">
        <f ca="1">IFERROR(__xludf.DUMMYFUNCTION("""COMPUTED_VALUE"""),"79. Huancavelica")</f>
        <v>79. Huancavelica</v>
      </c>
    </row>
    <row r="141" spans="1:32" x14ac:dyDescent="0.2">
      <c r="A141" s="16"/>
      <c r="AC141" s="28"/>
      <c r="AD141" s="28" t="str">
        <f ca="1">IFERROR(__xludf.DUMMYFUNCTION("""COMPUTED_VALUE"""),"José Carlos Mariategui")</f>
        <v>José Carlos Mariategui</v>
      </c>
      <c r="AE141" s="28" t="str">
        <f ca="1">IFERROR(__xludf.DUMMYFUNCTION("""COMPUTED_VALUE"""),"JOSE CARLOS MARIATEGUI")</f>
        <v>JOSE CARLOS MARIATEGUI</v>
      </c>
      <c r="AF141" s="15" t="str">
        <f ca="1">IFERROR(__xludf.DUMMYFUNCTION("""COMPUTED_VALUE"""),"79. Huancavelica")</f>
        <v>79. Huancavelica</v>
      </c>
    </row>
    <row r="142" spans="1:32" x14ac:dyDescent="0.2">
      <c r="A142" s="16"/>
      <c r="AC142" s="28"/>
      <c r="AD142" s="28" t="str">
        <f ca="1">IFERROR(__xludf.DUMMYFUNCTION("""COMPUTED_VALUE"""),"Ramón Castilla M.")</f>
        <v>Ramón Castilla M.</v>
      </c>
      <c r="AE142" s="28" t="str">
        <f ca="1">IFERROR(__xludf.DUMMYFUNCTION("""COMPUTED_VALUE"""),"RAMON CASTILLA MARQUEZADO")</f>
        <v>RAMON CASTILLA MARQUEZADO</v>
      </c>
      <c r="AF142" s="15" t="str">
        <f ca="1">IFERROR(__xludf.DUMMYFUNCTION("""COMPUTED_VALUE"""),"79. Huancavelica")</f>
        <v>79. Huancavelica</v>
      </c>
    </row>
    <row r="143" spans="1:32" x14ac:dyDescent="0.2">
      <c r="A143" s="16"/>
      <c r="AC143" s="28"/>
      <c r="AD143" s="15" t="str">
        <f ca="1">IFERROR(__xludf.DUMMYFUNCTION("""COMPUTED_VALUE"""),"60146 MORALILLO")</f>
        <v>60146 MORALILLO</v>
      </c>
      <c r="AE143" s="28" t="str">
        <f ca="1">IFERROR(__xludf.DUMMYFUNCTION("""COMPUTED_VALUE"""),"60136")</f>
        <v>60136</v>
      </c>
      <c r="AF143" s="15" t="str">
        <f ca="1">IFERROR(__xludf.DUMMYFUNCTION("""COMPUTED_VALUE"""),"47. Loreto")</f>
        <v>47. Loreto</v>
      </c>
    </row>
    <row r="144" spans="1:32" x14ac:dyDescent="0.2">
      <c r="A144" s="16"/>
      <c r="AC144" s="28"/>
      <c r="AD144" s="15" t="str">
        <f ca="1">IFERROR(__xludf.DUMMYFUNCTION("""COMPUTED_VALUE"""),"601514 EL DORADO")</f>
        <v>601514 EL DORADO</v>
      </c>
      <c r="AE144" s="28" t="str">
        <f ca="1">IFERROR(__xludf.DUMMYFUNCTION("""COMPUTED_VALUE"""),"601514")</f>
        <v>601514</v>
      </c>
      <c r="AF144" s="15" t="str">
        <f ca="1">IFERROR(__xludf.DUMMYFUNCTION("""COMPUTED_VALUE"""),"47. Loreto")</f>
        <v>47. Loreto</v>
      </c>
    </row>
    <row r="145" spans="1:32" x14ac:dyDescent="0.2">
      <c r="A145" s="16"/>
      <c r="AC145" s="28"/>
      <c r="AD145" s="28" t="str">
        <f ca="1">IFERROR(__xludf.DUMMYFUNCTION("""COMPUTED_VALUE"""),"50492 CORAZON DE JESUS")</f>
        <v>50492 CORAZON DE JESUS</v>
      </c>
      <c r="AE145" s="28" t="str">
        <f ca="1">IFERROR(__xludf.DUMMYFUNCTION("""COMPUTED_VALUE"""),"50492 CORAZON DE JESUS")</f>
        <v>50492 CORAZON DE JESUS</v>
      </c>
      <c r="AF145" s="15" t="str">
        <f ca="1">IFERROR(__xludf.DUMMYFUNCTION("""COMPUTED_VALUE"""),"44. Cusco")</f>
        <v>44. Cusco</v>
      </c>
    </row>
    <row r="146" spans="1:32" x14ac:dyDescent="0.2">
      <c r="A146" s="16"/>
      <c r="AC146" s="28"/>
      <c r="AD146" s="28" t="str">
        <f ca="1">IFERROR(__xludf.DUMMYFUNCTION("""COMPUTED_VALUE"""),"50495")</f>
        <v>50495</v>
      </c>
      <c r="AE146" s="28" t="str">
        <f ca="1">IFERROR(__xludf.DUMMYFUNCTION("""COMPUTED_VALUE"""),"50495")</f>
        <v>50495</v>
      </c>
      <c r="AF146" s="15" t="str">
        <f ca="1">IFERROR(__xludf.DUMMYFUNCTION("""COMPUTED_VALUE"""),"44. Cusco")</f>
        <v>44. Cusco</v>
      </c>
    </row>
    <row r="147" spans="1:32" x14ac:dyDescent="0.2">
      <c r="A147" s="16"/>
      <c r="AC147" s="28"/>
      <c r="AD147" s="28" t="str">
        <f ca="1">IFERROR(__xludf.DUMMYFUNCTION("""COMPUTED_VALUE"""),"50547")</f>
        <v>50547</v>
      </c>
      <c r="AE147" s="28" t="str">
        <f ca="1">IFERROR(__xludf.DUMMYFUNCTION("""COMPUTED_VALUE"""),"50547")</f>
        <v>50547</v>
      </c>
      <c r="AF147" s="15" t="str">
        <f ca="1">IFERROR(__xludf.DUMMYFUNCTION("""COMPUTED_VALUE"""),"44. Cusco")</f>
        <v>44. Cusco</v>
      </c>
    </row>
    <row r="148" spans="1:32" x14ac:dyDescent="0.2">
      <c r="A148" s="16"/>
      <c r="AC148" s="28"/>
      <c r="AD148" s="28" t="str">
        <f ca="1">IFERROR(__xludf.DUMMYFUNCTION("""COMPUTED_VALUE"""),"50550")</f>
        <v>50550</v>
      </c>
      <c r="AE148" s="28" t="str">
        <f ca="1">IFERROR(__xludf.DUMMYFUNCTION("""COMPUTED_VALUE"""),"50550")</f>
        <v>50550</v>
      </c>
      <c r="AF148" s="15" t="str">
        <f ca="1">IFERROR(__xludf.DUMMYFUNCTION("""COMPUTED_VALUE"""),"44. Cusco")</f>
        <v>44. Cusco</v>
      </c>
    </row>
    <row r="149" spans="1:32" x14ac:dyDescent="0.2">
      <c r="A149" s="16"/>
      <c r="AC149" s="28"/>
      <c r="AD149" s="28" t="str">
        <f ca="1">IFERROR(__xludf.DUMMYFUNCTION("""COMPUTED_VALUE"""),"50552 TUPAC AMARU II")</f>
        <v>50552 TUPAC AMARU II</v>
      </c>
      <c r="AE149" s="28" t="str">
        <f ca="1">IFERROR(__xludf.DUMMYFUNCTION("""COMPUTED_VALUE"""),"50552 TUPAC AMARU II")</f>
        <v>50552 TUPAC AMARU II</v>
      </c>
      <c r="AF149" s="15" t="str">
        <f ca="1">IFERROR(__xludf.DUMMYFUNCTION("""COMPUTED_VALUE"""),"44. Cusco")</f>
        <v>44. Cusco</v>
      </c>
    </row>
    <row r="150" spans="1:32" x14ac:dyDescent="0.2">
      <c r="A150" s="16"/>
      <c r="AC150" s="28"/>
      <c r="AD150" s="28" t="str">
        <f ca="1">IFERROR(__xludf.DUMMYFUNCTION("""COMPUTED_VALUE"""),"50553")</f>
        <v>50553</v>
      </c>
      <c r="AE150" s="28" t="str">
        <f ca="1">IFERROR(__xludf.DUMMYFUNCTION("""COMPUTED_VALUE"""),"50553")</f>
        <v>50553</v>
      </c>
      <c r="AF150" s="15" t="str">
        <f ca="1">IFERROR(__xludf.DUMMYFUNCTION("""COMPUTED_VALUE"""),"44. Cusco")</f>
        <v>44. Cusco</v>
      </c>
    </row>
    <row r="151" spans="1:32" x14ac:dyDescent="0.2">
      <c r="A151" s="16"/>
      <c r="AC151" s="28"/>
      <c r="AD151" s="28" t="str">
        <f ca="1">IFERROR(__xludf.DUMMYFUNCTION("""COMPUTED_VALUE"""),"50558")</f>
        <v>50558</v>
      </c>
      <c r="AE151" s="28" t="str">
        <f ca="1">IFERROR(__xludf.DUMMYFUNCTION("""COMPUTED_VALUE"""),"50558")</f>
        <v>50558</v>
      </c>
      <c r="AF151" s="15" t="str">
        <f ca="1">IFERROR(__xludf.DUMMYFUNCTION("""COMPUTED_VALUE"""),"44. Cusco")</f>
        <v>44. Cusco</v>
      </c>
    </row>
    <row r="152" spans="1:32" x14ac:dyDescent="0.2">
      <c r="A152" s="16"/>
      <c r="AC152" s="28"/>
      <c r="AD152" s="28" t="str">
        <f ca="1">IFERROR(__xludf.DUMMYFUNCTION("""COMPUTED_VALUE"""),"50715")</f>
        <v>50715</v>
      </c>
      <c r="AE152" s="28" t="str">
        <f ca="1">IFERROR(__xludf.DUMMYFUNCTION("""COMPUTED_VALUE"""),"50715")</f>
        <v>50715</v>
      </c>
      <c r="AF152" s="15" t="str">
        <f ca="1">IFERROR(__xludf.DUMMYFUNCTION("""COMPUTED_VALUE"""),"44. Cusco")</f>
        <v>44. Cusco</v>
      </c>
    </row>
    <row r="153" spans="1:32" x14ac:dyDescent="0.2">
      <c r="A153" s="16"/>
      <c r="AC153" s="28"/>
      <c r="AD153" s="28" t="str">
        <f ca="1">IFERROR(__xludf.DUMMYFUNCTION("""COMPUTED_VALUE"""),"50719 VIRGEN DEL CARMEN")</f>
        <v>50719 VIRGEN DEL CARMEN</v>
      </c>
      <c r="AE153" s="28" t="str">
        <f ca="1">IFERROR(__xludf.DUMMYFUNCTION("""COMPUTED_VALUE"""),"50719 VIRGEN DEL CARMEN")</f>
        <v>50719 VIRGEN DEL CARMEN</v>
      </c>
      <c r="AF153" s="15" t="str">
        <f ca="1">IFERROR(__xludf.DUMMYFUNCTION("""COMPUTED_VALUE"""),"44. Cusco")</f>
        <v>44. Cusco</v>
      </c>
    </row>
    <row r="154" spans="1:32" x14ac:dyDescent="0.2">
      <c r="A154" s="16"/>
      <c r="AC154" s="28"/>
      <c r="AD154" s="28" t="str">
        <f ca="1">IFERROR(__xludf.DUMMYFUNCTION("""COMPUTED_VALUE"""),"50765")</f>
        <v>50765</v>
      </c>
      <c r="AE154" s="28" t="str">
        <f ca="1">IFERROR(__xludf.DUMMYFUNCTION("""COMPUTED_VALUE"""),"50765")</f>
        <v>50765</v>
      </c>
      <c r="AF154" s="15" t="str">
        <f ca="1">IFERROR(__xludf.DUMMYFUNCTION("""COMPUTED_VALUE"""),"44. Cusco")</f>
        <v>44. Cusco</v>
      </c>
    </row>
    <row r="155" spans="1:32" x14ac:dyDescent="0.2">
      <c r="A155" s="16"/>
      <c r="AC155" s="28"/>
      <c r="AD155" s="28" t="str">
        <f ca="1">IFERROR(__xludf.DUMMYFUNCTION("""COMPUTED_VALUE"""),"50854")</f>
        <v>50854</v>
      </c>
      <c r="AE155" s="28" t="str">
        <f ca="1">IFERROR(__xludf.DUMMYFUNCTION("""COMPUTED_VALUE"""),"50854")</f>
        <v>50854</v>
      </c>
      <c r="AF155" s="15" t="str">
        <f ca="1">IFERROR(__xludf.DUMMYFUNCTION("""COMPUTED_VALUE"""),"44. Cusco")</f>
        <v>44. Cusco</v>
      </c>
    </row>
    <row r="156" spans="1:32" x14ac:dyDescent="0.2">
      <c r="A156" s="16"/>
      <c r="AC156" s="28"/>
      <c r="AD156" s="28" t="str">
        <f ca="1">IFERROR(__xludf.DUMMYFUNCTION("""COMPUTED_VALUE"""),"50977")</f>
        <v>50977</v>
      </c>
      <c r="AE156" s="28" t="str">
        <f ca="1">IFERROR(__xludf.DUMMYFUNCTION("""COMPUTED_VALUE"""),"50977")</f>
        <v>50977</v>
      </c>
      <c r="AF156" s="15" t="str">
        <f ca="1">IFERROR(__xludf.DUMMYFUNCTION("""COMPUTED_VALUE"""),"44. Cusco")</f>
        <v>44. Cusco</v>
      </c>
    </row>
    <row r="157" spans="1:32" x14ac:dyDescent="0.2">
      <c r="A157" s="16"/>
      <c r="AC157" s="28"/>
      <c r="AD157" s="28" t="str">
        <f ca="1">IFERROR(__xludf.DUMMYFUNCTION("""COMPUTED_VALUE"""),"501344")</f>
        <v>501344</v>
      </c>
      <c r="AE157" s="28" t="str">
        <f ca="1">IFERROR(__xludf.DUMMYFUNCTION("""COMPUTED_VALUE"""),"501344")</f>
        <v>501344</v>
      </c>
      <c r="AF157" s="15" t="str">
        <f ca="1">IFERROR(__xludf.DUMMYFUNCTION("""COMPUTED_VALUE"""),"44. Cusco")</f>
        <v>44. Cusco</v>
      </c>
    </row>
    <row r="158" spans="1:32" x14ac:dyDescent="0.2">
      <c r="A158" s="16"/>
      <c r="AC158" s="28"/>
      <c r="AD158" s="28" t="str">
        <f ca="1">IFERROR(__xludf.DUMMYFUNCTION("""COMPUTED_VALUE"""),"501432 PAPA FRANCISCO I")</f>
        <v>501432 PAPA FRANCISCO I</v>
      </c>
      <c r="AE158" s="28" t="str">
        <f ca="1">IFERROR(__xludf.DUMMYFUNCTION("""COMPUTED_VALUE"""),"501432 PAPA FRANCISCO I")</f>
        <v>501432 PAPA FRANCISCO I</v>
      </c>
      <c r="AF158" s="15" t="str">
        <f ca="1">IFERROR(__xludf.DUMMYFUNCTION("""COMPUTED_VALUE"""),"44. Cusco")</f>
        <v>44. Cusco</v>
      </c>
    </row>
    <row r="159" spans="1:32" x14ac:dyDescent="0.2">
      <c r="A159" s="16"/>
      <c r="AC159" s="28"/>
      <c r="AD159" s="28" t="str">
        <f ca="1">IFERROR(__xludf.DUMMYFUNCTION("""COMPUTED_VALUE"""),"501455 CRISTO REY TTIKARIY")</f>
        <v>501455 CRISTO REY TTIKARIY</v>
      </c>
      <c r="AE159" s="28" t="str">
        <f ca="1">IFERROR(__xludf.DUMMYFUNCTION("""COMPUTED_VALUE"""),"501455 CRISTO REY TTIKARIY")</f>
        <v>501455 CRISTO REY TTIKARIY</v>
      </c>
      <c r="AF159" s="15" t="str">
        <f ca="1">IFERROR(__xludf.DUMMYFUNCTION("""COMPUTED_VALUE"""),"44. Cusco")</f>
        <v>44. Cusco</v>
      </c>
    </row>
    <row r="160" spans="1:32" x14ac:dyDescent="0.2">
      <c r="A160" s="16"/>
      <c r="AC160" s="28"/>
      <c r="AD160" s="28" t="str">
        <f ca="1">IFERROR(__xludf.DUMMYFUNCTION("""COMPUTED_VALUE"""),"501532 Kumuncancha")</f>
        <v>501532 Kumuncancha</v>
      </c>
      <c r="AE160" s="28" t="str">
        <f ca="1">IFERROR(__xludf.DUMMYFUNCTION("""COMPUTED_VALUE"""),"501432 PAPA FRANCISCO I")</f>
        <v>501432 PAPA FRANCISCO I</v>
      </c>
      <c r="AF160" s="15" t="str">
        <f ca="1">IFERROR(__xludf.DUMMYFUNCTION("""COMPUTED_VALUE"""),"44. Cusco")</f>
        <v>44. Cusco</v>
      </c>
    </row>
    <row r="161" spans="1:32" x14ac:dyDescent="0.2">
      <c r="A161" s="16"/>
      <c r="AC161" s="28"/>
      <c r="AD161" s="28" t="str">
        <f ca="1">IFERROR(__xludf.DUMMYFUNCTION("""COMPUTED_VALUE"""),"VILLA ESTHER 64830")</f>
        <v>VILLA ESTHER 64830</v>
      </c>
      <c r="AE161" s="28" t="str">
        <f ca="1">IFERROR(__xludf.DUMMYFUNCTION("""COMPUTED_VALUE"""),"64829")</f>
        <v>64829</v>
      </c>
      <c r="AF161" s="15" t="str">
        <f ca="1">IFERROR(__xludf.DUMMYFUNCTION("""COMPUTED_VALUE"""),"72. Ucayali")</f>
        <v>72. Ucayali</v>
      </c>
    </row>
    <row r="162" spans="1:32" x14ac:dyDescent="0.2">
      <c r="A162" s="16"/>
      <c r="AC162" s="28"/>
      <c r="AD162" s="28" t="str">
        <f ca="1">IFERROR(__xludf.DUMMYFUNCTION("""COMPUTED_VALUE"""),"VILLA ESTHER 64836")</f>
        <v>VILLA ESTHER 64836</v>
      </c>
      <c r="AE162" s="28" t="str">
        <f ca="1">IFERROR(__xludf.DUMMYFUNCTION("""COMPUTED_VALUE"""),"64829")</f>
        <v>64829</v>
      </c>
      <c r="AF162" s="15" t="str">
        <f ca="1">IFERROR(__xludf.DUMMYFUNCTION("""COMPUTED_VALUE"""),"72. Ucayali")</f>
        <v>72. Ucayali</v>
      </c>
    </row>
    <row r="163" spans="1:32" x14ac:dyDescent="0.2">
      <c r="A163" s="16"/>
      <c r="AC163" s="28"/>
      <c r="AD163" s="28" t="str">
        <f ca="1">IFERROR(__xludf.DUMMYFUNCTION("""COMPUTED_VALUE"""),"VILLA ESTHER 64837")</f>
        <v>VILLA ESTHER 64837</v>
      </c>
      <c r="AE163" s="28" t="str">
        <f ca="1">IFERROR(__xludf.DUMMYFUNCTION("""COMPUTED_VALUE"""),"64829")</f>
        <v>64829</v>
      </c>
      <c r="AF163" s="15" t="str">
        <f ca="1">IFERROR(__xludf.DUMMYFUNCTION("""COMPUTED_VALUE"""),"72. Ucayali")</f>
        <v>72. Ucayali</v>
      </c>
    </row>
    <row r="164" spans="1:32" x14ac:dyDescent="0.2">
      <c r="A164" s="16"/>
      <c r="AC164" s="28"/>
      <c r="AD164" s="28" t="str">
        <f ca="1">IFERROR(__xludf.DUMMYFUNCTION("""COMPUTED_VALUE"""),"VILLA ESTHER 64838")</f>
        <v>VILLA ESTHER 64838</v>
      </c>
      <c r="AE164" s="28" t="str">
        <f ca="1">IFERROR(__xludf.DUMMYFUNCTION("""COMPUTED_VALUE"""),"64829")</f>
        <v>64829</v>
      </c>
      <c r="AF164" s="15" t="str">
        <f ca="1">IFERROR(__xludf.DUMMYFUNCTION("""COMPUTED_VALUE"""),"72. Ucayali")</f>
        <v>72. Ucayali</v>
      </c>
    </row>
    <row r="165" spans="1:32" x14ac:dyDescent="0.2">
      <c r="A165" s="16"/>
      <c r="AC165" s="28"/>
      <c r="AD165" s="28" t="str">
        <f ca="1">IFERROR(__xludf.DUMMYFUNCTION("""COMPUTED_VALUE"""),"VILLA ESTHER 64839")</f>
        <v>VILLA ESTHER 64839</v>
      </c>
      <c r="AE165" s="28" t="str">
        <f ca="1">IFERROR(__xludf.DUMMYFUNCTION("""COMPUTED_VALUE"""),"64829")</f>
        <v>64829</v>
      </c>
      <c r="AF165" s="15" t="str">
        <f ca="1">IFERROR(__xludf.DUMMYFUNCTION("""COMPUTED_VALUE"""),"72. Ucayali")</f>
        <v>72. Ucayali</v>
      </c>
    </row>
    <row r="166" spans="1:32" x14ac:dyDescent="0.2">
      <c r="A166" s="16"/>
      <c r="AC166" s="28"/>
      <c r="AD166" s="28" t="str">
        <f ca="1">IFERROR(__xludf.DUMMYFUNCTION("""COMPUTED_VALUE"""),"José Carlos Mariátegui")</f>
        <v>José Carlos Mariátegui</v>
      </c>
      <c r="AE166" s="28" t="str">
        <f ca="1">IFERROR(__xludf.DUMMYFUNCTION("""COMPUTED_VALUE"""),"JOSE CARLOS MARIATEGUI")</f>
        <v>JOSE CARLOS MARIATEGUI</v>
      </c>
      <c r="AF166" s="15" t="str">
        <f ca="1">IFERROR(__xludf.DUMMYFUNCTION("""COMPUTED_VALUE"""),"72. Ucayali")</f>
        <v>72. Ucayali</v>
      </c>
    </row>
    <row r="167" spans="1:32" x14ac:dyDescent="0.2">
      <c r="A167" s="16"/>
      <c r="AC167" s="28"/>
      <c r="AD167" s="28" t="str">
        <f ca="1">IFERROR(__xludf.DUMMYFUNCTION("""COMPUTED_VALUE"""),"RAMON CASTILLA MARQUESADO")</f>
        <v>RAMON CASTILLA MARQUESADO</v>
      </c>
      <c r="AE167" s="28" t="str">
        <f ca="1">IFERROR(__xludf.DUMMYFUNCTION("""COMPUTED_VALUE"""),"RAMON CASTILLA MARQUEZADO")</f>
        <v>RAMON CASTILLA MARQUEZADO</v>
      </c>
      <c r="AF167" s="15" t="str">
        <f ca="1">IFERROR(__xludf.DUMMYFUNCTION("""COMPUTED_VALUE"""),"79. Huancavelica")</f>
        <v>79. Huancavelica</v>
      </c>
    </row>
    <row r="168" spans="1:32" x14ac:dyDescent="0.2">
      <c r="A168" s="16"/>
      <c r="AC168" s="28"/>
      <c r="AD168" s="28" t="str">
        <f ca="1">IFERROR(__xludf.DUMMYFUNCTION("""COMPUTED_VALUE"""),"Ramón Castilla Marquezado")</f>
        <v>Ramón Castilla Marquezado</v>
      </c>
      <c r="AE168" s="28" t="str">
        <f ca="1">IFERROR(__xludf.DUMMYFUNCTION("""COMPUTED_VALUE"""),"RAMON CASTILLA MARQUEZADO")</f>
        <v>RAMON CASTILLA MARQUEZADO</v>
      </c>
      <c r="AF168" s="15" t="str">
        <f ca="1">IFERROR(__xludf.DUMMYFUNCTION("""COMPUTED_VALUE"""),"79. Huancavelica")</f>
        <v>79. Huancavelica</v>
      </c>
    </row>
    <row r="169" spans="1:32" x14ac:dyDescent="0.2">
      <c r="A169" s="16"/>
      <c r="AC169" s="28"/>
      <c r="AD169" s="28" t="str">
        <f ca="1">IFERROR(__xludf.DUMMYFUNCTION("""COMPUTED_VALUE"""),"SAGRADO CORAZON DE JESÚS")</f>
        <v>SAGRADO CORAZON DE JESÚS</v>
      </c>
      <c r="AE169" s="28" t="str">
        <f ca="1">IFERROR(__xludf.DUMMYFUNCTION("""COMPUTED_VALUE"""),"15374")</f>
        <v>15374</v>
      </c>
      <c r="AF169" s="15" t="str">
        <f ca="1">IFERROR(__xludf.DUMMYFUNCTION("""COMPUTED_VALUE"""),"48. Piura")</f>
        <v>48. Piura</v>
      </c>
    </row>
    <row r="170" spans="1:32" x14ac:dyDescent="0.2">
      <c r="A170" s="16"/>
      <c r="AC170" s="28"/>
      <c r="AD170" s="28" t="str">
        <f ca="1">IFERROR(__xludf.DUMMYFUNCTION("""COMPUTED_VALUE"""),"14144 SantaRosa-Palominos")</f>
        <v>14144 SantaRosa-Palominos</v>
      </c>
      <c r="AE170" s="28" t="str">
        <f ca="1">IFERROR(__xludf.DUMMYFUNCTION("""COMPUTED_VALUE"""),"14144 SANTA ROSA")</f>
        <v>14144 SANTA ROSA</v>
      </c>
      <c r="AF170" s="15" t="str">
        <f ca="1">IFERROR(__xludf.DUMMYFUNCTION("""COMPUTED_VALUE"""),"48. Piura")</f>
        <v>48. Piura</v>
      </c>
    </row>
    <row r="171" spans="1:32" x14ac:dyDescent="0.2">
      <c r="A171" s="16"/>
      <c r="AC171" s="28"/>
      <c r="AD171" s="15" t="str">
        <f ca="1">IFERROR(__xludf.DUMMYFUNCTION("""COMPUTED_VALUE"""),"I.E. N° 50765 SALLICANCHA")</f>
        <v>I.E. N° 50765 SALLICANCHA</v>
      </c>
      <c r="AE171" s="28" t="str">
        <f ca="1">IFERROR(__xludf.DUMMYFUNCTION("""COMPUTED_VALUE"""),"50765")</f>
        <v>50765</v>
      </c>
      <c r="AF171" s="15" t="str">
        <f ca="1">IFERROR(__xludf.DUMMYFUNCTION("""COMPUTED_VALUE"""),"44. Cusco")</f>
        <v>44. Cusco</v>
      </c>
    </row>
    <row r="172" spans="1:32" x14ac:dyDescent="0.2">
      <c r="A172" s="16"/>
      <c r="AC172" s="28"/>
      <c r="AD172" s="15" t="str">
        <f ca="1">IFERROR(__xludf.DUMMYFUNCTION("""COMPUTED_VALUE"""),"I.E. N° 50796 Yanacancha")</f>
        <v>I.E. N° 50796 Yanacancha</v>
      </c>
      <c r="AE172" s="28" t="str">
        <f ca="1">IFERROR(__xludf.DUMMYFUNCTION("""COMPUTED_VALUE"""),"50796")</f>
        <v>50796</v>
      </c>
      <c r="AF172" s="15" t="str">
        <f ca="1">IFERROR(__xludf.DUMMYFUNCTION("""COMPUTED_VALUE"""),"44. Cusco")</f>
        <v>44. Cusco</v>
      </c>
    </row>
    <row r="173" spans="1:32" x14ac:dyDescent="0.2">
      <c r="A173" s="16"/>
      <c r="AC173" s="28"/>
      <c r="AD173" s="28" t="str">
        <f ca="1">IFERROR(__xludf.DUMMYFUNCTION("""COMPUTED_VALUE"""),"IE. N° 50547 ACCOCUNCA")</f>
        <v>IE. N° 50547 ACCOCUNCA</v>
      </c>
      <c r="AE173" s="28" t="str">
        <f ca="1">IFERROR(__xludf.DUMMYFUNCTION("""COMPUTED_VALUE"""),"50547")</f>
        <v>50547</v>
      </c>
      <c r="AF173" s="15" t="str">
        <f ca="1">IFERROR(__xludf.DUMMYFUNCTION("""COMPUTED_VALUE"""),"44. Cusco")</f>
        <v>44. Cusco</v>
      </c>
    </row>
    <row r="174" spans="1:32" x14ac:dyDescent="0.2">
      <c r="A174" s="16"/>
      <c r="AC174" s="28"/>
      <c r="AD174" s="28" t="str">
        <f ca="1">IFERROR(__xludf.DUMMYFUNCTION("""COMPUTED_VALUE"""),"I.E. N° 50495 Ccapana")</f>
        <v>I.E. N° 50495 Ccapana</v>
      </c>
      <c r="AE174" s="28" t="str">
        <f ca="1">IFERROR(__xludf.DUMMYFUNCTION("""COMPUTED_VALUE"""),"50495")</f>
        <v>50495</v>
      </c>
      <c r="AF174" s="15" t="str">
        <f ca="1">IFERROR(__xludf.DUMMYFUNCTION("""COMPUTED_VALUE"""),"44. Cusco")</f>
        <v>44. Cusco</v>
      </c>
    </row>
    <row r="175" spans="1:32" x14ac:dyDescent="0.2">
      <c r="A175" s="16"/>
      <c r="AC175" s="28"/>
      <c r="AD175" s="28" t="str">
        <f ca="1">IFERROR(__xludf.DUMMYFUNCTION("""COMPUTED_VALUE"""),"501455")</f>
        <v>501455</v>
      </c>
      <c r="AE175" s="28" t="str">
        <f ca="1">IFERROR(__xludf.DUMMYFUNCTION("""COMPUTED_VALUE"""),"501455 CRISTO REY TTIKARIY")</f>
        <v>501455 CRISTO REY TTIKARIY</v>
      </c>
      <c r="AF175" s="15" t="str">
        <f ca="1">IFERROR(__xludf.DUMMYFUNCTION("""COMPUTED_VALUE"""),"44. Cusco")</f>
        <v>44. Cusco</v>
      </c>
    </row>
    <row r="176" spans="1:32" x14ac:dyDescent="0.2">
      <c r="A176" s="16"/>
      <c r="AC176" s="28"/>
      <c r="AD176" s="28" t="str">
        <f ca="1">IFERROR(__xludf.DUMMYFUNCTION("""COMPUTED_VALUE"""),"IE. N° 501532 Kumuncancha")</f>
        <v>IE. N° 501532 Kumuncancha</v>
      </c>
      <c r="AE176" s="28" t="str">
        <f ca="1">IFERROR(__xludf.DUMMYFUNCTION("""COMPUTED_VALUE"""),"501432 PAPA FRANCISCO I")</f>
        <v>501432 PAPA FRANCISCO I</v>
      </c>
      <c r="AF176" s="15" t="str">
        <f ca="1">IFERROR(__xludf.DUMMYFUNCTION("""COMPUTED_VALUE"""),"44. Cusco")</f>
        <v>44. Cusco</v>
      </c>
    </row>
    <row r="177" spans="1:32" x14ac:dyDescent="0.2">
      <c r="A177" s="16"/>
      <c r="AC177" s="28"/>
      <c r="AD177" s="28" t="str">
        <f ca="1">IFERROR(__xludf.DUMMYFUNCTION("""COMPUTED_VALUE"""),"LLACHI1")</f>
        <v>LLACHI1</v>
      </c>
      <c r="AE177" s="28" t="str">
        <f ca="1">IFERROR(__xludf.DUMMYFUNCTION("""COMPUTED_VALUE"""),"50715")</f>
        <v>50715</v>
      </c>
      <c r="AF177" s="15" t="str">
        <f ca="1">IFERROR(__xludf.DUMMYFUNCTION("""COMPUTED_VALUE"""),"44. Cusco")</f>
        <v>44. Cusco</v>
      </c>
    </row>
    <row r="178" spans="1:32" x14ac:dyDescent="0.2">
      <c r="A178" s="16"/>
      <c r="AC178" s="28"/>
      <c r="AD178" s="28" t="str">
        <f ca="1">IFERROR(__xludf.DUMMYFUNCTION("""COMPUTED_VALUE"""),"I.E. N° 50492 CORAZON DE JESUS OCONGATE")</f>
        <v>I.E. N° 50492 CORAZON DE JESUS OCONGATE</v>
      </c>
      <c r="AE178" s="28" t="str">
        <f ca="1">IFERROR(__xludf.DUMMYFUNCTION("""COMPUTED_VALUE"""),"50492 CORAZON DE JESUS")</f>
        <v>50492 CORAZON DE JESUS</v>
      </c>
      <c r="AF178" s="15" t="str">
        <f ca="1">IFERROR(__xludf.DUMMYFUNCTION("""COMPUTED_VALUE"""),"44. Cusco")</f>
        <v>44. Cusco</v>
      </c>
    </row>
    <row r="179" spans="1:32" x14ac:dyDescent="0.2">
      <c r="A179" s="16"/>
      <c r="AC179" s="28"/>
      <c r="AD179" s="28" t="str">
        <f ca="1">IFERROR(__xludf.DUMMYFUNCTION("""COMPUTED_VALUE"""),"Accocunca Nº 50547")</f>
        <v>Accocunca Nº 50547</v>
      </c>
      <c r="AE179" s="28" t="str">
        <f ca="1">IFERROR(__xludf.DUMMYFUNCTION("""COMPUTED_VALUE"""),"50547")</f>
        <v>50547</v>
      </c>
      <c r="AF179" s="15" t="str">
        <f ca="1">IFERROR(__xludf.DUMMYFUNCTION("""COMPUTED_VALUE"""),"44. Cusco")</f>
        <v>44. Cusco</v>
      </c>
    </row>
    <row r="180" spans="1:32" x14ac:dyDescent="0.2">
      <c r="A180" s="16"/>
      <c r="AC180" s="28"/>
      <c r="AD180" s="28" t="str">
        <f ca="1">IFERROR(__xludf.DUMMYFUNCTION("""COMPUTED_VALUE"""),"Andamayo Nº 50977")</f>
        <v>Andamayo Nº 50977</v>
      </c>
      <c r="AE180" s="28" t="str">
        <f ca="1">IFERROR(__xludf.DUMMYFUNCTION("""COMPUTED_VALUE"""),"50977")</f>
        <v>50977</v>
      </c>
      <c r="AF180" s="15" t="str">
        <f ca="1">IFERROR(__xludf.DUMMYFUNCTION("""COMPUTED_VALUE"""),"44. Cusco")</f>
        <v>44. Cusco</v>
      </c>
    </row>
    <row r="181" spans="1:32" x14ac:dyDescent="0.2">
      <c r="A181" s="16"/>
      <c r="AC181" s="28"/>
      <c r="AD181" s="28" t="str">
        <f ca="1">IFERROR(__xludf.DUMMYFUNCTION("""COMPUTED_VALUE"""),"Ccasapata Nº 501344")</f>
        <v>Ccasapata Nº 501344</v>
      </c>
      <c r="AE181" s="28" t="str">
        <f ca="1">IFERROR(__xludf.DUMMYFUNCTION("""COMPUTED_VALUE"""),"501344")</f>
        <v>501344</v>
      </c>
      <c r="AF181" s="15" t="str">
        <f ca="1">IFERROR(__xludf.DUMMYFUNCTION("""COMPUTED_VALUE"""),"44. Cusco")</f>
        <v>44. Cusco</v>
      </c>
    </row>
    <row r="182" spans="1:32" x14ac:dyDescent="0.2">
      <c r="A182" s="16"/>
      <c r="AC182" s="28"/>
      <c r="AD182" s="28" t="str">
        <f ca="1">IFERROR(__xludf.DUMMYFUNCTION("""COMPUTED_VALUE"""),"Ccapana Nº 50495")</f>
        <v>Ccapana Nº 50495</v>
      </c>
      <c r="AE182" s="28" t="str">
        <f ca="1">IFERROR(__xludf.DUMMYFUNCTION("""COMPUTED_VALUE"""),"50495")</f>
        <v>50495</v>
      </c>
      <c r="AF182" s="15" t="str">
        <f ca="1">IFERROR(__xludf.DUMMYFUNCTION("""COMPUTED_VALUE"""),"44. Cusco")</f>
        <v>44. Cusco</v>
      </c>
    </row>
    <row r="183" spans="1:32" x14ac:dyDescent="0.2">
      <c r="A183" s="16"/>
      <c r="AC183" s="28"/>
      <c r="AD183" s="28" t="str">
        <f ca="1">IFERROR(__xludf.DUMMYFUNCTION("""COMPUTED_VALUE"""),"Ccoñamuro Nº 50536")</f>
        <v>Ccoñamuro Nº 50536</v>
      </c>
      <c r="AE183" s="28" t="str">
        <f ca="1">IFERROR(__xludf.DUMMYFUNCTION("""COMPUTED_VALUE"""),"50536")</f>
        <v>50536</v>
      </c>
      <c r="AF183" s="15" t="str">
        <f ca="1">IFERROR(__xludf.DUMMYFUNCTION("""COMPUTED_VALUE"""),"44. Cusco")</f>
        <v>44. Cusco</v>
      </c>
    </row>
    <row r="184" spans="1:32" x14ac:dyDescent="0.2">
      <c r="A184" s="16"/>
      <c r="AC184" s="28"/>
      <c r="AD184" s="28" t="str">
        <f ca="1">IFERROR(__xludf.DUMMYFUNCTION("""COMPUTED_VALUE"""),"Cuyuni Nº 50912")</f>
        <v>Cuyuni Nº 50912</v>
      </c>
      <c r="AE184" s="28" t="str">
        <f ca="1">IFERROR(__xludf.DUMMYFUNCTION("""COMPUTED_VALUE"""),"50912")</f>
        <v>50912</v>
      </c>
      <c r="AF184" s="15" t="str">
        <f ca="1">IFERROR(__xludf.DUMMYFUNCTION("""COMPUTED_VALUE"""),"44. Cusco")</f>
        <v>44. Cusco</v>
      </c>
    </row>
    <row r="185" spans="1:32" x14ac:dyDescent="0.2">
      <c r="A185" s="16"/>
      <c r="AC185" s="28"/>
      <c r="AD185" s="28" t="str">
        <f ca="1">IFERROR(__xludf.DUMMYFUNCTION("""COMPUTED_VALUE"""),"Huacatinco Nº 50552")</f>
        <v>Huacatinco Nº 50552</v>
      </c>
      <c r="AE185" s="28" t="str">
        <f ca="1">IFERROR(__xludf.DUMMYFUNCTION("""COMPUTED_VALUE"""),"50552 TUPAC AMARU II")</f>
        <v>50552 TUPAC AMARU II</v>
      </c>
      <c r="AF185" s="15" t="str">
        <f ca="1">IFERROR(__xludf.DUMMYFUNCTION("""COMPUTED_VALUE"""),"44. Cusco")</f>
        <v>44. Cusco</v>
      </c>
    </row>
    <row r="186" spans="1:32" x14ac:dyDescent="0.2">
      <c r="A186" s="16"/>
      <c r="AC186" s="28"/>
      <c r="AD186" s="28" t="str">
        <f ca="1">IFERROR(__xludf.DUMMYFUNCTION("""COMPUTED_VALUE"""),"Huarahuara Nº 50535")</f>
        <v>Huarahuara Nº 50535</v>
      </c>
      <c r="AE186" s="28" t="str">
        <f ca="1">IFERROR(__xludf.DUMMYFUNCTION("""COMPUTED_VALUE"""),"50535")</f>
        <v>50535</v>
      </c>
      <c r="AF186" s="15" t="str">
        <f ca="1">IFERROR(__xludf.DUMMYFUNCTION("""COMPUTED_VALUE"""),"44. Cusco")</f>
        <v>44. Cusco</v>
      </c>
    </row>
    <row r="187" spans="1:32" x14ac:dyDescent="0.2">
      <c r="A187" s="16"/>
      <c r="AC187" s="28"/>
      <c r="AD187" s="28" t="str">
        <f ca="1">IFERROR(__xludf.DUMMYFUNCTION("""COMPUTED_VALUE"""),"Lloqueta Nº 50976")</f>
        <v>Lloqueta Nº 50976</v>
      </c>
      <c r="AE187" s="28" t="str">
        <f ca="1">IFERROR(__xludf.DUMMYFUNCTION("""COMPUTED_VALUE"""),"50976")</f>
        <v>50976</v>
      </c>
      <c r="AF187" s="15" t="str">
        <f ca="1">IFERROR(__xludf.DUMMYFUNCTION("""COMPUTED_VALUE"""),"44. Cusco")</f>
        <v>44. Cusco</v>
      </c>
    </row>
    <row r="188" spans="1:32" x14ac:dyDescent="0.2">
      <c r="A188" s="16"/>
      <c r="AC188" s="28"/>
      <c r="AD188" s="28" t="str">
        <f ca="1">IFERROR(__xludf.DUMMYFUNCTION("""COMPUTED_VALUE"""),"Llachi Nº 50715")</f>
        <v>Llachi Nº 50715</v>
      </c>
      <c r="AE188" s="28" t="str">
        <f ca="1">IFERROR(__xludf.DUMMYFUNCTION("""COMPUTED_VALUE"""),"50715")</f>
        <v>50715</v>
      </c>
      <c r="AF188" s="15" t="str">
        <f ca="1">IFERROR(__xludf.DUMMYFUNCTION("""COMPUTED_VALUE"""),"44. Cusco")</f>
        <v>44. Cusco</v>
      </c>
    </row>
    <row r="189" spans="1:32" x14ac:dyDescent="0.2">
      <c r="A189" s="16"/>
      <c r="AC189" s="28"/>
      <c r="AD189" s="28" t="str">
        <f ca="1">IFERROR(__xludf.DUMMYFUNCTION("""COMPUTED_VALUE"""),"Kumuncancha N° 501432")</f>
        <v>Kumuncancha N° 501432</v>
      </c>
      <c r="AE189" s="28" t="str">
        <f ca="1">IFERROR(__xludf.DUMMYFUNCTION("""COMPUTED_VALUE"""),"501432 PAPA FRANCISCO I")</f>
        <v>501432 PAPA FRANCISCO I</v>
      </c>
      <c r="AF189" s="15" t="str">
        <f ca="1">IFERROR(__xludf.DUMMYFUNCTION("""COMPUTED_VALUE"""),"44. Cusco")</f>
        <v>44. Cusco</v>
      </c>
    </row>
    <row r="190" spans="1:32" x14ac:dyDescent="0.2">
      <c r="A190" s="16"/>
      <c r="AC190" s="28"/>
      <c r="AD190" s="28" t="str">
        <f ca="1">IFERROR(__xludf.DUMMYFUNCTION("""COMPUTED_VALUE"""),"Marampaqui Nº 50553")</f>
        <v>Marampaqui Nº 50553</v>
      </c>
      <c r="AE190" s="28" t="str">
        <f ca="1">IFERROR(__xludf.DUMMYFUNCTION("""COMPUTED_VALUE"""),"50553")</f>
        <v>50553</v>
      </c>
      <c r="AF190" s="15" t="str">
        <f ca="1">IFERROR(__xludf.DUMMYFUNCTION("""COMPUTED_VALUE"""),"44. Cusco")</f>
        <v>44. Cusco</v>
      </c>
    </row>
    <row r="191" spans="1:32" x14ac:dyDescent="0.2">
      <c r="A191" s="16"/>
      <c r="AC191" s="28"/>
      <c r="AD191" s="28" t="str">
        <f ca="1">IFERROR(__xludf.DUMMYFUNCTION("""COMPUTED_VALUE"""),"Ocongate – Corazón de Jesús")</f>
        <v>Ocongate – Corazón de Jesús</v>
      </c>
      <c r="AE191" s="28" t="str">
        <f ca="1">IFERROR(__xludf.DUMMYFUNCTION("""COMPUTED_VALUE"""),"50492 CORAZON DE JESUS")</f>
        <v>50492 CORAZON DE JESUS</v>
      </c>
      <c r="AF191" s="15" t="str">
        <f ca="1">IFERROR(__xludf.DUMMYFUNCTION("""COMPUTED_VALUE"""),"44. Cusco")</f>
        <v>44. Cusco</v>
      </c>
    </row>
    <row r="192" spans="1:32" x14ac:dyDescent="0.2">
      <c r="A192" s="16"/>
      <c r="AC192" s="28"/>
      <c r="AD192" s="28" t="str">
        <f ca="1">IFERROR(__xludf.DUMMYFUNCTION("""COMPUTED_VALUE"""),"Pacchanta Baja N° 501455")</f>
        <v>Pacchanta Baja N° 501455</v>
      </c>
      <c r="AE192" s="28" t="str">
        <f ca="1">IFERROR(__xludf.DUMMYFUNCTION("""COMPUTED_VALUE"""),"501455 CRISTO REY TTIKARIY")</f>
        <v>501455 CRISTO REY TTIKARIY</v>
      </c>
      <c r="AF192" s="15" t="str">
        <f ca="1">IFERROR(__xludf.DUMMYFUNCTION("""COMPUTED_VALUE"""),"44. Cusco")</f>
        <v>44. Cusco</v>
      </c>
    </row>
    <row r="193" spans="1:32" x14ac:dyDescent="0.2">
      <c r="A193" s="16"/>
      <c r="AC193" s="28"/>
      <c r="AD193" s="28" t="str">
        <f ca="1">IFERROR(__xludf.DUMMYFUNCTION("""COMPUTED_VALUE"""),"Pampacancha Nº 50550")</f>
        <v>Pampacancha Nº 50550</v>
      </c>
      <c r="AE193" s="28" t="str">
        <f ca="1">IFERROR(__xludf.DUMMYFUNCTION("""COMPUTED_VALUE"""),"50550")</f>
        <v>50550</v>
      </c>
      <c r="AF193" s="15" t="str">
        <f ca="1">IFERROR(__xludf.DUMMYFUNCTION("""COMPUTED_VALUE"""),"44. Cusco")</f>
        <v>44. Cusco</v>
      </c>
    </row>
    <row r="194" spans="1:32" x14ac:dyDescent="0.2">
      <c r="A194" s="16"/>
      <c r="AC194" s="28"/>
      <c r="AD194" s="28" t="str">
        <f ca="1">IFERROR(__xludf.DUMMYFUNCTION("""COMPUTED_VALUE"""),"Parccocalla N° 50558")</f>
        <v>Parccocalla N° 50558</v>
      </c>
      <c r="AE194" s="28" t="str">
        <f ca="1">IFERROR(__xludf.DUMMYFUNCTION("""COMPUTED_VALUE"""),"50558")</f>
        <v>50558</v>
      </c>
      <c r="AF194" s="15" t="str">
        <f ca="1">IFERROR(__xludf.DUMMYFUNCTION("""COMPUTED_VALUE"""),"44. Cusco")</f>
        <v>44. Cusco</v>
      </c>
    </row>
    <row r="195" spans="1:32" x14ac:dyDescent="0.2">
      <c r="A195" s="16"/>
      <c r="AC195" s="28"/>
      <c r="AD195" s="28" t="str">
        <f ca="1">IFERROR(__xludf.DUMMYFUNCTION("""COMPUTED_VALUE"""),"Patapallpa Alto Nº 50854")</f>
        <v>Patapallpa Alto Nº 50854</v>
      </c>
      <c r="AE195" s="28" t="str">
        <f ca="1">IFERROR(__xludf.DUMMYFUNCTION("""COMPUTED_VALUE"""),"50854")</f>
        <v>50854</v>
      </c>
      <c r="AF195" s="15" t="str">
        <f ca="1">IFERROR(__xludf.DUMMYFUNCTION("""COMPUTED_VALUE"""),"44. Cusco")</f>
        <v>44. Cusco</v>
      </c>
    </row>
    <row r="196" spans="1:32" x14ac:dyDescent="0.2">
      <c r="A196" s="16"/>
      <c r="AC196" s="28"/>
      <c r="AD196" s="28" t="str">
        <f ca="1">IFERROR(__xludf.DUMMYFUNCTION("""COMPUTED_VALUE"""),"Sallicancha Nº 50765")</f>
        <v>Sallicancha Nº 50765</v>
      </c>
      <c r="AE196" s="28" t="str">
        <f ca="1">IFERROR(__xludf.DUMMYFUNCTION("""COMPUTED_VALUE"""),"50765")</f>
        <v>50765</v>
      </c>
      <c r="AF196" s="15" t="str">
        <f ca="1">IFERROR(__xludf.DUMMYFUNCTION("""COMPUTED_VALUE"""),"44. Cusco")</f>
        <v>44. Cusco</v>
      </c>
    </row>
    <row r="197" spans="1:32" x14ac:dyDescent="0.2">
      <c r="A197" s="16"/>
      <c r="AC197" s="28"/>
      <c r="AD197" s="28" t="str">
        <f ca="1">IFERROR(__xludf.DUMMYFUNCTION("""COMPUTED_VALUE"""),"TINKE N° 50719")</f>
        <v>TINKE N° 50719</v>
      </c>
      <c r="AE197" s="28" t="str">
        <f ca="1">IFERROR(__xludf.DUMMYFUNCTION("""COMPUTED_VALUE"""),"50719 VIRGEN DEL CARMEN")</f>
        <v>50719 VIRGEN DEL CARMEN</v>
      </c>
      <c r="AF197" s="15" t="str">
        <f ca="1">IFERROR(__xludf.DUMMYFUNCTION("""COMPUTED_VALUE"""),"44. Cusco")</f>
        <v>44. Cusco</v>
      </c>
    </row>
    <row r="198" spans="1:32" x14ac:dyDescent="0.2">
      <c r="A198" s="16"/>
      <c r="AC198" s="28"/>
      <c r="AD198" s="28" t="str">
        <f ca="1">IFERROR(__xludf.DUMMYFUNCTION("""COMPUTED_VALUE"""),"Umuto N° 50504")</f>
        <v>Umuto N° 50504</v>
      </c>
      <c r="AE198" s="28" t="str">
        <f ca="1">IFERROR(__xludf.DUMMYFUNCTION("""COMPUTED_VALUE"""),"50504")</f>
        <v>50504</v>
      </c>
      <c r="AF198" s="15" t="str">
        <f ca="1">IFERROR(__xludf.DUMMYFUNCTION("""COMPUTED_VALUE"""),"44. Cusco")</f>
        <v>44. Cusco</v>
      </c>
    </row>
    <row r="199" spans="1:32" x14ac:dyDescent="0.2">
      <c r="A199" s="16"/>
      <c r="AC199" s="28"/>
      <c r="AD199" s="28" t="str">
        <f ca="1">IFERROR(__xludf.DUMMYFUNCTION("""COMPUTED_VALUE"""),"Yanacancha Nº 50796")</f>
        <v>Yanacancha Nº 50796</v>
      </c>
      <c r="AE199" s="28" t="str">
        <f ca="1">IFERROR(__xludf.DUMMYFUNCTION("""COMPUTED_VALUE"""),"50796")</f>
        <v>50796</v>
      </c>
      <c r="AF199" s="15" t="str">
        <f ca="1">IFERROR(__xludf.DUMMYFUNCTION("""COMPUTED_VALUE"""),"44. Cusco")</f>
        <v>44. Cusco</v>
      </c>
    </row>
    <row r="200" spans="1:32" x14ac:dyDescent="0.2">
      <c r="A200" s="16"/>
      <c r="AC200" s="28"/>
      <c r="AD200" s="28" t="str">
        <f ca="1">IFERROR(__xludf.DUMMYFUNCTION("""COMPUTED_VALUE"""),"Parcocalla Sec. Almirante Miguel Grau")</f>
        <v>Parcocalla Sec. Almirante Miguel Grau</v>
      </c>
      <c r="AE200" s="28" t="str">
        <f ca="1">IFERROR(__xludf.DUMMYFUNCTION("""COMPUTED_VALUE"""),"ALMIRANTE MIGUEL GRAU SEMINARIO")</f>
        <v>ALMIRANTE MIGUEL GRAU SEMINARIO</v>
      </c>
      <c r="AF200" s="15" t="str">
        <f ca="1">IFERROR(__xludf.DUMMYFUNCTION("""COMPUTED_VALUE"""),"44. Cusco")</f>
        <v>44. Cusco</v>
      </c>
    </row>
    <row r="201" spans="1:32" x14ac:dyDescent="0.2">
      <c r="A201" s="16"/>
      <c r="AC201" s="28"/>
      <c r="AD201" s="28" t="str">
        <f ca="1">IFERROR(__xludf.DUMMYFUNCTION("""COMPUTED_VALUE"""),"Ccoya Sec. Los Rittis del Alto Andino")</f>
        <v>Ccoya Sec. Los Rittis del Alto Andino</v>
      </c>
      <c r="AE201" s="28" t="str">
        <f ca="1">IFERROR(__xludf.DUMMYFUNCTION("""COMPUTED_VALUE"""),"1457365 LOS RIT'S DEL ALTO ANDINO")</f>
        <v>1457365 LOS RIT'S DEL ALTO ANDINO</v>
      </c>
      <c r="AF201" s="15" t="str">
        <f ca="1">IFERROR(__xludf.DUMMYFUNCTION("""COMPUTED_VALUE"""),"44. Cusco")</f>
        <v>44. Cusco</v>
      </c>
    </row>
    <row r="202" spans="1:32" x14ac:dyDescent="0.2">
      <c r="A202" s="16"/>
      <c r="AC202" s="28"/>
      <c r="AD202" s="28" t="str">
        <f ca="1">IFERROR(__xludf.DUMMYFUNCTION("""COMPUTED_VALUE"""),"Kumuncancha Sec. 501432 Papa Francisco I")</f>
        <v>Kumuncancha Sec. 501432 Papa Francisco I</v>
      </c>
      <c r="AE202" s="28" t="str">
        <f ca="1">IFERROR(__xludf.DUMMYFUNCTION("""COMPUTED_VALUE"""),"501432 PAPA FRANCISCO I")</f>
        <v>501432 PAPA FRANCISCO I</v>
      </c>
      <c r="AF202" s="15" t="str">
        <f ca="1">IFERROR(__xludf.DUMMYFUNCTION("""COMPUTED_VALUE"""),"44. Cusco")</f>
        <v>44. Cusco</v>
      </c>
    </row>
    <row r="203" spans="1:32" x14ac:dyDescent="0.2">
      <c r="A203" s="16"/>
      <c r="AC203" s="28"/>
      <c r="AD203" s="15" t="str">
        <f ca="1">IFERROR(__xludf.DUMMYFUNCTION("""COMPUTED_VALUE"""),"501344 Ccasapata")</f>
        <v>501344 Ccasapata</v>
      </c>
      <c r="AE203" s="28" t="str">
        <f ca="1">IFERROR(__xludf.DUMMYFUNCTION("""COMPUTED_VALUE"""),"501344")</f>
        <v>501344</v>
      </c>
      <c r="AF203" s="28" t="str">
        <f ca="1">IFERROR(__xludf.DUMMYFUNCTION("""COMPUTED_VALUE"""),"44. Cusco")</f>
        <v>44. Cusco</v>
      </c>
    </row>
    <row r="204" spans="1:32" x14ac:dyDescent="0.2">
      <c r="A204" s="16"/>
      <c r="AC204" s="28"/>
      <c r="AD204" s="15" t="str">
        <f ca="1">IFERROR(__xludf.DUMMYFUNCTION("""COMPUTED_VALUE"""),"501455 Cristo Rey Ttikariy- Pacchanta Baja")</f>
        <v>501455 Cristo Rey Ttikariy- Pacchanta Baja</v>
      </c>
      <c r="AE204" s="28" t="str">
        <f ca="1">IFERROR(__xludf.DUMMYFUNCTION("""COMPUTED_VALUE"""),"501455 CRISTO REY TTIKARIY")</f>
        <v>501455 CRISTO REY TTIKARIY</v>
      </c>
      <c r="AF204" s="28" t="str">
        <f ca="1">IFERROR(__xludf.DUMMYFUNCTION("""COMPUTED_VALUE"""),"44. Cusco")</f>
        <v>44. Cusco</v>
      </c>
    </row>
    <row r="205" spans="1:32" x14ac:dyDescent="0.2">
      <c r="A205" s="16"/>
      <c r="AC205" s="28"/>
      <c r="AD205" s="15" t="str">
        <f ca="1">IFERROR(__xludf.DUMMYFUNCTION("""COMPUTED_VALUE"""),"50492 ""Corazón de Jesús"" Ocongate")</f>
        <v>50492 "Corazón de Jesús" Ocongate</v>
      </c>
      <c r="AE205" s="28" t="str">
        <f ca="1">IFERROR(__xludf.DUMMYFUNCTION("""COMPUTED_VALUE"""),"50492 CORAZON DE JESUS")</f>
        <v>50492 CORAZON DE JESUS</v>
      </c>
      <c r="AF205" s="28" t="str">
        <f ca="1">IFERROR(__xludf.DUMMYFUNCTION("""COMPUTED_VALUE"""),"44. Cusco")</f>
        <v>44. Cusco</v>
      </c>
    </row>
    <row r="206" spans="1:32" x14ac:dyDescent="0.2">
      <c r="A206" s="16"/>
      <c r="AC206" s="28"/>
      <c r="AD206" s="15" t="str">
        <f ca="1">IFERROR(__xludf.DUMMYFUNCTION("""COMPUTED_VALUE"""),"50552 Tupac Amaru II - Huacatinco")</f>
        <v>50552 Tupac Amaru II - Huacatinco</v>
      </c>
      <c r="AE206" s="28" t="str">
        <f ca="1">IFERROR(__xludf.DUMMYFUNCTION("""COMPUTED_VALUE"""),"50552 TUPAC AMARU II")</f>
        <v>50552 TUPAC AMARU II</v>
      </c>
      <c r="AF206" s="28" t="str">
        <f ca="1">IFERROR(__xludf.DUMMYFUNCTION("""COMPUTED_VALUE"""),"44. Cusco")</f>
        <v>44. Cusco</v>
      </c>
    </row>
    <row r="207" spans="1:32" x14ac:dyDescent="0.2">
      <c r="A207" s="16"/>
      <c r="AC207" s="28"/>
      <c r="AD207" s="15" t="str">
        <f ca="1">IFERROR(__xludf.DUMMYFUNCTION("""COMPUTED_VALUE"""),"50719 Virgen del Carmen de Tinke")</f>
        <v>50719 Virgen del Carmen de Tinke</v>
      </c>
      <c r="AE207" s="28" t="str">
        <f ca="1">IFERROR(__xludf.DUMMYFUNCTION("""COMPUTED_VALUE"""),"50719 VIRGEN DEL CARMEN")</f>
        <v>50719 VIRGEN DEL CARMEN</v>
      </c>
      <c r="AF207" s="28" t="str">
        <f ca="1">IFERROR(__xludf.DUMMYFUNCTION("""COMPUTED_VALUE"""),"44. Cusco")</f>
        <v>44. Cusco</v>
      </c>
    </row>
    <row r="208" spans="1:32" x14ac:dyDescent="0.2">
      <c r="A208" s="16"/>
      <c r="AC208" s="28"/>
      <c r="AD208" s="15" t="str">
        <f ca="1">IFERROR(__xludf.DUMMYFUNCTION("""COMPUTED_VALUE"""),"50854 Patapallpa Alta")</f>
        <v>50854 Patapallpa Alta</v>
      </c>
      <c r="AE208" s="28" t="str">
        <f ca="1">IFERROR(__xludf.DUMMYFUNCTION("""COMPUTED_VALUE"""),"50854")</f>
        <v>50854</v>
      </c>
      <c r="AF208" s="28" t="str">
        <f ca="1">IFERROR(__xludf.DUMMYFUNCTION("""COMPUTED_VALUE"""),"44. Cusco")</f>
        <v>44. Cusco</v>
      </c>
    </row>
    <row r="209" spans="1:32" x14ac:dyDescent="0.2">
      <c r="A209" s="16"/>
      <c r="AC209" s="28"/>
      <c r="AD209" s="28" t="str">
        <f ca="1">IFERROR(__xludf.DUMMYFUNCTION("""COMPUTED_VALUE"""),"50715 Llachi")</f>
        <v>50715 Llachi</v>
      </c>
      <c r="AE209" s="28" t="str">
        <f ca="1">IFERROR(__xludf.DUMMYFUNCTION("""COMPUTED_VALUE"""),"50715")</f>
        <v>50715</v>
      </c>
      <c r="AF209" s="28" t="str">
        <f ca="1">IFERROR(__xludf.DUMMYFUNCTION("""COMPUTED_VALUE"""),"44. Cusco")</f>
        <v>44. Cusco</v>
      </c>
    </row>
    <row r="210" spans="1:32" x14ac:dyDescent="0.2">
      <c r="A210" s="16"/>
      <c r="AC210" s="28"/>
      <c r="AD210" s="28" t="str">
        <f ca="1">IFERROR(__xludf.DUMMYFUNCTION("""COMPUTED_VALUE"""),"50765 Sallicancha")</f>
        <v>50765 Sallicancha</v>
      </c>
      <c r="AE210" s="28" t="str">
        <f ca="1">IFERROR(__xludf.DUMMYFUNCTION("""COMPUTED_VALUE"""),"50765")</f>
        <v>50765</v>
      </c>
      <c r="AF210" s="28" t="str">
        <f ca="1">IFERROR(__xludf.DUMMYFUNCTION("""COMPUTED_VALUE"""),"44. Cusco")</f>
        <v>44. Cusco</v>
      </c>
    </row>
    <row r="211" spans="1:32" x14ac:dyDescent="0.2">
      <c r="A211" s="16"/>
      <c r="AC211" s="28"/>
      <c r="AD211" s="28" t="str">
        <f ca="1">IFERROR(__xludf.DUMMYFUNCTION("""COMPUTED_VALUE"""),"50796 Yanacancha")</f>
        <v>50796 Yanacancha</v>
      </c>
      <c r="AE211" s="28" t="str">
        <f ca="1">IFERROR(__xludf.DUMMYFUNCTION("""COMPUTED_VALUE"""),"50796")</f>
        <v>50796</v>
      </c>
      <c r="AF211" s="28" t="str">
        <f ca="1">IFERROR(__xludf.DUMMYFUNCTION("""COMPUTED_VALUE"""),"44. Cusco")</f>
        <v>44. Cusco</v>
      </c>
    </row>
    <row r="212" spans="1:32" x14ac:dyDescent="0.2">
      <c r="A212" s="16"/>
      <c r="AC212" s="28"/>
      <c r="AD212" s="28" t="str">
        <f ca="1">IFERROR(__xludf.DUMMYFUNCTION("""COMPUTED_VALUE"""),"50495 Ccapana ")</f>
        <v xml:space="preserve">50495 Ccapana </v>
      </c>
      <c r="AE212" s="28" t="str">
        <f ca="1">IFERROR(__xludf.DUMMYFUNCTION("""COMPUTED_VALUE"""),"50495")</f>
        <v>50495</v>
      </c>
      <c r="AF212" s="28" t="str">
        <f ca="1">IFERROR(__xludf.DUMMYFUNCTION("""COMPUTED_VALUE"""),"44. Cusco")</f>
        <v>44. Cusco</v>
      </c>
    </row>
    <row r="213" spans="1:32" x14ac:dyDescent="0.2">
      <c r="A213" s="16"/>
      <c r="AC213" s="28"/>
      <c r="AD213" s="28" t="str">
        <f ca="1">IFERROR(__xludf.DUMMYFUNCTION("""COMPUTED_VALUE"""),"50504 Umuto")</f>
        <v>50504 Umuto</v>
      </c>
      <c r="AE213" s="28" t="str">
        <f ca="1">IFERROR(__xludf.DUMMYFUNCTION("""COMPUTED_VALUE"""),"50504")</f>
        <v>50504</v>
      </c>
      <c r="AF213" s="28" t="str">
        <f ca="1">IFERROR(__xludf.DUMMYFUNCTION("""COMPUTED_VALUE"""),"44. Cusco")</f>
        <v>44. Cusco</v>
      </c>
    </row>
    <row r="214" spans="1:32" x14ac:dyDescent="0.2">
      <c r="A214" s="16"/>
      <c r="AC214" s="28"/>
      <c r="AD214" s="28" t="str">
        <f ca="1">IFERROR(__xludf.DUMMYFUNCTION("""COMPUTED_VALUE"""),"50535 Huarahuara")</f>
        <v>50535 Huarahuara</v>
      </c>
      <c r="AE214" s="28" t="str">
        <f ca="1">IFERROR(__xludf.DUMMYFUNCTION("""COMPUTED_VALUE"""),"50535")</f>
        <v>50535</v>
      </c>
      <c r="AF214" s="28" t="str">
        <f ca="1">IFERROR(__xludf.DUMMYFUNCTION("""COMPUTED_VALUE"""),"44. Cusco")</f>
        <v>44. Cusco</v>
      </c>
    </row>
    <row r="215" spans="1:32" x14ac:dyDescent="0.2">
      <c r="A215" s="16"/>
      <c r="AC215" s="28"/>
      <c r="AD215" s="28" t="str">
        <f ca="1">IFERROR(__xludf.DUMMYFUNCTION("""COMPUTED_VALUE"""),"50536 Ccoñamuro")</f>
        <v>50536 Ccoñamuro</v>
      </c>
      <c r="AE215" s="28" t="str">
        <f ca="1">IFERROR(__xludf.DUMMYFUNCTION("""COMPUTED_VALUE"""),"50536")</f>
        <v>50536</v>
      </c>
      <c r="AF215" s="28" t="str">
        <f ca="1">IFERROR(__xludf.DUMMYFUNCTION("""COMPUTED_VALUE"""),"44. Cusco")</f>
        <v>44. Cusco</v>
      </c>
    </row>
    <row r="216" spans="1:32" x14ac:dyDescent="0.2">
      <c r="A216" s="16"/>
      <c r="AC216" s="28"/>
      <c r="AD216" s="28" t="str">
        <f ca="1">IFERROR(__xludf.DUMMYFUNCTION("""COMPUTED_VALUE"""),"50553 Marampaqui ")</f>
        <v xml:space="preserve">50553 Marampaqui </v>
      </c>
      <c r="AE216" s="28" t="str">
        <f ca="1">IFERROR(__xludf.DUMMYFUNCTION("""COMPUTED_VALUE"""),"50553")</f>
        <v>50553</v>
      </c>
      <c r="AF216" s="28" t="str">
        <f ca="1">IFERROR(__xludf.DUMMYFUNCTION("""COMPUTED_VALUE"""),"44. Cusco")</f>
        <v>44. Cusco</v>
      </c>
    </row>
    <row r="217" spans="1:32" x14ac:dyDescent="0.2">
      <c r="A217" s="16"/>
      <c r="AC217" s="28"/>
      <c r="AD217" s="28" t="str">
        <f ca="1">IFERROR(__xludf.DUMMYFUNCTION("""COMPUTED_VALUE"""),"50912 Cuyuni")</f>
        <v>50912 Cuyuni</v>
      </c>
      <c r="AE217" s="28" t="str">
        <f ca="1">IFERROR(__xludf.DUMMYFUNCTION("""COMPUTED_VALUE"""),"50912")</f>
        <v>50912</v>
      </c>
      <c r="AF217" s="28" t="str">
        <f ca="1">IFERROR(__xludf.DUMMYFUNCTION("""COMPUTED_VALUE"""),"44. Cusco")</f>
        <v>44. Cusco</v>
      </c>
    </row>
    <row r="218" spans="1:32" x14ac:dyDescent="0.2">
      <c r="A218" s="16"/>
      <c r="AC218" s="28"/>
      <c r="AD218" s="28" t="str">
        <f ca="1">IFERROR(__xludf.DUMMYFUNCTION("""COMPUTED_VALUE"""),"50976 Lloqueta")</f>
        <v>50976 Lloqueta</v>
      </c>
      <c r="AE218" s="28" t="str">
        <f ca="1">IFERROR(__xludf.DUMMYFUNCTION("""COMPUTED_VALUE"""),"50976")</f>
        <v>50976</v>
      </c>
      <c r="AF218" s="28" t="str">
        <f ca="1">IFERROR(__xludf.DUMMYFUNCTION("""COMPUTED_VALUE"""),"44. Cusco")</f>
        <v>44. Cusco</v>
      </c>
    </row>
    <row r="219" spans="1:32" x14ac:dyDescent="0.2">
      <c r="A219" s="16"/>
      <c r="AC219" s="28"/>
      <c r="AD219" s="28" t="str">
        <f ca="1">IFERROR(__xludf.DUMMYFUNCTION("""COMPUTED_VALUE"""),"501432 PAPA FRANCISCO I - Kumuncancha ")</f>
        <v xml:space="preserve">501432 PAPA FRANCISCO I - Kumuncancha </v>
      </c>
      <c r="AE219" s="28" t="str">
        <f ca="1">IFERROR(__xludf.DUMMYFUNCTION("""COMPUTED_VALUE"""),"501432 PAPA FRANCISCO I")</f>
        <v>501432 PAPA FRANCISCO I</v>
      </c>
      <c r="AF219" s="28" t="str">
        <f ca="1">IFERROR(__xludf.DUMMYFUNCTION("""COMPUTED_VALUE"""),"44. Cusco")</f>
        <v>44. Cusco</v>
      </c>
    </row>
    <row r="220" spans="1:32" x14ac:dyDescent="0.2">
      <c r="A220" s="16"/>
      <c r="AC220" s="28"/>
      <c r="AD220" s="28" t="str">
        <f ca="1">IFERROR(__xludf.DUMMYFUNCTION("""COMPUTED_VALUE"""),"ALMIRANTE MIGUEL GRAU SEMINARIO")</f>
        <v>ALMIRANTE MIGUEL GRAU SEMINARIO</v>
      </c>
      <c r="AE220" s="28" t="str">
        <f ca="1">IFERROR(__xludf.DUMMYFUNCTION("""COMPUTED_VALUE"""),"ALMIRANTE MIGUEL GRAU SEMINARIO")</f>
        <v>ALMIRANTE MIGUEL GRAU SEMINARIO</v>
      </c>
      <c r="AF220" s="28" t="str">
        <f ca="1">IFERROR(__xludf.DUMMYFUNCTION("""COMPUTED_VALUE"""),"44. Cusco")</f>
        <v>44. Cusco</v>
      </c>
    </row>
    <row r="221" spans="1:32" x14ac:dyDescent="0.2">
      <c r="A221" s="16"/>
      <c r="AC221" s="28"/>
      <c r="AD221" s="28" t="str">
        <f ca="1">IFERROR(__xludf.DUMMYFUNCTION("""COMPUTED_VALUE"""),"LOS RIT'S DEL ALTO ANDINO")</f>
        <v>LOS RIT'S DEL ALTO ANDINO</v>
      </c>
      <c r="AE221" s="28" t="str">
        <f ca="1">IFERROR(__xludf.DUMMYFUNCTION("""COMPUTED_VALUE"""),"1457365 LOS RIT'S DEL ALTO ANDINO")</f>
        <v>1457365 LOS RIT'S DEL ALTO ANDINO</v>
      </c>
      <c r="AF221" s="28" t="str">
        <f ca="1">IFERROR(__xludf.DUMMYFUNCTION("""COMPUTED_VALUE"""),"44. Cusco")</f>
        <v>44. Cusco</v>
      </c>
    </row>
    <row r="222" spans="1:32" x14ac:dyDescent="0.2">
      <c r="A222" s="16"/>
      <c r="AC222" s="28"/>
      <c r="AD222" s="28" t="str">
        <f ca="1">IFERROR(__xludf.DUMMYFUNCTION("""COMPUTED_VALUE"""),"6010230 BARBARA D'ACHILLE")</f>
        <v>6010230 BARBARA D'ACHILLE</v>
      </c>
      <c r="AE222" s="28" t="str">
        <f ca="1">IFERROR(__xludf.DUMMYFUNCTION("""COMPUTED_VALUE"""),"6010230 BARBARA D'ACHILLE")</f>
        <v>6010230 BARBARA D'ACHILLE</v>
      </c>
      <c r="AF222" s="28" t="str">
        <f ca="1">IFERROR(__xludf.DUMMYFUNCTION("""COMPUTED_VALUE"""),"47. Loreto")</f>
        <v>47. Loreto</v>
      </c>
    </row>
    <row r="223" spans="1:32" x14ac:dyDescent="0.2">
      <c r="A223" s="16"/>
      <c r="AC223" s="28"/>
      <c r="AD223" s="28" t="str">
        <f ca="1">IFERROR(__xludf.DUMMYFUNCTION("""COMPUTED_VALUE"""),"60136")</f>
        <v>60136</v>
      </c>
      <c r="AE223" s="28" t="str">
        <f ca="1">IFERROR(__xludf.DUMMYFUNCTION("""COMPUTED_VALUE"""),"60136")</f>
        <v>60136</v>
      </c>
      <c r="AF223" s="28" t="str">
        <f ca="1">IFERROR(__xludf.DUMMYFUNCTION("""COMPUTED_VALUE"""),"47. Loreto")</f>
        <v>47. Loreto</v>
      </c>
    </row>
    <row r="224" spans="1:32" x14ac:dyDescent="0.2">
      <c r="A224" s="16"/>
      <c r="AC224" s="28"/>
      <c r="AD224" s="28" t="str">
        <f ca="1">IFERROR(__xludf.DUMMYFUNCTION("""COMPUTED_VALUE"""),"60181")</f>
        <v>60181</v>
      </c>
      <c r="AE224" s="28" t="str">
        <f ca="1">IFERROR(__xludf.DUMMYFUNCTION("""COMPUTED_VALUE"""),"60181")</f>
        <v>60181</v>
      </c>
      <c r="AF224" s="28" t="str">
        <f ca="1">IFERROR(__xludf.DUMMYFUNCTION("""COMPUTED_VALUE"""),"47. Loreto")</f>
        <v>47. Loreto</v>
      </c>
    </row>
    <row r="225" spans="1:32" x14ac:dyDescent="0.2">
      <c r="A225" s="16"/>
      <c r="AC225" s="28"/>
      <c r="AD225" s="28" t="str">
        <f ca="1">IFERROR(__xludf.DUMMYFUNCTION("""COMPUTED_VALUE"""),"601330")</f>
        <v>601330</v>
      </c>
      <c r="AE225" s="28" t="str">
        <f ca="1">IFERROR(__xludf.DUMMYFUNCTION("""COMPUTED_VALUE"""),"601330")</f>
        <v>601330</v>
      </c>
      <c r="AF225" s="28" t="str">
        <f ca="1">IFERROR(__xludf.DUMMYFUNCTION("""COMPUTED_VALUE"""),"47. Loreto")</f>
        <v>47. Loreto</v>
      </c>
    </row>
    <row r="226" spans="1:32" x14ac:dyDescent="0.2">
      <c r="A226" s="16"/>
      <c r="AC226" s="28"/>
      <c r="AD226" s="28" t="str">
        <f ca="1">IFERROR(__xludf.DUMMYFUNCTION("""COMPUTED_VALUE"""),"601391")</f>
        <v>601391</v>
      </c>
      <c r="AE226" s="28" t="str">
        <f ca="1">IFERROR(__xludf.DUMMYFUNCTION("""COMPUTED_VALUE"""),"601391")</f>
        <v>601391</v>
      </c>
      <c r="AF226" s="28" t="str">
        <f ca="1">IFERROR(__xludf.DUMMYFUNCTION("""COMPUTED_VALUE"""),"47. Loreto")</f>
        <v>47. Loreto</v>
      </c>
    </row>
    <row r="227" spans="1:32" x14ac:dyDescent="0.2">
      <c r="A227" s="16"/>
      <c r="AC227" s="28"/>
      <c r="AD227" s="28" t="str">
        <f ca="1">IFERROR(__xludf.DUMMYFUNCTION("""COMPUTED_VALUE"""),"601444")</f>
        <v>601444</v>
      </c>
      <c r="AE227" s="28" t="str">
        <f ca="1">IFERROR(__xludf.DUMMYFUNCTION("""COMPUTED_VALUE"""),"601444")</f>
        <v>601444</v>
      </c>
      <c r="AF227" s="28" t="str">
        <f ca="1">IFERROR(__xludf.DUMMYFUNCTION("""COMPUTED_VALUE"""),"47. Loreto")</f>
        <v>47. Loreto</v>
      </c>
    </row>
    <row r="228" spans="1:32" x14ac:dyDescent="0.2">
      <c r="A228" s="16"/>
      <c r="AC228" s="28"/>
      <c r="AD228" s="28" t="str">
        <f ca="1">IFERROR(__xludf.DUMMYFUNCTION("""COMPUTED_VALUE"""),"601511")</f>
        <v>601511</v>
      </c>
      <c r="AE228" s="28" t="str">
        <f ca="1">IFERROR(__xludf.DUMMYFUNCTION("""COMPUTED_VALUE"""),"601511")</f>
        <v>601511</v>
      </c>
      <c r="AF228" s="28" t="str">
        <f ca="1">IFERROR(__xludf.DUMMYFUNCTION("""COMPUTED_VALUE"""),"47. Loreto")</f>
        <v>47. Loreto</v>
      </c>
    </row>
    <row r="229" spans="1:32" x14ac:dyDescent="0.2">
      <c r="A229" s="16"/>
      <c r="AC229" s="28"/>
      <c r="AD229" s="28" t="str">
        <f ca="1">IFERROR(__xludf.DUMMYFUNCTION("""COMPUTED_VALUE"""),"601563")</f>
        <v>601563</v>
      </c>
      <c r="AE229" s="28" t="str">
        <f ca="1">IFERROR(__xludf.DUMMYFUNCTION("""COMPUTED_VALUE"""),"601563")</f>
        <v>601563</v>
      </c>
      <c r="AF229" s="28" t="str">
        <f ca="1">IFERROR(__xludf.DUMMYFUNCTION("""COMPUTED_VALUE"""),"47. Loreto")</f>
        <v>47. Loreto</v>
      </c>
    </row>
    <row r="230" spans="1:32" x14ac:dyDescent="0.2">
      <c r="A230" s="16"/>
      <c r="AC230" s="28"/>
      <c r="AD230" s="28" t="str">
        <f ca="1">IFERROR(__xludf.DUMMYFUNCTION("""COMPUTED_VALUE"""),"601570")</f>
        <v>601570</v>
      </c>
      <c r="AE230" s="28" t="str">
        <f ca="1">IFERROR(__xludf.DUMMYFUNCTION("""COMPUTED_VALUE"""),"601570")</f>
        <v>601570</v>
      </c>
      <c r="AF230" s="28" t="str">
        <f ca="1">IFERROR(__xludf.DUMMYFUNCTION("""COMPUTED_VALUE"""),"47. Loreto")</f>
        <v>47. Loreto</v>
      </c>
    </row>
    <row r="231" spans="1:32" x14ac:dyDescent="0.2">
      <c r="A231" s="16"/>
      <c r="AC231" s="28"/>
      <c r="AD231" s="28" t="str">
        <f ca="1">IFERROR(__xludf.DUMMYFUNCTION("""COMPUTED_VALUE"""),"601571")</f>
        <v>601571</v>
      </c>
      <c r="AE231" s="28" t="str">
        <f ca="1">IFERROR(__xludf.DUMMYFUNCTION("""COMPUTED_VALUE"""),"601571")</f>
        <v>601571</v>
      </c>
      <c r="AF231" s="28" t="str">
        <f ca="1">IFERROR(__xludf.DUMMYFUNCTION("""COMPUTED_VALUE"""),"47. Loreto")</f>
        <v>47. Loreto</v>
      </c>
    </row>
    <row r="232" spans="1:32" x14ac:dyDescent="0.2">
      <c r="A232" s="16"/>
      <c r="AC232" s="28"/>
      <c r="AD232" s="28" t="str">
        <f ca="1">IFERROR(__xludf.DUMMYFUNCTION("""COMPUTED_VALUE"""),"601580")</f>
        <v>601580</v>
      </c>
      <c r="AE232" s="28" t="str">
        <f ca="1">IFERROR(__xludf.DUMMYFUNCTION("""COMPUTED_VALUE"""),"601580")</f>
        <v>601580</v>
      </c>
      <c r="AF232" s="28" t="str">
        <f ca="1">IFERROR(__xludf.DUMMYFUNCTION("""COMPUTED_VALUE"""),"47. Loreto")</f>
        <v>47. Loreto</v>
      </c>
    </row>
    <row r="233" spans="1:32" x14ac:dyDescent="0.2">
      <c r="A233" s="16"/>
      <c r="AC233" s="28"/>
      <c r="AD233" s="28" t="str">
        <f ca="1">IFERROR(__xludf.DUMMYFUNCTION("""COMPUTED_VALUE"""),"601678")</f>
        <v>601678</v>
      </c>
      <c r="AE233" s="28" t="str">
        <f ca="1">IFERROR(__xludf.DUMMYFUNCTION("""COMPUTED_VALUE"""),"601678")</f>
        <v>601678</v>
      </c>
      <c r="AF233" s="28" t="str">
        <f ca="1">IFERROR(__xludf.DUMMYFUNCTION("""COMPUTED_VALUE"""),"47. Loreto")</f>
        <v>47. Loreto</v>
      </c>
    </row>
    <row r="234" spans="1:32" x14ac:dyDescent="0.2">
      <c r="A234" s="16"/>
      <c r="AC234" s="28"/>
      <c r="AD234" s="28" t="str">
        <f ca="1">IFERROR(__xludf.DUMMYFUNCTION("""COMPUTED_VALUE"""),"6010102")</f>
        <v>6010102</v>
      </c>
      <c r="AE234" s="28" t="str">
        <f ca="1">IFERROR(__xludf.DUMMYFUNCTION("""COMPUTED_VALUE"""),"6010102")</f>
        <v>6010102</v>
      </c>
      <c r="AF234" s="28" t="str">
        <f ca="1">IFERROR(__xludf.DUMMYFUNCTION("""COMPUTED_VALUE"""),"47. Loreto")</f>
        <v>47. Loreto</v>
      </c>
    </row>
    <row r="235" spans="1:32" x14ac:dyDescent="0.2">
      <c r="A235" s="16"/>
      <c r="AC235" s="28"/>
      <c r="AD235" s="28" t="str">
        <f ca="1">IFERROR(__xludf.DUMMYFUNCTION("""COMPUTED_VALUE"""),"6010178")</f>
        <v>6010178</v>
      </c>
      <c r="AE235" s="28" t="str">
        <f ca="1">IFERROR(__xludf.DUMMYFUNCTION("""COMPUTED_VALUE"""),"6010178")</f>
        <v>6010178</v>
      </c>
      <c r="AF235" s="28" t="str">
        <f ca="1">IFERROR(__xludf.DUMMYFUNCTION("""COMPUTED_VALUE"""),"47. Loreto")</f>
        <v>47. Loreto</v>
      </c>
    </row>
    <row r="236" spans="1:32" x14ac:dyDescent="0.2">
      <c r="A236" s="16"/>
      <c r="AC236" s="28"/>
      <c r="AD236" s="28" t="str">
        <f ca="1">IFERROR(__xludf.DUMMYFUNCTION("""COMPUTED_VALUE"""),"6010231")</f>
        <v>6010231</v>
      </c>
      <c r="AE236" s="28" t="str">
        <f ca="1">IFERROR(__xludf.DUMMYFUNCTION("""COMPUTED_VALUE"""),"6010231")</f>
        <v>6010231</v>
      </c>
      <c r="AF236" s="28" t="str">
        <f ca="1">IFERROR(__xludf.DUMMYFUNCTION("""COMPUTED_VALUE"""),"47. Loreto")</f>
        <v>47. Loreto</v>
      </c>
    </row>
    <row r="237" spans="1:32" x14ac:dyDescent="0.2">
      <c r="A237" s="16"/>
      <c r="AC237" s="28"/>
      <c r="AD237" s="28" t="str">
        <f ca="1">IFERROR(__xludf.DUMMYFUNCTION("""COMPUTED_VALUE"""),"475")</f>
        <v>475</v>
      </c>
      <c r="AE237" s="28" t="str">
        <f ca="1">IFERROR(__xludf.DUMMYFUNCTION("""COMPUTED_VALUE"""),"475")</f>
        <v>475</v>
      </c>
      <c r="AF237" s="28" t="str">
        <f ca="1">IFERROR(__xludf.DUMMYFUNCTION("""COMPUTED_VALUE"""),"47. Loreto")</f>
        <v>47. Loreto</v>
      </c>
    </row>
    <row r="238" spans="1:32" x14ac:dyDescent="0.2">
      <c r="A238" s="16"/>
      <c r="AC238" s="28"/>
      <c r="AD238" s="28" t="str">
        <f ca="1">IFERROR(__xludf.DUMMYFUNCTION("""COMPUTED_VALUE"""),"404")</f>
        <v>404</v>
      </c>
      <c r="AE238" s="28" t="str">
        <f ca="1">IFERROR(__xludf.DUMMYFUNCTION("""COMPUTED_VALUE"""),"404")</f>
        <v>404</v>
      </c>
      <c r="AF238" s="28" t="str">
        <f ca="1">IFERROR(__xludf.DUMMYFUNCTION("""COMPUTED_VALUE"""),"47. Loreto")</f>
        <v>47. Loreto</v>
      </c>
    </row>
    <row r="239" spans="1:32" x14ac:dyDescent="0.2">
      <c r="A239" s="16"/>
      <c r="AC239" s="28"/>
      <c r="AD239" s="28" t="str">
        <f ca="1">IFERROR(__xludf.DUMMYFUNCTION("""COMPUTED_VALUE"""),"405")</f>
        <v>405</v>
      </c>
      <c r="AE239" s="28" t="str">
        <f ca="1">IFERROR(__xludf.DUMMYFUNCTION("""COMPUTED_VALUE"""),"405")</f>
        <v>405</v>
      </c>
      <c r="AF239" s="28" t="str">
        <f ca="1">IFERROR(__xludf.DUMMYFUNCTION("""COMPUTED_VALUE"""),"47. Loreto")</f>
        <v>47. Loreto</v>
      </c>
    </row>
    <row r="240" spans="1:32" x14ac:dyDescent="0.2">
      <c r="A240" s="16"/>
      <c r="AC240" s="28"/>
      <c r="AD240" s="28" t="str">
        <f ca="1">IFERROR(__xludf.DUMMYFUNCTION("""COMPUTED_VALUE"""),"536 MI CASITA DEL SABER")</f>
        <v>536 MI CASITA DEL SABER</v>
      </c>
      <c r="AE240" s="28" t="str">
        <f ca="1">IFERROR(__xludf.DUMMYFUNCTION("""COMPUTED_VALUE"""),"536")</f>
        <v>536</v>
      </c>
      <c r="AF240" s="28" t="str">
        <f ca="1">IFERROR(__xludf.DUMMYFUNCTION("""COMPUTED_VALUE"""),"47. Loreto")</f>
        <v>47. Loreto</v>
      </c>
    </row>
    <row r="241" spans="1:32" x14ac:dyDescent="0.2">
      <c r="A241" s="16"/>
      <c r="AC241" s="28"/>
      <c r="AD241" s="28" t="str">
        <f ca="1">IFERROR(__xludf.DUMMYFUNCTION("""COMPUTED_VALUE"""),"538")</f>
        <v>538</v>
      </c>
      <c r="AE241" s="28" t="str">
        <f ca="1">IFERROR(__xludf.DUMMYFUNCTION("""COMPUTED_VALUE"""),"538")</f>
        <v>538</v>
      </c>
      <c r="AF241" s="28" t="str">
        <f ca="1">IFERROR(__xludf.DUMMYFUNCTION("""COMPUTED_VALUE"""),"47. Loreto")</f>
        <v>47. Loreto</v>
      </c>
    </row>
    <row r="242" spans="1:32" x14ac:dyDescent="0.2">
      <c r="A242" s="16"/>
      <c r="AC242" s="28"/>
      <c r="AD242" s="28" t="str">
        <f ca="1">IFERROR(__xludf.DUMMYFUNCTION("""COMPUTED_VALUE"""),"573")</f>
        <v>573</v>
      </c>
      <c r="AE242" s="28" t="str">
        <f ca="1">IFERROR(__xludf.DUMMYFUNCTION("""COMPUTED_VALUE"""),"573")</f>
        <v>573</v>
      </c>
      <c r="AF242" s="28" t="str">
        <f ca="1">IFERROR(__xludf.DUMMYFUNCTION("""COMPUTED_VALUE"""),"47. Loreto")</f>
        <v>47. Loreto</v>
      </c>
    </row>
    <row r="243" spans="1:32" x14ac:dyDescent="0.2">
      <c r="A243" s="16"/>
      <c r="AC243" s="28"/>
      <c r="AD243" s="28" t="str">
        <f ca="1">IFERROR(__xludf.DUMMYFUNCTION("""COMPUTED_VALUE"""),"604")</f>
        <v>604</v>
      </c>
      <c r="AE243" s="28" t="str">
        <f ca="1">IFERROR(__xludf.DUMMYFUNCTION("""COMPUTED_VALUE"""),"604")</f>
        <v>604</v>
      </c>
      <c r="AF243" s="28" t="str">
        <f ca="1">IFERROR(__xludf.DUMMYFUNCTION("""COMPUTED_VALUE"""),"47. Loreto")</f>
        <v>47. Loreto</v>
      </c>
    </row>
    <row r="244" spans="1:32" x14ac:dyDescent="0.2">
      <c r="A244" s="16"/>
      <c r="AC244" s="28"/>
      <c r="AD244" s="28" t="str">
        <f ca="1">IFERROR(__xludf.DUMMYFUNCTION("""COMPUTED_VALUE"""),"656")</f>
        <v>656</v>
      </c>
      <c r="AE244" s="28" t="str">
        <f ca="1">IFERROR(__xludf.DUMMYFUNCTION("""COMPUTED_VALUE"""),"656")</f>
        <v>656</v>
      </c>
      <c r="AF244" s="28" t="str">
        <f ca="1">IFERROR(__xludf.DUMMYFUNCTION("""COMPUTED_VALUE"""),"47. Loreto")</f>
        <v>47. Loreto</v>
      </c>
    </row>
    <row r="245" spans="1:32" x14ac:dyDescent="0.2">
      <c r="A245" s="16"/>
      <c r="AC245" s="28"/>
      <c r="AD245" s="28" t="str">
        <f ca="1">IFERROR(__xludf.DUMMYFUNCTION("""COMPUTED_VALUE"""),"678")</f>
        <v>678</v>
      </c>
      <c r="AE245" s="28" t="str">
        <f ca="1">IFERROR(__xludf.DUMMYFUNCTION("""COMPUTED_VALUE"""),"678")</f>
        <v>678</v>
      </c>
      <c r="AF245" s="28" t="str">
        <f ca="1">IFERROR(__xludf.DUMMYFUNCTION("""COMPUTED_VALUE"""),"47. Loreto")</f>
        <v>47. Loreto</v>
      </c>
    </row>
    <row r="246" spans="1:32" x14ac:dyDescent="0.2">
      <c r="A246" s="16"/>
      <c r="AC246" s="28"/>
      <c r="AD246" s="28" t="str">
        <f ca="1">IFERROR(__xludf.DUMMYFUNCTION("""COMPUTED_VALUE"""),"852")</f>
        <v>852</v>
      </c>
      <c r="AE246" s="28" t="str">
        <f ca="1">IFERROR(__xludf.DUMMYFUNCTION("""COMPUTED_VALUE"""),"852")</f>
        <v>852</v>
      </c>
      <c r="AF246" s="28" t="str">
        <f ca="1">IFERROR(__xludf.DUMMYFUNCTION("""COMPUTED_VALUE"""),"47. Loreto")</f>
        <v>47. Loreto</v>
      </c>
    </row>
    <row r="247" spans="1:32" x14ac:dyDescent="0.2">
      <c r="A247" s="16"/>
      <c r="AC247" s="28"/>
      <c r="AD247" s="28" t="str">
        <f ca="1">IFERROR(__xludf.DUMMYFUNCTION("""COMPUTED_VALUE"""),"809")</f>
        <v>809</v>
      </c>
      <c r="AE247" s="28" t="str">
        <f ca="1">IFERROR(__xludf.DUMMYFUNCTION("""COMPUTED_VALUE"""),"809")</f>
        <v>809</v>
      </c>
      <c r="AF247" s="28" t="str">
        <f ca="1">IFERROR(__xludf.DUMMYFUNCTION("""COMPUTED_VALUE"""),"47. Loreto")</f>
        <v>47. Loreto</v>
      </c>
    </row>
    <row r="248" spans="1:32" x14ac:dyDescent="0.2">
      <c r="A248" s="16"/>
      <c r="AC248" s="28"/>
      <c r="AD248" s="28" t="str">
        <f ca="1">IFERROR(__xludf.DUMMYFUNCTION("""COMPUTED_VALUE"""),"808")</f>
        <v>808</v>
      </c>
      <c r="AE248" s="28" t="str">
        <f ca="1">IFERROR(__xludf.DUMMYFUNCTION("""COMPUTED_VALUE"""),"808")</f>
        <v>808</v>
      </c>
      <c r="AF248" s="28" t="str">
        <f ca="1">IFERROR(__xludf.DUMMYFUNCTION("""COMPUTED_VALUE"""),"47. Loreto")</f>
        <v>47. Loreto</v>
      </c>
    </row>
    <row r="249" spans="1:32" x14ac:dyDescent="0.2">
      <c r="A249" s="16"/>
      <c r="AC249" s="28"/>
      <c r="AD249" s="28" t="str">
        <f ca="1">IFERROR(__xludf.DUMMYFUNCTION("""COMPUTED_VALUE"""),"812")</f>
        <v>812</v>
      </c>
      <c r="AE249" s="28" t="str">
        <f ca="1">IFERROR(__xludf.DUMMYFUNCTION("""COMPUTED_VALUE"""),"812")</f>
        <v>812</v>
      </c>
      <c r="AF249" s="28" t="str">
        <f ca="1">IFERROR(__xludf.DUMMYFUNCTION("""COMPUTED_VALUE"""),"47. Loreto")</f>
        <v>47. Loreto</v>
      </c>
    </row>
    <row r="250" spans="1:32" x14ac:dyDescent="0.2">
      <c r="A250" s="16"/>
      <c r="AC250" s="28"/>
      <c r="AD250" s="28" t="str">
        <f ca="1">IFERROR(__xludf.DUMMYFUNCTION("""COMPUTED_VALUE"""),"810")</f>
        <v>810</v>
      </c>
      <c r="AE250" s="28" t="str">
        <f ca="1">IFERROR(__xludf.DUMMYFUNCTION("""COMPUTED_VALUE"""),"810")</f>
        <v>810</v>
      </c>
      <c r="AF250" s="28" t="str">
        <f ca="1">IFERROR(__xludf.DUMMYFUNCTION("""COMPUTED_VALUE"""),"47. Loreto")</f>
        <v>47. Loreto</v>
      </c>
    </row>
    <row r="251" spans="1:32" x14ac:dyDescent="0.2">
      <c r="A251" s="16"/>
      <c r="AC251" s="28"/>
      <c r="AD251" s="28" t="str">
        <f ca="1">IFERROR(__xludf.DUMMYFUNCTION("""COMPUTED_VALUE"""),"811")</f>
        <v>811</v>
      </c>
      <c r="AE251" s="28" t="str">
        <f ca="1">IFERROR(__xludf.DUMMYFUNCTION("""COMPUTED_VALUE"""),"811")</f>
        <v>811</v>
      </c>
      <c r="AF251" s="28" t="str">
        <f ca="1">IFERROR(__xludf.DUMMYFUNCTION("""COMPUTED_VALUE"""),"47. Loreto")</f>
        <v>47. Loreto</v>
      </c>
    </row>
    <row r="252" spans="1:32" x14ac:dyDescent="0.2">
      <c r="A252" s="16"/>
      <c r="AC252" s="28"/>
      <c r="AD252" s="28" t="str">
        <f ca="1">IFERROR(__xludf.DUMMYFUNCTION("""COMPUTED_VALUE"""),"601496")</f>
        <v>601496</v>
      </c>
      <c r="AE252" s="28" t="str">
        <f ca="1">IFERROR(__xludf.DUMMYFUNCTION("""COMPUTED_VALUE"""),"601496")</f>
        <v>601496</v>
      </c>
      <c r="AF252" s="28" t="str">
        <f ca="1">IFERROR(__xludf.DUMMYFUNCTION("""COMPUTED_VALUE"""),"47. Loreto")</f>
        <v>47. Loreto</v>
      </c>
    </row>
    <row r="253" spans="1:32" x14ac:dyDescent="0.2">
      <c r="A253" s="16"/>
      <c r="AC253" s="28"/>
      <c r="AD253" s="28" t="str">
        <f ca="1">IFERROR(__xludf.DUMMYFUNCTION("""COMPUTED_VALUE"""),"601528")</f>
        <v>601528</v>
      </c>
      <c r="AE253" s="28" t="str">
        <f ca="1">IFERROR(__xludf.DUMMYFUNCTION("""COMPUTED_VALUE"""),"601528")</f>
        <v>601528</v>
      </c>
      <c r="AF253" s="28" t="str">
        <f ca="1">IFERROR(__xludf.DUMMYFUNCTION("""COMPUTED_VALUE"""),"47. Loreto")</f>
        <v>47. Loreto</v>
      </c>
    </row>
    <row r="254" spans="1:32" x14ac:dyDescent="0.2">
      <c r="A254" s="16"/>
      <c r="AC254" s="28"/>
      <c r="AD254" s="28" t="str">
        <f ca="1">IFERROR(__xludf.DUMMYFUNCTION("""COMPUTED_VALUE"""),"IE 15374 Sagrado Corazón de Jesús - Pueblo libre")</f>
        <v>IE 15374 Sagrado Corazón de Jesús - Pueblo libre</v>
      </c>
      <c r="AE254" s="28" t="str">
        <f ca="1">IFERROR(__xludf.DUMMYFUNCTION("""COMPUTED_VALUE"""),"15374")</f>
        <v>15374</v>
      </c>
      <c r="AF254" s="28" t="str">
        <f ca="1">IFERROR(__xludf.DUMMYFUNCTION("""COMPUTED_VALUE"""),"48. Piura")</f>
        <v>48. Piura</v>
      </c>
    </row>
    <row r="255" spans="1:32" x14ac:dyDescent="0.2">
      <c r="A255" s="16"/>
      <c r="AC255" s="28"/>
      <c r="AD255" s="28" t="str">
        <f ca="1">IFERROR(__xludf.DUMMYFUNCTION("""COMPUTED_VALUE"""),"IE 14145 Santa Julia Billiart")</f>
        <v>IE 14145 Santa Julia Billiart</v>
      </c>
      <c r="AE255" s="28" t="str">
        <f ca="1">IFERROR(__xludf.DUMMYFUNCTION("""COMPUTED_VALUE"""),"14145 SANTA JULIA BILLIART")</f>
        <v>14145 SANTA JULIA BILLIART</v>
      </c>
      <c r="AF255" s="28" t="str">
        <f ca="1">IFERROR(__xludf.DUMMYFUNCTION("""COMPUTED_VALUE"""),"48. Piura")</f>
        <v>48. Piura</v>
      </c>
    </row>
    <row r="256" spans="1:32" x14ac:dyDescent="0.2">
      <c r="A256" s="16"/>
      <c r="AC256" s="28"/>
      <c r="AD256" s="28" t="str">
        <f ca="1">IFERROR(__xludf.DUMMYFUNCTION("""COMPUTED_VALUE"""),"IE 14144 Santa Rosa")</f>
        <v>IE 14144 Santa Rosa</v>
      </c>
      <c r="AE256" s="28" t="str">
        <f ca="1">IFERROR(__xludf.DUMMYFUNCTION("""COMPUTED_VALUE"""),"14144 SANTA ROSA")</f>
        <v>14144 SANTA ROSA</v>
      </c>
      <c r="AF256" s="28" t="str">
        <f ca="1">IFERROR(__xludf.DUMMYFUNCTION("""COMPUTED_VALUE"""),"48. Piura")</f>
        <v>48. Piura</v>
      </c>
    </row>
    <row r="257" spans="1:32" x14ac:dyDescent="0.2">
      <c r="A257" s="16"/>
      <c r="AC257" s="28"/>
      <c r="AD257" s="28" t="str">
        <f ca="1">IFERROR(__xludf.DUMMYFUNCTION("""COMPUTED_VALUE"""),"I.E.N° 14894 - TOTORAL ALTO")</f>
        <v>I.E.N° 14894 - TOTORAL ALTO</v>
      </c>
      <c r="AE257" s="28" t="str">
        <f ca="1">IFERROR(__xludf.DUMMYFUNCTION("""COMPUTED_VALUE"""),"14894")</f>
        <v>14894</v>
      </c>
      <c r="AF257" s="28" t="str">
        <f ca="1">IFERROR(__xludf.DUMMYFUNCTION("""COMPUTED_VALUE"""),"48. Piura")</f>
        <v>48. Piura</v>
      </c>
    </row>
    <row r="258" spans="1:32" x14ac:dyDescent="0.2">
      <c r="A258" s="16"/>
      <c r="AC258" s="28"/>
      <c r="AD258" s="28" t="str">
        <f ca="1">IFERROR(__xludf.DUMMYFUNCTION("""COMPUTED_VALUE"""),"14975  - EL CARBÓN")</f>
        <v>14975  - EL CARBÓN</v>
      </c>
      <c r="AE258" s="28" t="str">
        <f ca="1">IFERROR(__xludf.DUMMYFUNCTION("""COMPUTED_VALUE"""),"14975")</f>
        <v>14975</v>
      </c>
      <c r="AF258" s="28" t="str">
        <f ca="1">IFERROR(__xludf.DUMMYFUNCTION("""COMPUTED_VALUE"""),"48. Piura")</f>
        <v>48. Piura</v>
      </c>
    </row>
    <row r="259" spans="1:32" x14ac:dyDescent="0.2">
      <c r="A259" s="16"/>
      <c r="AC259" s="28"/>
      <c r="AD259" s="28" t="str">
        <f ca="1">IFERROR(__xludf.DUMMYFUNCTION("""COMPUTED_VALUE"""),"20104 CP-8 ""Esperanza de Mi Cautivo""")</f>
        <v>20104 CP-8 "Esperanza de Mi Cautivo"</v>
      </c>
      <c r="AE259" s="28" t="str">
        <f ca="1">IFERROR(__xludf.DUMMYFUNCTION("""COMPUTED_VALUE"""),"20104")</f>
        <v>20104</v>
      </c>
      <c r="AF259" s="28" t="str">
        <f ca="1">IFERROR(__xludf.DUMMYFUNCTION("""COMPUTED_VALUE"""),"48. Piura")</f>
        <v>48. Piura</v>
      </c>
    </row>
    <row r="260" spans="1:32" x14ac:dyDescent="0.2">
      <c r="A260" s="16"/>
      <c r="AC260" s="28"/>
      <c r="AD260" s="28" t="str">
        <f ca="1">IFERROR(__xludf.DUMMYFUNCTION("""COMPUTED_VALUE"""),"15304 Guaraguaos B")</f>
        <v>15304 Guaraguaos B</v>
      </c>
      <c r="AE260" s="28" t="str">
        <f ca="1">IFERROR(__xludf.DUMMYFUNCTION("""COMPUTED_VALUE"""),"15304")</f>
        <v>15304</v>
      </c>
      <c r="AF260" s="28" t="str">
        <f ca="1">IFERROR(__xludf.DUMMYFUNCTION("""COMPUTED_VALUE"""),"48. Piura")</f>
        <v>48. Piura</v>
      </c>
    </row>
    <row r="261" spans="1:32" x14ac:dyDescent="0.2">
      <c r="A261" s="16"/>
      <c r="AC261" s="28"/>
      <c r="AD261" s="28" t="str">
        <f ca="1">IFERROR(__xludf.DUMMYFUNCTION("""COMPUTED_VALUE"""),"14924 - DANIEL ALCIDES CARRIÓN")</f>
        <v>14924 - DANIEL ALCIDES CARRIÓN</v>
      </c>
      <c r="AE261" s="28" t="str">
        <f ca="1">IFERROR(__xludf.DUMMYFUNCTION("""COMPUTED_VALUE"""),"14924 DANIEL ALCIDES CARRION")</f>
        <v>14924 DANIEL ALCIDES CARRION</v>
      </c>
      <c r="AF261" s="28" t="str">
        <f ca="1">IFERROR(__xludf.DUMMYFUNCTION("""COMPUTED_VALUE"""),"48. Piura")</f>
        <v>48. Piura</v>
      </c>
    </row>
    <row r="262" spans="1:32" x14ac:dyDescent="0.2">
      <c r="A262" s="16"/>
      <c r="AC262" s="28"/>
      <c r="AD262" s="28" t="str">
        <f ca="1">IFERROR(__xludf.DUMMYFUNCTION("""COMPUTED_VALUE"""),"I.E. 910 LOS ZAPATAS")</f>
        <v>I.E. 910 LOS ZAPATAS</v>
      </c>
      <c r="AE262" s="28" t="str">
        <f ca="1">IFERROR(__xludf.DUMMYFUNCTION("""COMPUTED_VALUE"""),"910")</f>
        <v>910</v>
      </c>
      <c r="AF262" s="28" t="str">
        <f ca="1">IFERROR(__xludf.DUMMYFUNCTION("""COMPUTED_VALUE"""),"48. Piura")</f>
        <v>48. Piura</v>
      </c>
    </row>
    <row r="263" spans="1:32" x14ac:dyDescent="0.2">
      <c r="A263" s="16"/>
      <c r="AC263" s="28"/>
      <c r="AD263" s="28" t="str">
        <f ca="1">IFERROR(__xludf.DUMMYFUNCTION("""COMPUTED_VALUE"""),"I.E. N° 058 - PUEBLO LIBRE")</f>
        <v>I.E. N° 058 - PUEBLO LIBRE</v>
      </c>
      <c r="AE263" s="28" t="str">
        <f ca="1">IFERROR(__xludf.DUMMYFUNCTION("""COMPUTED_VALUE"""),"058")</f>
        <v>058</v>
      </c>
      <c r="AF263" s="28" t="str">
        <f ca="1">IFERROR(__xludf.DUMMYFUNCTION("""COMPUTED_VALUE"""),"48. Piura")</f>
        <v>48. Piura</v>
      </c>
    </row>
    <row r="264" spans="1:32" x14ac:dyDescent="0.2">
      <c r="A264" s="16"/>
      <c r="AC264" s="28"/>
      <c r="AD264" s="28" t="str">
        <f ca="1">IFERROR(__xludf.DUMMYFUNCTION("""COMPUTED_VALUE"""),"I.E. N° 1419 - CRUCE DE VEGA")</f>
        <v>I.E. N° 1419 - CRUCE DE VEGA</v>
      </c>
      <c r="AE264" s="28" t="str">
        <f ca="1">IFERROR(__xludf.DUMMYFUNCTION("""COMPUTED_VALUE"""),"1419")</f>
        <v>1419</v>
      </c>
      <c r="AF264" s="28" t="str">
        <f ca="1">IFERROR(__xludf.DUMMYFUNCTION("""COMPUTED_VALUE"""),"48. Piura")</f>
        <v>48. Piura</v>
      </c>
    </row>
    <row r="265" spans="1:32" x14ac:dyDescent="0.2">
      <c r="A265" s="16"/>
      <c r="AC265" s="28"/>
      <c r="AD265" s="28" t="str">
        <f ca="1">IFERROR(__xludf.DUMMYFUNCTION("""COMPUTED_VALUE"""),"I.E. N° 1559 - MANCO CÁPAC")</f>
        <v>I.E. N° 1559 - MANCO CÁPAC</v>
      </c>
      <c r="AE265" s="28" t="str">
        <f ca="1">IFERROR(__xludf.DUMMYFUNCTION("""COMPUTED_VALUE"""),"1559")</f>
        <v>1559</v>
      </c>
      <c r="AF265" s="28" t="str">
        <f ca="1">IFERROR(__xludf.DUMMYFUNCTION("""COMPUTED_VALUE"""),"48. Piura")</f>
        <v>48. Piura</v>
      </c>
    </row>
    <row r="266" spans="1:32" x14ac:dyDescent="0.2">
      <c r="A266" s="16"/>
      <c r="AC266" s="28"/>
      <c r="AD266" s="28" t="str">
        <f ca="1">IFERROR(__xludf.DUMMYFUNCTION("""COMPUTED_VALUE"""),"I.E. N° 489 - JOSÉ MARÍA VELAZ - GUARAGUAOS BAJO")</f>
        <v>I.E. N° 489 - JOSÉ MARÍA VELAZ - GUARAGUAOS BAJO</v>
      </c>
      <c r="AE266" s="28" t="str">
        <f ca="1">IFERROR(__xludf.DUMMYFUNCTION("""COMPUTED_VALUE"""),"489")</f>
        <v>489</v>
      </c>
      <c r="AF266" s="28" t="str">
        <f ca="1">IFERROR(__xludf.DUMMYFUNCTION("""COMPUTED_VALUE"""),"48. Piura")</f>
        <v>48. Piura</v>
      </c>
    </row>
    <row r="267" spans="1:32" x14ac:dyDescent="0.2">
      <c r="A267" s="16"/>
      <c r="AC267" s="28"/>
      <c r="AD267" s="28" t="str">
        <f ca="1">IFERROR(__xludf.DUMMYFUNCTION("""COMPUTED_VALUE"""),"I.E. N° 732 VIRGEN DE MONSERRAT - PALOMINOS")</f>
        <v>I.E. N° 732 VIRGEN DE MONSERRAT - PALOMINOS</v>
      </c>
      <c r="AE267" s="28" t="str">
        <f ca="1">IFERROR(__xludf.DUMMYFUNCTION("""COMPUTED_VALUE"""),"732")</f>
        <v>732</v>
      </c>
      <c r="AF267" s="28" t="str">
        <f ca="1">IFERROR(__xludf.DUMMYFUNCTION("""COMPUTED_VALUE"""),"48. Piura")</f>
        <v>48. Piura</v>
      </c>
    </row>
    <row r="268" spans="1:32" x14ac:dyDescent="0.2">
      <c r="A268" s="16"/>
      <c r="AC268" s="28"/>
      <c r="AD268" s="28" t="str">
        <f ca="1">IFERROR(__xludf.DUMMYFUNCTION("""COMPUTED_VALUE"""),"I.E. N°1341 - CP-8")</f>
        <v>I.E. N°1341 - CP-8</v>
      </c>
      <c r="AE268" s="28" t="str">
        <f ca="1">IFERROR(__xludf.DUMMYFUNCTION("""COMPUTED_VALUE"""),"1341")</f>
        <v>1341</v>
      </c>
      <c r="AF268" s="28" t="str">
        <f ca="1">IFERROR(__xludf.DUMMYFUNCTION("""COMPUTED_VALUE"""),"48. Piura")</f>
        <v>48. Piura</v>
      </c>
    </row>
    <row r="269" spans="1:32" x14ac:dyDescent="0.2">
      <c r="A269" s="16"/>
      <c r="AC269" s="28"/>
      <c r="AD269" s="28" t="str">
        <f ca="1">IFERROR(__xludf.DUMMYFUNCTION("""COMPUTED_VALUE"""),"I.E.N° 469 - TEJEDORES BAJO")</f>
        <v>I.E.N° 469 - TEJEDORES BAJO</v>
      </c>
      <c r="AE269" s="28" t="str">
        <f ca="1">IFERROR(__xludf.DUMMYFUNCTION("""COMPUTED_VALUE"""),"469")</f>
        <v>469</v>
      </c>
      <c r="AF269" s="28" t="str">
        <f ca="1">IFERROR(__xludf.DUMMYFUNCTION("""COMPUTED_VALUE"""),"48. Piura")</f>
        <v>48. Piura</v>
      </c>
    </row>
    <row r="270" spans="1:32" x14ac:dyDescent="0.2">
      <c r="A270" s="16"/>
      <c r="AC270" s="28"/>
      <c r="AD270" s="28" t="str">
        <f ca="1">IFERROR(__xludf.DUMMYFUNCTION("""COMPUTED_VALUE"""),"I.E.N° 909 - BELLO HORIZONTE")</f>
        <v>I.E.N° 909 - BELLO HORIZONTE</v>
      </c>
      <c r="AE270" s="28" t="str">
        <f ca="1">IFERROR(__xludf.DUMMYFUNCTION("""COMPUTED_VALUE"""),"909 - BELLO HORIZONTE")</f>
        <v>909 - BELLO HORIZONTE</v>
      </c>
      <c r="AF270" s="28" t="str">
        <f ca="1">IFERROR(__xludf.DUMMYFUNCTION("""COMPUTED_VALUE"""),"48. Piura")</f>
        <v>48. Piura</v>
      </c>
    </row>
    <row r="271" spans="1:32" x14ac:dyDescent="0.2">
      <c r="A271" s="16"/>
      <c r="AC271" s="28"/>
      <c r="AD271" s="28" t="str">
        <f ca="1">IFERROR(__xludf.DUMMYFUNCTION("""COMPUTED_VALUE"""),"I.E.N°1558 - MONTEVERDE ALTO")</f>
        <v>I.E.N°1558 - MONTEVERDE ALTO</v>
      </c>
      <c r="AE271" s="28" t="str">
        <f ca="1">IFERROR(__xludf.DUMMYFUNCTION("""COMPUTED_VALUE"""),"1558 - MONTEVERDE ALTO")</f>
        <v>1558 - MONTEVERDE ALTO</v>
      </c>
      <c r="AF271" s="28" t="str">
        <f ca="1">IFERROR(__xludf.DUMMYFUNCTION("""COMPUTED_VALUE"""),"48. Piura")</f>
        <v>48. Piura</v>
      </c>
    </row>
    <row r="272" spans="1:32" x14ac:dyDescent="0.2">
      <c r="A272" s="16"/>
      <c r="AC272" s="28"/>
      <c r="AD272" s="28" t="str">
        <f ca="1">IFERROR(__xludf.DUMMYFUNCTION("""COMPUTED_VALUE"""),"I.E.N°731 - EL CARBÓN")</f>
        <v>I.E.N°731 - EL CARBÓN</v>
      </c>
      <c r="AE272" s="28" t="str">
        <f ca="1">IFERROR(__xludf.DUMMYFUNCTION("""COMPUTED_VALUE"""),"731 - EL CARBÓN")</f>
        <v>731 - EL CARBÓN</v>
      </c>
      <c r="AF272" s="28" t="str">
        <f ca="1">IFERROR(__xludf.DUMMYFUNCTION("""COMPUTED_VALUE"""),"48. Piura")</f>
        <v>48. Piura</v>
      </c>
    </row>
    <row r="273" spans="1:32" x14ac:dyDescent="0.2">
      <c r="A273" s="16"/>
      <c r="AC273" s="28"/>
      <c r="AD273" s="28" t="str">
        <f ca="1">IFERROR(__xludf.DUMMYFUNCTION("""COMPUTED_VALUE"""),"1416")</f>
        <v>1416</v>
      </c>
      <c r="AE273" s="28" t="str">
        <f ca="1">IFERROR(__xludf.DUMMYFUNCTION("""COMPUTED_VALUE"""),"1416")</f>
        <v>1416</v>
      </c>
      <c r="AF273" s="28" t="str">
        <f ca="1">IFERROR(__xludf.DUMMYFUNCTION("""COMPUTED_VALUE"""),"48. Piura")</f>
        <v>48. Piura</v>
      </c>
    </row>
    <row r="274" spans="1:32" x14ac:dyDescent="0.2">
      <c r="A274" s="16"/>
      <c r="AC274" s="28"/>
      <c r="AD274" s="28" t="str">
        <f ca="1">IFERROR(__xludf.DUMMYFUNCTION("""COMPUTED_VALUE"""),"1417")</f>
        <v>1417</v>
      </c>
      <c r="AE274" s="28" t="str">
        <f ca="1">IFERROR(__xludf.DUMMYFUNCTION("""COMPUTED_VALUE"""),"1417")</f>
        <v>1417</v>
      </c>
      <c r="AF274" s="28" t="str">
        <f ca="1">IFERROR(__xludf.DUMMYFUNCTION("""COMPUTED_VALUE"""),"48. Piura")</f>
        <v>48. Piura</v>
      </c>
    </row>
    <row r="275" spans="1:32" x14ac:dyDescent="0.2">
      <c r="A275" s="16"/>
      <c r="AC275" s="28"/>
      <c r="AD275" s="28" t="str">
        <f ca="1">IFERROR(__xludf.DUMMYFUNCTION("""COMPUTED_VALUE"""),"467 PUEBLO NUEVO")</f>
        <v>467 PUEBLO NUEVO</v>
      </c>
      <c r="AE275" s="28" t="str">
        <f ca="1">IFERROR(__xludf.DUMMYFUNCTION("""COMPUTED_VALUE"""),"467 PUEBLO NUEVO")</f>
        <v>467 PUEBLO NUEVO</v>
      </c>
      <c r="AF275" s="28" t="str">
        <f ca="1">IFERROR(__xludf.DUMMYFUNCTION("""COMPUTED_VALUE"""),"48. Piura")</f>
        <v>48. Piura</v>
      </c>
    </row>
    <row r="276" spans="1:32" x14ac:dyDescent="0.2">
      <c r="A276" s="16"/>
      <c r="AC276" s="28"/>
      <c r="AD276" s="28" t="str">
        <f ca="1">IFERROR(__xludf.DUMMYFUNCTION("""COMPUTED_VALUE"""),"NIÑO JESUS DE PRAGA")</f>
        <v>NIÑO JESUS DE PRAGA</v>
      </c>
      <c r="AE276" s="28" t="str">
        <f ca="1">IFERROR(__xludf.DUMMYFUNCTION("""COMPUTED_VALUE"""),"NIÑO JESUS DE PRAGA")</f>
        <v>NIÑO JESUS DE PRAGA</v>
      </c>
      <c r="AF276" s="28" t="str">
        <f ca="1">IFERROR(__xludf.DUMMYFUNCTION("""COMPUTED_VALUE"""),"48. Piura")</f>
        <v>48. Piura</v>
      </c>
    </row>
    <row r="277" spans="1:32" x14ac:dyDescent="0.2">
      <c r="A277" s="16"/>
      <c r="AC277" s="28"/>
      <c r="AD277" s="28" t="str">
        <f ca="1">IFERROR(__xludf.DUMMYFUNCTION("""COMPUTED_VALUE"""),"MARIA AUXILIADORA")</f>
        <v>MARIA AUXILIADORA</v>
      </c>
      <c r="AE277" s="28" t="str">
        <f ca="1">IFERROR(__xludf.DUMMYFUNCTION("""COMPUTED_VALUE"""),"MARIA AUXILIADORA")</f>
        <v>MARIA AUXILIADORA</v>
      </c>
      <c r="AF277" s="28" t="str">
        <f ca="1">IFERROR(__xludf.DUMMYFUNCTION("""COMPUTED_VALUE"""),"48. Piura")</f>
        <v>48. Piura</v>
      </c>
    </row>
    <row r="278" spans="1:32" x14ac:dyDescent="0.2">
      <c r="A278" s="16"/>
      <c r="AC278" s="28"/>
      <c r="AD278" s="28" t="str">
        <f ca="1">IFERROR(__xludf.DUMMYFUNCTION("""COMPUTED_VALUE"""),"VIRGEN DE LAS MERCEDES")</f>
        <v>VIRGEN DE LAS MERCEDES</v>
      </c>
      <c r="AE278" s="28" t="str">
        <f ca="1">IFERROR(__xludf.DUMMYFUNCTION("""COMPUTED_VALUE"""),"VIRGEN DE LAS MERCEDES")</f>
        <v>VIRGEN DE LAS MERCEDES</v>
      </c>
      <c r="AF278" s="28" t="str">
        <f ca="1">IFERROR(__xludf.DUMMYFUNCTION("""COMPUTED_VALUE"""),"48. Piura")</f>
        <v>48. Piura</v>
      </c>
    </row>
    <row r="279" spans="1:32" x14ac:dyDescent="0.2">
      <c r="A279" s="16"/>
      <c r="AC279" s="28"/>
      <c r="AD279" s="28" t="str">
        <f ca="1">IFERROR(__xludf.DUMMYFUNCTION("""COMPUTED_VALUE"""),"15314")</f>
        <v>15314</v>
      </c>
      <c r="AE279" s="28" t="str">
        <f ca="1">IFERROR(__xludf.DUMMYFUNCTION("""COMPUTED_VALUE"""),"15314")</f>
        <v>15314</v>
      </c>
      <c r="AF279" s="28" t="str">
        <f ca="1">IFERROR(__xludf.DUMMYFUNCTION("""COMPUTED_VALUE"""),"48. Piura")</f>
        <v>48. Piura</v>
      </c>
    </row>
    <row r="280" spans="1:32" x14ac:dyDescent="0.2">
      <c r="A280" s="16"/>
      <c r="AC280" s="28"/>
      <c r="AD280" s="28" t="str">
        <f ca="1">IFERROR(__xludf.DUMMYFUNCTION("""COMPUTED_VALUE"""),"15055 Sesteadero")</f>
        <v>15055 Sesteadero</v>
      </c>
      <c r="AE280" s="28" t="str">
        <f ca="1">IFERROR(__xludf.DUMMYFUNCTION("""COMPUTED_VALUE"""),"15055 Sesteadero")</f>
        <v>15055 Sesteadero</v>
      </c>
      <c r="AF280" s="28" t="str">
        <f ca="1">IFERROR(__xludf.DUMMYFUNCTION("""COMPUTED_VALUE"""),"48. Piura")</f>
        <v>48. Piura</v>
      </c>
    </row>
    <row r="281" spans="1:32" x14ac:dyDescent="0.2">
      <c r="A281" s="16"/>
      <c r="AC281" s="28"/>
      <c r="AD281" s="28" t="str">
        <f ca="1">IFERROR(__xludf.DUMMYFUNCTION("""COMPUTED_VALUE"""),"TECNICO MARIA TERESA DE JESUS GERHARDINGER")</f>
        <v>TECNICO MARIA TERESA DE JESUS GERHARDINGER</v>
      </c>
      <c r="AE281" s="28" t="str">
        <f ca="1">IFERROR(__xludf.DUMMYFUNCTION("""COMPUTED_VALUE"""),"TECNICO MARIA TERESA DE JESUS GERHARDINGER")</f>
        <v>TECNICO MARIA TERESA DE JESUS GERHARDINGER</v>
      </c>
      <c r="AF281" s="28" t="str">
        <f ca="1">IFERROR(__xludf.DUMMYFUNCTION("""COMPUTED_VALUE"""),"48. Piura")</f>
        <v>48. Piura</v>
      </c>
    </row>
    <row r="282" spans="1:32" x14ac:dyDescent="0.2">
      <c r="A282" s="16"/>
      <c r="AC282" s="28"/>
      <c r="AD282" s="28" t="str">
        <f ca="1">IFERROR(__xludf.DUMMYFUNCTION("""COMPUTED_VALUE"""),"692 - Cajay")</f>
        <v>692 - Cajay</v>
      </c>
      <c r="AE282" s="28" t="str">
        <f ca="1">IFERROR(__xludf.DUMMYFUNCTION("""COMPUTED_VALUE"""),"692 - Cajay")</f>
        <v>692 - Cajay</v>
      </c>
      <c r="AF282" s="28" t="str">
        <f ca="1">IFERROR(__xludf.DUMMYFUNCTION("""COMPUTED_VALUE"""),"54. Ancash")</f>
        <v>54. Ancash</v>
      </c>
    </row>
    <row r="283" spans="1:32" x14ac:dyDescent="0.2">
      <c r="A283" s="16"/>
      <c r="AC283" s="28"/>
      <c r="AD283" s="28" t="str">
        <f ca="1">IFERROR(__xludf.DUMMYFUNCTION("""COMPUTED_VALUE"""),"86548 ""José María Velaz"" Pichiu")</f>
        <v>86548 "José María Velaz" Pichiu</v>
      </c>
      <c r="AE283" s="28" t="str">
        <f ca="1">IFERROR(__xludf.DUMMYFUNCTION("""COMPUTED_VALUE"""),"86548 JOSE MARIA VELAZ")</f>
        <v>86548 JOSE MARIA VELAZ</v>
      </c>
      <c r="AF283" s="28" t="str">
        <f ca="1">IFERROR(__xludf.DUMMYFUNCTION("""COMPUTED_VALUE"""),"54. Ancash")</f>
        <v>54. Ancash</v>
      </c>
    </row>
    <row r="284" spans="1:32" x14ac:dyDescent="0.2">
      <c r="A284" s="16"/>
      <c r="AC284" s="28"/>
      <c r="AD284" s="28" t="str">
        <f ca="1">IFERROR(__xludf.DUMMYFUNCTION("""COMPUTED_VALUE"""),"86769 ""Abraham Valdelomar"" Huáscar")</f>
        <v>86769 "Abraham Valdelomar" Huáscar</v>
      </c>
      <c r="AE284" s="28" t="str">
        <f ca="1">IFERROR(__xludf.DUMMYFUNCTION("""COMPUTED_VALUE"""),"86769 ABRAHAM VALDELOMAR")</f>
        <v>86769 ABRAHAM VALDELOMAR</v>
      </c>
      <c r="AF284" s="28" t="str">
        <f ca="1">IFERROR(__xludf.DUMMYFUNCTION("""COMPUTED_VALUE"""),"54. Ancash")</f>
        <v>54. Ancash</v>
      </c>
    </row>
    <row r="285" spans="1:32" x14ac:dyDescent="0.2">
      <c r="A285" s="16"/>
      <c r="AC285" s="28"/>
      <c r="AD285" s="28" t="str">
        <f ca="1">IFERROR(__xludf.DUMMYFUNCTION("""COMPUTED_VALUE"""),"87009-01 Huanchuy")</f>
        <v>87009-01 Huanchuy</v>
      </c>
      <c r="AE285" s="28" t="str">
        <f ca="1">IFERROR(__xludf.DUMMYFUNCTION("""COMPUTED_VALUE"""),"87009-01")</f>
        <v>87009-01</v>
      </c>
      <c r="AF285" s="28" t="str">
        <f ca="1">IFERROR(__xludf.DUMMYFUNCTION("""COMPUTED_VALUE"""),"54. Ancash")</f>
        <v>54. Ancash</v>
      </c>
    </row>
    <row r="286" spans="1:32" x14ac:dyDescent="0.2">
      <c r="A286" s="16"/>
      <c r="AC286" s="28"/>
      <c r="AD286" s="28" t="str">
        <f ca="1">IFERROR(__xludf.DUMMYFUNCTION("""COMPUTED_VALUE"""),"88247 San Enrique de Capan")</f>
        <v>88247 San Enrique de Capan</v>
      </c>
      <c r="AE286" s="28" t="str">
        <f ca="1">IFERROR(__xludf.DUMMYFUNCTION("""COMPUTED_VALUE"""),"88247 SAN ENRIQUE")</f>
        <v>88247 SAN ENRIQUE</v>
      </c>
      <c r="AF286" s="28" t="str">
        <f ca="1">IFERROR(__xludf.DUMMYFUNCTION("""COMPUTED_VALUE"""),"54. Ancash")</f>
        <v>54. Ancash</v>
      </c>
    </row>
    <row r="287" spans="1:32" x14ac:dyDescent="0.2">
      <c r="A287" s="16"/>
      <c r="AC287" s="28"/>
      <c r="AD287" s="28" t="str">
        <f ca="1">IFERROR(__xludf.DUMMYFUNCTION("""COMPUTED_VALUE"""),"88327 Carap")</f>
        <v>88327 Carap</v>
      </c>
      <c r="AE287" s="28" t="str">
        <f ca="1">IFERROR(__xludf.DUMMYFUNCTION("""COMPUTED_VALUE"""),"88327")</f>
        <v>88327</v>
      </c>
      <c r="AF287" s="28" t="str">
        <f ca="1">IFERROR(__xludf.DUMMYFUNCTION("""COMPUTED_VALUE"""),"54. Ancash")</f>
        <v>54. Ancash</v>
      </c>
    </row>
    <row r="288" spans="1:32" x14ac:dyDescent="0.2">
      <c r="A288" s="16"/>
      <c r="AC288" s="28"/>
      <c r="AD288" s="28" t="str">
        <f ca="1">IFERROR(__xludf.DUMMYFUNCTION("""COMPUTED_VALUE"""),"86809 Huarac- huarán")</f>
        <v>86809 Huarac- huarán</v>
      </c>
      <c r="AE288" s="28" t="str">
        <f ca="1">IFERROR(__xludf.DUMMYFUNCTION("""COMPUTED_VALUE"""),"86809")</f>
        <v>86809</v>
      </c>
      <c r="AF288" s="28" t="str">
        <f ca="1">IFERROR(__xludf.DUMMYFUNCTION("""COMPUTED_VALUE"""),"54. Ancash")</f>
        <v>54. Ancash</v>
      </c>
    </row>
    <row r="289" spans="1:32" x14ac:dyDescent="0.2">
      <c r="A289" s="16"/>
      <c r="AC289" s="28"/>
      <c r="AD289" s="28" t="str">
        <f ca="1">IFERROR(__xludf.DUMMYFUNCTION("""COMPUTED_VALUE"""),"693")</f>
        <v>693</v>
      </c>
      <c r="AE289" s="28" t="str">
        <f ca="1">IFERROR(__xludf.DUMMYFUNCTION("""COMPUTED_VALUE"""),"693")</f>
        <v>693</v>
      </c>
      <c r="AF289" s="28" t="str">
        <f ca="1">IFERROR(__xludf.DUMMYFUNCTION("""COMPUTED_VALUE"""),"54. Ancash")</f>
        <v>54. Ancash</v>
      </c>
    </row>
    <row r="290" spans="1:32" x14ac:dyDescent="0.2">
      <c r="A290" s="16"/>
      <c r="AC290" s="28"/>
      <c r="AD290" s="28" t="str">
        <f ca="1">IFERROR(__xludf.DUMMYFUNCTION("""COMPUTED_VALUE"""),"86731")</f>
        <v>86731</v>
      </c>
      <c r="AE290" s="28" t="str">
        <f ca="1">IFERROR(__xludf.DUMMYFUNCTION("""COMPUTED_VALUE"""),"86731")</f>
        <v>86731</v>
      </c>
      <c r="AF290" s="28" t="str">
        <f ca="1">IFERROR(__xludf.DUMMYFUNCTION("""COMPUTED_VALUE"""),"54. Ancash")</f>
        <v>54. Ancash</v>
      </c>
    </row>
    <row r="291" spans="1:32" x14ac:dyDescent="0.2">
      <c r="A291" s="16"/>
      <c r="AC291" s="28"/>
      <c r="AD291" s="28" t="str">
        <f ca="1">IFERROR(__xludf.DUMMYFUNCTION("""COMPUTED_VALUE"""),"86783 CARLOS EDUARDO ZAVALETA")</f>
        <v>86783 CARLOS EDUARDO ZAVALETA</v>
      </c>
      <c r="AE291" s="28" t="str">
        <f ca="1">IFERROR(__xludf.DUMMYFUNCTION("""COMPUTED_VALUE"""),"86783 CARLOS EDUARDO ZAVALETA")</f>
        <v>86783 CARLOS EDUARDO ZAVALETA</v>
      </c>
      <c r="AF291" s="28" t="str">
        <f ca="1">IFERROR(__xludf.DUMMYFUNCTION("""COMPUTED_VALUE"""),"54. Ancash")</f>
        <v>54. Ancash</v>
      </c>
    </row>
    <row r="292" spans="1:32" x14ac:dyDescent="0.2">
      <c r="A292" s="16"/>
      <c r="AC292" s="28"/>
      <c r="AD292" s="28" t="str">
        <f ca="1">IFERROR(__xludf.DUMMYFUNCTION("""COMPUTED_VALUE"""),"64048 Nueva Barranca")</f>
        <v>64048 Nueva Barranca</v>
      </c>
      <c r="AE292" s="28" t="str">
        <f ca="1">IFERROR(__xludf.DUMMYFUNCTION("""COMPUTED_VALUE"""),"64048")</f>
        <v>64048</v>
      </c>
      <c r="AF292" s="28" t="str">
        <f ca="1">IFERROR(__xludf.DUMMYFUNCTION("""COMPUTED_VALUE"""),"72. Ucayali")</f>
        <v>72. Ucayali</v>
      </c>
    </row>
    <row r="293" spans="1:32" x14ac:dyDescent="0.2">
      <c r="A293" s="16"/>
      <c r="AC293" s="28"/>
      <c r="AD293" s="28" t="str">
        <f ca="1">IFERROR(__xludf.DUMMYFUNCTION("""COMPUTED_VALUE"""),"64508-B Santa Isabel de Bahuanisho")</f>
        <v>64508-B Santa Isabel de Bahuanisho</v>
      </c>
      <c r="AE293" s="28" t="str">
        <f ca="1">IFERROR(__xludf.DUMMYFUNCTION("""COMPUTED_VALUE"""),"64508-B")</f>
        <v>64508-B</v>
      </c>
      <c r="AF293" s="28" t="str">
        <f ca="1">IFERROR(__xludf.DUMMYFUNCTION("""COMPUTED_VALUE"""),"72. Ucayali")</f>
        <v>72. Ucayali</v>
      </c>
    </row>
    <row r="294" spans="1:32" x14ac:dyDescent="0.2">
      <c r="A294" s="16"/>
      <c r="AC294" s="28"/>
      <c r="AD294" s="28" t="str">
        <f ca="1">IFERROR(__xludf.DUMMYFUNCTION("""COMPUTED_VALUE"""),"65199 3 de Mayo")</f>
        <v>65199 3 de Mayo</v>
      </c>
      <c r="AE294" s="28" t="str">
        <f ca="1">IFERROR(__xludf.DUMMYFUNCTION("""COMPUTED_VALUE"""),"65199")</f>
        <v>65199</v>
      </c>
      <c r="AF294" s="28" t="str">
        <f ca="1">IFERROR(__xludf.DUMMYFUNCTION("""COMPUTED_VALUE"""),"72. Ucayali")</f>
        <v>72. Ucayali</v>
      </c>
    </row>
    <row r="295" spans="1:32" x14ac:dyDescent="0.2">
      <c r="A295" s="16"/>
      <c r="AC295" s="28"/>
      <c r="AD295" s="28" t="str">
        <f ca="1">IFERROR(__xludf.DUMMYFUNCTION("""COMPUTED_VALUE"""),"525-B Santa Elisa")</f>
        <v>525-B Santa Elisa</v>
      </c>
      <c r="AE295" s="28" t="str">
        <f ca="1">IFERROR(__xludf.DUMMYFUNCTION("""COMPUTED_VALUE"""),"525-B Santa Elisa")</f>
        <v>525-B Santa Elisa</v>
      </c>
      <c r="AF295" s="28" t="str">
        <f ca="1">IFERROR(__xludf.DUMMYFUNCTION("""COMPUTED_VALUE"""),"72. Ucayali")</f>
        <v>72. Ucayali</v>
      </c>
    </row>
    <row r="296" spans="1:32" x14ac:dyDescent="0.2">
      <c r="A296" s="16"/>
      <c r="AC296" s="28"/>
      <c r="AD296" s="28" t="str">
        <f ca="1">IFERROR(__xludf.DUMMYFUNCTION("""COMPUTED_VALUE"""),"555-B Santa Martha")</f>
        <v>555-B Santa Martha</v>
      </c>
      <c r="AE296" s="28" t="str">
        <f ca="1">IFERROR(__xludf.DUMMYFUNCTION("""COMPUTED_VALUE"""),"555-B ")</f>
        <v xml:space="preserve">555-B </v>
      </c>
      <c r="AF296" s="28" t="str">
        <f ca="1">IFERROR(__xludf.DUMMYFUNCTION("""COMPUTED_VALUE"""),"72. Ucayali")</f>
        <v>72. Ucayali</v>
      </c>
    </row>
    <row r="297" spans="1:32" x14ac:dyDescent="0.2">
      <c r="A297" s="16"/>
      <c r="AC297" s="28"/>
      <c r="AD297" s="28" t="str">
        <f ca="1">IFERROR(__xludf.DUMMYFUNCTION("""COMPUTED_VALUE"""),"559  3 de Mayo")</f>
        <v>559  3 de Mayo</v>
      </c>
      <c r="AE297" s="28" t="str">
        <f ca="1">IFERROR(__xludf.DUMMYFUNCTION("""COMPUTED_VALUE"""),"559  3 de Mayo")</f>
        <v>559  3 de Mayo</v>
      </c>
      <c r="AF297" s="28" t="str">
        <f ca="1">IFERROR(__xludf.DUMMYFUNCTION("""COMPUTED_VALUE"""),"72. Ucayali")</f>
        <v>72. Ucayali</v>
      </c>
    </row>
    <row r="298" spans="1:32" x14ac:dyDescent="0.2">
      <c r="A298" s="16"/>
      <c r="AC298" s="28"/>
      <c r="AD298" s="28" t="str">
        <f ca="1">IFERROR(__xludf.DUMMYFUNCTION("""COMPUTED_VALUE"""),"564 Nueva Barranca")</f>
        <v>564 Nueva Barranca</v>
      </c>
      <c r="AE298" s="28" t="str">
        <f ca="1">IFERROR(__xludf.DUMMYFUNCTION("""COMPUTED_VALUE"""),"564 Nueva Barranca")</f>
        <v>564 Nueva Barranca</v>
      </c>
      <c r="AF298" s="28" t="str">
        <f ca="1">IFERROR(__xludf.DUMMYFUNCTION("""COMPUTED_VALUE"""),"72. Ucayali")</f>
        <v>72. Ucayali</v>
      </c>
    </row>
    <row r="299" spans="1:32" x14ac:dyDescent="0.2">
      <c r="A299" s="16"/>
      <c r="AC299" s="28"/>
      <c r="AD299" s="28" t="str">
        <f ca="1">IFERROR(__xludf.DUMMYFUNCTION("""COMPUTED_VALUE"""),"566 Isla Primavera")</f>
        <v>566 Isla Primavera</v>
      </c>
      <c r="AE299" s="28" t="str">
        <f ca="1">IFERROR(__xludf.DUMMYFUNCTION("""COMPUTED_VALUE"""),"566")</f>
        <v>566</v>
      </c>
      <c r="AF299" s="28" t="str">
        <f ca="1">IFERROR(__xludf.DUMMYFUNCTION("""COMPUTED_VALUE"""),"72. Ucayali")</f>
        <v>72. Ucayali</v>
      </c>
    </row>
    <row r="300" spans="1:32" x14ac:dyDescent="0.2">
      <c r="A300" s="16"/>
      <c r="AC300" s="28"/>
      <c r="AD300" s="28" t="str">
        <f ca="1">IFERROR(__xludf.DUMMYFUNCTION("""COMPUTED_VALUE"""),"295 Nuevo Bagazan")</f>
        <v>295 Nuevo Bagazan</v>
      </c>
      <c r="AE300" s="28" t="str">
        <f ca="1">IFERROR(__xludf.DUMMYFUNCTION("""COMPUTED_VALUE"""),"295 Nuevo Bagazan")</f>
        <v>295 Nuevo Bagazan</v>
      </c>
      <c r="AF300" s="28" t="str">
        <f ca="1">IFERROR(__xludf.DUMMYFUNCTION("""COMPUTED_VALUE"""),"72. Ucayali")</f>
        <v>72. Ucayali</v>
      </c>
    </row>
    <row r="301" spans="1:32" x14ac:dyDescent="0.2">
      <c r="A301" s="16"/>
      <c r="AC301" s="28"/>
      <c r="AD301" s="28" t="str">
        <f ca="1">IFERROR(__xludf.DUMMYFUNCTION("""COMPUTED_VALUE"""),"333-B Santa Isabel de Bahuanisho")</f>
        <v>333-B Santa Isabel de Bahuanisho</v>
      </c>
      <c r="AE301" s="28" t="str">
        <f ca="1">IFERROR(__xludf.DUMMYFUNCTION("""COMPUTED_VALUE"""),"333-B ")</f>
        <v xml:space="preserve">333-B </v>
      </c>
      <c r="AF301" s="28" t="str">
        <f ca="1">IFERROR(__xludf.DUMMYFUNCTION("""COMPUTED_VALUE"""),"72. Ucayali")</f>
        <v>72. Ucayali</v>
      </c>
    </row>
    <row r="302" spans="1:32" x14ac:dyDescent="0.2">
      <c r="A302" s="16"/>
      <c r="AC302" s="28"/>
      <c r="AD302" s="28" t="str">
        <f ca="1">IFERROR(__xludf.DUMMYFUNCTION("""COMPUTED_VALUE"""),"294 Mazaray")</f>
        <v>294 Mazaray</v>
      </c>
      <c r="AE302" s="28" t="str">
        <f ca="1">IFERROR(__xludf.DUMMYFUNCTION("""COMPUTED_VALUE"""),"294 Mazaray")</f>
        <v>294 Mazaray</v>
      </c>
      <c r="AF302" s="28" t="str">
        <f ca="1">IFERROR(__xludf.DUMMYFUNCTION("""COMPUTED_VALUE"""),"72. Ucayali")</f>
        <v>72. Ucayali</v>
      </c>
    </row>
    <row r="303" spans="1:32" x14ac:dyDescent="0.2">
      <c r="A303" s="16"/>
      <c r="AC303" s="28"/>
      <c r="AD303" s="28" t="str">
        <f ca="1">IFERROR(__xludf.DUMMYFUNCTION("""COMPUTED_VALUE"""),"64115 Nuevo Bagazan")</f>
        <v>64115 Nuevo Bagazan</v>
      </c>
      <c r="AE303" s="28" t="str">
        <f ca="1">IFERROR(__xludf.DUMMYFUNCTION("""COMPUTED_VALUE"""),"64115")</f>
        <v>64115</v>
      </c>
      <c r="AF303" s="28" t="str">
        <f ca="1">IFERROR(__xludf.DUMMYFUNCTION("""COMPUTED_VALUE"""),"72. Ucayali")</f>
        <v>72. Ucayali</v>
      </c>
    </row>
    <row r="304" spans="1:32" x14ac:dyDescent="0.2">
      <c r="A304" s="16"/>
      <c r="AC304" s="28"/>
      <c r="AD304" s="28" t="str">
        <f ca="1">IFERROR(__xludf.DUMMYFUNCTION("""COMPUTED_VALUE"""),"64798 Nuevo Ancash")</f>
        <v>64798 Nuevo Ancash</v>
      </c>
      <c r="AE304" s="28" t="str">
        <f ca="1">IFERROR(__xludf.DUMMYFUNCTION("""COMPUTED_VALUE"""),"64798 Nuevo Ancash")</f>
        <v>64798 Nuevo Ancash</v>
      </c>
      <c r="AF304" s="28" t="str">
        <f ca="1">IFERROR(__xludf.DUMMYFUNCTION("""COMPUTED_VALUE"""),"72. Ucayali")</f>
        <v>72. Ucayali</v>
      </c>
    </row>
    <row r="305" spans="1:32" x14ac:dyDescent="0.2">
      <c r="A305" s="16"/>
      <c r="AC305" s="28"/>
      <c r="AD305" s="28" t="str">
        <f ca="1">IFERROR(__xludf.DUMMYFUNCTION("""COMPUTED_VALUE"""),"846 Huanccallaco")</f>
        <v>846 Huanccallaco</v>
      </c>
      <c r="AE305" s="28" t="str">
        <f ca="1">IFERROR(__xludf.DUMMYFUNCTION("""COMPUTED_VALUE"""),"846 Huanccallaco")</f>
        <v>846 Huanccallaco</v>
      </c>
      <c r="AF305" s="28" t="str">
        <f ca="1">IFERROR(__xludf.DUMMYFUNCTION("""COMPUTED_VALUE"""),"79. Huancavelica")</f>
        <v>79. Huancavelica</v>
      </c>
    </row>
    <row r="306" spans="1:32" x14ac:dyDescent="0.2">
      <c r="A306" s="16"/>
      <c r="AC306" s="28"/>
      <c r="AD306" s="28" t="str">
        <f ca="1">IFERROR(__xludf.DUMMYFUNCTION("""COMPUTED_VALUE"""),"130")</f>
        <v>130</v>
      </c>
      <c r="AE306" s="28" t="str">
        <f ca="1">IFERROR(__xludf.DUMMYFUNCTION("""COMPUTED_VALUE"""),"130")</f>
        <v>130</v>
      </c>
      <c r="AF306" s="28" t="str">
        <f ca="1">IFERROR(__xludf.DUMMYFUNCTION("""COMPUTED_VALUE"""),"79. Huancavelica")</f>
        <v>79. Huancavelica</v>
      </c>
    </row>
    <row r="307" spans="1:32" x14ac:dyDescent="0.2">
      <c r="A307" s="16"/>
      <c r="AC307" s="28"/>
      <c r="AD307" s="28" t="str">
        <f ca="1">IFERROR(__xludf.DUMMYFUNCTION("""COMPUTED_VALUE"""),"156")</f>
        <v>156</v>
      </c>
      <c r="AE307" s="28" t="str">
        <f ca="1">IFERROR(__xludf.DUMMYFUNCTION("""COMPUTED_VALUE"""),"156")</f>
        <v>156</v>
      </c>
      <c r="AF307" s="28" t="str">
        <f ca="1">IFERROR(__xludf.DUMMYFUNCTION("""COMPUTED_VALUE"""),"79. Huancavelica")</f>
        <v>79. Huancavelica</v>
      </c>
    </row>
    <row r="308" spans="1:32" x14ac:dyDescent="0.2">
      <c r="A308" s="16"/>
      <c r="AC308" s="28"/>
      <c r="AD308" s="28" t="str">
        <f ca="1">IFERROR(__xludf.DUMMYFUNCTION("""COMPUTED_VALUE"""),"843")</f>
        <v>843</v>
      </c>
      <c r="AE308" s="28" t="str">
        <f ca="1">IFERROR(__xludf.DUMMYFUNCTION("""COMPUTED_VALUE"""),"843")</f>
        <v>843</v>
      </c>
      <c r="AF308" s="28" t="str">
        <f ca="1">IFERROR(__xludf.DUMMYFUNCTION("""COMPUTED_VALUE"""),"79. Huancavelica")</f>
        <v>79. Huancavelica</v>
      </c>
    </row>
    <row r="309" spans="1:32" x14ac:dyDescent="0.2">
      <c r="A309" s="16"/>
      <c r="AC309" s="28"/>
      <c r="AD309" s="28" t="str">
        <f ca="1">IFERROR(__xludf.DUMMYFUNCTION("""COMPUTED_VALUE"""),"36167")</f>
        <v>36167</v>
      </c>
      <c r="AE309" s="28" t="str">
        <f ca="1">IFERROR(__xludf.DUMMYFUNCTION("""COMPUTED_VALUE"""),"36167")</f>
        <v>36167</v>
      </c>
      <c r="AF309" s="28" t="str">
        <f ca="1">IFERROR(__xludf.DUMMYFUNCTION("""COMPUTED_VALUE"""),"79. Huancavelica")</f>
        <v>79. Huancavelica</v>
      </c>
    </row>
    <row r="310" spans="1:32" x14ac:dyDescent="0.2">
      <c r="A310" s="16"/>
      <c r="AC310" s="28"/>
      <c r="AD310" s="28" t="str">
        <f ca="1">IFERROR(__xludf.DUMMYFUNCTION("""COMPUTED_VALUE"""),"36831")</f>
        <v>36831</v>
      </c>
      <c r="AE310" s="28" t="str">
        <f ca="1">IFERROR(__xludf.DUMMYFUNCTION("""COMPUTED_VALUE"""),"36831")</f>
        <v>36831</v>
      </c>
      <c r="AF310" s="28" t="str">
        <f ca="1">IFERROR(__xludf.DUMMYFUNCTION("""COMPUTED_VALUE"""),"79. Huancavelica")</f>
        <v>79. Huancavelica</v>
      </c>
    </row>
    <row r="311" spans="1:32" x14ac:dyDescent="0.2">
      <c r="A311" s="16"/>
      <c r="AC311" s="28"/>
      <c r="AD311" s="28" t="str">
        <f ca="1">IFERROR(__xludf.DUMMYFUNCTION("""COMPUTED_VALUE"""),"Marcas")</f>
        <v>Marcas</v>
      </c>
      <c r="AE311" s="28" t="str">
        <f ca="1">IFERROR(__xludf.DUMMYFUNCTION("""COMPUTED_VALUE"""),"Marcas")</f>
        <v>Marcas</v>
      </c>
      <c r="AF311" s="28" t="str">
        <f ca="1">IFERROR(__xludf.DUMMYFUNCTION("""COMPUTED_VALUE"""),"79. Huancavelica")</f>
        <v>79. Huancavelica</v>
      </c>
    </row>
    <row r="312" spans="1:32" x14ac:dyDescent="0.2">
      <c r="A312" s="16"/>
      <c r="AC312" s="28"/>
      <c r="AD312" s="28" t="str">
        <f ca="1">IFERROR(__xludf.DUMMYFUNCTION("""COMPUTED_VALUE"""),"177")</f>
        <v>177</v>
      </c>
      <c r="AE312" s="28" t="str">
        <f ca="1">IFERROR(__xludf.DUMMYFUNCTION("""COMPUTED_VALUE"""),"177")</f>
        <v>177</v>
      </c>
      <c r="AF312" s="28" t="str">
        <f ca="1">IFERROR(__xludf.DUMMYFUNCTION("""COMPUTED_VALUE"""),"79. Huancavelica")</f>
        <v>79. Huancavelica</v>
      </c>
    </row>
    <row r="313" spans="1:32" x14ac:dyDescent="0.2">
      <c r="A313" s="16"/>
      <c r="AC313" s="28"/>
      <c r="AD313" s="28" t="str">
        <f ca="1">IFERROR(__xludf.DUMMYFUNCTION("""COMPUTED_VALUE"""),"592")</f>
        <v>592</v>
      </c>
      <c r="AE313" s="28" t="str">
        <f ca="1">IFERROR(__xludf.DUMMYFUNCTION("""COMPUTED_VALUE"""),"592")</f>
        <v>592</v>
      </c>
      <c r="AF313" s="28" t="str">
        <f ca="1">IFERROR(__xludf.DUMMYFUNCTION("""COMPUTED_VALUE"""),"79. Huancavelica")</f>
        <v>79. Huancavelica</v>
      </c>
    </row>
    <row r="314" spans="1:32" x14ac:dyDescent="0.2">
      <c r="A314" s="16"/>
      <c r="AC314" s="28"/>
      <c r="AD314" s="28" t="str">
        <f ca="1">IFERROR(__xludf.DUMMYFUNCTION("""COMPUTED_VALUE"""),"36163")</f>
        <v>36163</v>
      </c>
      <c r="AE314" s="28" t="str">
        <f ca="1">IFERROR(__xludf.DUMMYFUNCTION("""COMPUTED_VALUE"""),"36163 JAVIER HERAUD PEREZ")</f>
        <v>36163 JAVIER HERAUD PEREZ</v>
      </c>
      <c r="AF314" s="28" t="str">
        <f ca="1">IFERROR(__xludf.DUMMYFUNCTION("""COMPUTED_VALUE"""),"79. Huancavelica")</f>
        <v>79. Huancavelica</v>
      </c>
    </row>
    <row r="315" spans="1:32" x14ac:dyDescent="0.2">
      <c r="A315" s="16"/>
      <c r="AC315" s="28"/>
      <c r="AD315" s="28" t="str">
        <f ca="1">IFERROR(__xludf.DUMMYFUNCTION("""COMPUTED_VALUE"""),"36153")</f>
        <v>36153</v>
      </c>
      <c r="AE315" s="28" t="str">
        <f ca="1">IFERROR(__xludf.DUMMYFUNCTION("""COMPUTED_VALUE"""),"36153 SAYRI TUPAC")</f>
        <v>36153 SAYRI TUPAC</v>
      </c>
      <c r="AF315" s="28" t="str">
        <f ca="1">IFERROR(__xludf.DUMMYFUNCTION("""COMPUTED_VALUE"""),"79. Huancavelica")</f>
        <v>79. Huancavelica</v>
      </c>
    </row>
    <row r="316" spans="1:32" x14ac:dyDescent="0.2">
      <c r="A316" s="16"/>
      <c r="AC316" s="28"/>
      <c r="AD316" s="28" t="str">
        <f ca="1">IFERROR(__xludf.DUMMYFUNCTION("""COMPUTED_VALUE"""),"36201")</f>
        <v>36201</v>
      </c>
      <c r="AE316" s="28" t="str">
        <f ca="1">IFERROR(__xludf.DUMMYFUNCTION("""COMPUTED_VALUE"""),"36201")</f>
        <v>36201</v>
      </c>
      <c r="AF316" s="28" t="str">
        <f ca="1">IFERROR(__xludf.DUMMYFUNCTION("""COMPUTED_VALUE"""),"79. Huancavelica")</f>
        <v>79. Huancavelica</v>
      </c>
    </row>
    <row r="317" spans="1:32" x14ac:dyDescent="0.2">
      <c r="A317" s="16"/>
      <c r="AC317" s="28"/>
      <c r="AD317" s="15"/>
      <c r="AE317" s="15"/>
      <c r="AF317" s="15"/>
    </row>
    <row r="318" spans="1:32" x14ac:dyDescent="0.2">
      <c r="A318" s="16"/>
      <c r="AD318" s="28" t="str">
        <f ca="1">IFERROR(__xludf.DUMMYFUNCTION("""COMPUTED_VALUE"""),"86769 ABRAHAM VALDELOMAR")</f>
        <v>86769 ABRAHAM VALDELOMAR</v>
      </c>
      <c r="AE318" s="28" t="str">
        <f ca="1">IFERROR(__xludf.DUMMYFUNCTION("""COMPUTED_VALUE"""),"86769 ABRAHAM VALDELOMAR")</f>
        <v>86769 ABRAHAM VALDELOMAR</v>
      </c>
      <c r="AF318" s="15"/>
    </row>
    <row r="319" spans="1:32" x14ac:dyDescent="0.2">
      <c r="A319" s="16"/>
      <c r="AC319" s="28"/>
      <c r="AD319" s="28" t="str">
        <f ca="1">IFERROR(__xludf.DUMMYFUNCTION("""COMPUTED_VALUE"""),"86548 JOSE MARIA VELAZ")</f>
        <v>86548 JOSE MARIA VELAZ</v>
      </c>
      <c r="AE319" s="28" t="str">
        <f ca="1">IFERROR(__xludf.DUMMYFUNCTION("""COMPUTED_VALUE"""),"86548 JOSE MARIA VELAZ")</f>
        <v>86548 JOSE MARIA VELAZ</v>
      </c>
      <c r="AF319" s="15"/>
    </row>
    <row r="320" spans="1:32" x14ac:dyDescent="0.2">
      <c r="A320" s="16"/>
      <c r="AC320" s="28"/>
      <c r="AD320" s="28" t="str">
        <f ca="1">IFERROR(__xludf.DUMMYFUNCTION("""COMPUTED_VALUE"""),"86809")</f>
        <v>86809</v>
      </c>
      <c r="AE320" s="28" t="str">
        <f ca="1">IFERROR(__xludf.DUMMYFUNCTION("""COMPUTED_VALUE"""),"86809")</f>
        <v>86809</v>
      </c>
      <c r="AF320" s="15"/>
    </row>
    <row r="321" spans="1:32" x14ac:dyDescent="0.2">
      <c r="A321" s="16"/>
      <c r="AC321" s="28"/>
      <c r="AD321" s="28" t="str">
        <f ca="1">IFERROR(__xludf.DUMMYFUNCTION("""COMPUTED_VALUE"""),"88327")</f>
        <v>88327</v>
      </c>
      <c r="AE321" s="28" t="str">
        <f ca="1">IFERROR(__xludf.DUMMYFUNCTION("""COMPUTED_VALUE"""),"88327")</f>
        <v>88327</v>
      </c>
      <c r="AF321" s="15"/>
    </row>
    <row r="322" spans="1:32" x14ac:dyDescent="0.2">
      <c r="A322" s="16"/>
      <c r="AC322" s="28"/>
      <c r="AD322" s="28" t="str">
        <f ca="1">IFERROR(__xludf.DUMMYFUNCTION("""COMPUTED_VALUE"""),"88247 SAN ENRIQUE")</f>
        <v>88247 SAN ENRIQUE</v>
      </c>
      <c r="AE322" s="28" t="str">
        <f ca="1">IFERROR(__xludf.DUMMYFUNCTION("""COMPUTED_VALUE"""),"88247 SAN ENRIQUE")</f>
        <v>88247 SAN ENRIQUE</v>
      </c>
      <c r="AF322" s="15"/>
    </row>
    <row r="323" spans="1:32" x14ac:dyDescent="0.2">
      <c r="A323" s="16"/>
      <c r="AC323" s="28"/>
      <c r="AD323" s="28" t="str">
        <f ca="1">IFERROR(__xludf.DUMMYFUNCTION("""COMPUTED_VALUE"""),"50912")</f>
        <v>50912</v>
      </c>
      <c r="AE323" s="28" t="str">
        <f ca="1">IFERROR(__xludf.DUMMYFUNCTION("""COMPUTED_VALUE"""),"50912")</f>
        <v>50912</v>
      </c>
      <c r="AF323" s="15"/>
    </row>
    <row r="324" spans="1:32" x14ac:dyDescent="0.2">
      <c r="A324" s="16"/>
      <c r="AC324" s="28"/>
      <c r="AD324" s="28" t="str">
        <f ca="1">IFERROR(__xludf.DUMMYFUNCTION("""COMPUTED_VALUE"""),"50536")</f>
        <v>50536</v>
      </c>
      <c r="AE324" s="28" t="str">
        <f ca="1">IFERROR(__xludf.DUMMYFUNCTION("""COMPUTED_VALUE"""),"50536")</f>
        <v>50536</v>
      </c>
      <c r="AF324" s="15"/>
    </row>
    <row r="325" spans="1:32" x14ac:dyDescent="0.2">
      <c r="A325" s="16"/>
      <c r="AC325" s="28"/>
      <c r="AD325" s="28" t="str">
        <f ca="1">IFERROR(__xludf.DUMMYFUNCTION("""COMPUTED_VALUE"""),"501432")</f>
        <v>501432</v>
      </c>
      <c r="AE325" s="28" t="str">
        <f ca="1">IFERROR(__xludf.DUMMYFUNCTION("""COMPUTED_VALUE"""),"501432 PAPA FRANCISCO I")</f>
        <v>501432 PAPA FRANCISCO I</v>
      </c>
      <c r="AF325" s="15"/>
    </row>
    <row r="326" spans="1:32" x14ac:dyDescent="0.2">
      <c r="A326" s="16"/>
      <c r="AC326" s="28"/>
      <c r="AD326" s="28" t="str">
        <f ca="1">IFERROR(__xludf.DUMMYFUNCTION("""COMPUTED_VALUE"""),"64115")</f>
        <v>64115</v>
      </c>
      <c r="AE326" s="28" t="str">
        <f ca="1">IFERROR(__xludf.DUMMYFUNCTION("""COMPUTED_VALUE"""),"64115")</f>
        <v>64115</v>
      </c>
      <c r="AF326" s="15"/>
    </row>
    <row r="327" spans="1:32" x14ac:dyDescent="0.2">
      <c r="A327" s="16"/>
      <c r="AC327" s="28"/>
      <c r="AD327" s="28" t="str">
        <f ca="1">IFERROR(__xludf.DUMMYFUNCTION("""COMPUTED_VALUE"""),"64028")</f>
        <v>64028</v>
      </c>
      <c r="AE327" s="28" t="str">
        <f ca="1">IFERROR(__xludf.DUMMYFUNCTION("""COMPUTED_VALUE"""),"64028")</f>
        <v>64028</v>
      </c>
      <c r="AF327" s="15"/>
    </row>
    <row r="328" spans="1:32" x14ac:dyDescent="0.2">
      <c r="A328" s="16"/>
      <c r="AC328" s="28"/>
      <c r="AD328" s="28" t="str">
        <f ca="1">IFERROR(__xludf.DUMMYFUNCTION("""COMPUTED_VALUE"""),"65199")</f>
        <v>65199</v>
      </c>
      <c r="AE328" s="28" t="str">
        <f ca="1">IFERROR(__xludf.DUMMYFUNCTION("""COMPUTED_VALUE"""),"65199")</f>
        <v>65199</v>
      </c>
      <c r="AF328" s="15"/>
    </row>
    <row r="329" spans="1:32" x14ac:dyDescent="0.2">
      <c r="A329" s="16"/>
      <c r="AC329" s="28"/>
      <c r="AD329" s="28" t="str">
        <f ca="1">IFERROR(__xludf.DUMMYFUNCTION("""COMPUTED_VALUE"""),"64346")</f>
        <v>64346</v>
      </c>
      <c r="AE329" s="28" t="str">
        <f ca="1">IFERROR(__xludf.DUMMYFUNCTION("""COMPUTED_VALUE"""),"64346")</f>
        <v>64346</v>
      </c>
      <c r="AF329" s="15"/>
    </row>
    <row r="330" spans="1:32" x14ac:dyDescent="0.2">
      <c r="A330" s="16"/>
      <c r="AC330" s="28"/>
      <c r="AD330" s="28" t="str">
        <f ca="1">IFERROR(__xludf.DUMMYFUNCTION("""COMPUTED_VALUE"""),"64829")</f>
        <v>64829</v>
      </c>
      <c r="AE330" s="28" t="str">
        <f ca="1">IFERROR(__xludf.DUMMYFUNCTION("""COMPUTED_VALUE"""),"64829")</f>
        <v>64829</v>
      </c>
      <c r="AF330" s="15"/>
    </row>
    <row r="331" spans="1:32" x14ac:dyDescent="0.2">
      <c r="A331" s="16"/>
      <c r="AC331" s="28"/>
      <c r="AD331" s="28" t="str">
        <f ca="1">IFERROR(__xludf.DUMMYFUNCTION("""COMPUTED_VALUE"""),"36173 SANTIAGO ANTUNEZ DE MAYOLO")</f>
        <v>36173 SANTIAGO ANTUNEZ DE MAYOLO</v>
      </c>
      <c r="AE331" s="28" t="str">
        <f ca="1">IFERROR(__xludf.DUMMYFUNCTION("""COMPUTED_VALUE"""),"SANTIAGO ANTUNEZ DE MAYOLO")</f>
        <v>SANTIAGO ANTUNEZ DE MAYOLO</v>
      </c>
      <c r="AF331" s="15"/>
    </row>
    <row r="332" spans="1:32" x14ac:dyDescent="0.2">
      <c r="A332" s="16"/>
      <c r="AC332" s="28"/>
      <c r="AD332" s="28" t="str">
        <f ca="1">IFERROR(__xludf.DUMMYFUNCTION("""COMPUTED_VALUE"""),"36789 NUESTRA SEÑORA DEL CARMEN")</f>
        <v>36789 NUESTRA SEÑORA DEL CARMEN</v>
      </c>
      <c r="AE332" s="28" t="str">
        <f ca="1">IFERROR(__xludf.DUMMYFUNCTION("""COMPUTED_VALUE"""),"36789 NUESTRA SEÑORA DEL CARMEN")</f>
        <v>36789 NUESTRA SEÑORA DEL CARMEN</v>
      </c>
      <c r="AF332" s="15"/>
    </row>
    <row r="333" spans="1:32" x14ac:dyDescent="0.2">
      <c r="A333" s="16"/>
      <c r="AC333" s="28"/>
      <c r="AD333" s="15"/>
      <c r="AE333" s="15"/>
      <c r="AF333" s="15"/>
    </row>
    <row r="334" spans="1:32" x14ac:dyDescent="0.2">
      <c r="A334" s="16"/>
      <c r="AD334" s="15"/>
      <c r="AE334" s="15"/>
      <c r="AF334" s="15"/>
    </row>
    <row r="335" spans="1:32" x14ac:dyDescent="0.2">
      <c r="A335" s="16"/>
      <c r="AD335" s="15"/>
      <c r="AE335" s="15"/>
      <c r="AF335" s="15"/>
    </row>
    <row r="336" spans="1:32" x14ac:dyDescent="0.2">
      <c r="A336" s="16"/>
      <c r="AD336" s="15"/>
      <c r="AE336" s="15"/>
      <c r="AF336" s="15"/>
    </row>
    <row r="337" spans="1:32" x14ac:dyDescent="0.2">
      <c r="A337" s="16"/>
      <c r="AD337" s="15"/>
      <c r="AE337" s="15"/>
      <c r="AF337" s="15"/>
    </row>
    <row r="338" spans="1:32" x14ac:dyDescent="0.2">
      <c r="A338" s="16"/>
      <c r="AD338" s="15"/>
      <c r="AE338" s="15"/>
      <c r="AF338" s="15"/>
    </row>
    <row r="339" spans="1:32" x14ac:dyDescent="0.2">
      <c r="A339" s="16"/>
      <c r="AD339" s="15"/>
      <c r="AE339" s="15"/>
      <c r="AF339" s="15"/>
    </row>
    <row r="340" spans="1:32" x14ac:dyDescent="0.2">
      <c r="A340" s="16"/>
      <c r="AD340" s="15"/>
      <c r="AE340" s="15"/>
      <c r="AF340" s="15"/>
    </row>
    <row r="341" spans="1:32" x14ac:dyDescent="0.2">
      <c r="A341" s="16"/>
      <c r="AD341" s="15"/>
      <c r="AE341" s="15"/>
      <c r="AF341" s="15"/>
    </row>
    <row r="342" spans="1:32" x14ac:dyDescent="0.2">
      <c r="A342" s="16"/>
      <c r="AD342" s="15"/>
      <c r="AE342" s="15"/>
      <c r="AF342" s="15"/>
    </row>
    <row r="343" spans="1:32" x14ac:dyDescent="0.2">
      <c r="A343" s="16"/>
      <c r="AD343" s="15"/>
      <c r="AE343" s="15"/>
      <c r="AF343" s="15"/>
    </row>
    <row r="344" spans="1:32" x14ac:dyDescent="0.2">
      <c r="A344" s="16"/>
      <c r="AD344" s="15"/>
      <c r="AE344" s="15"/>
      <c r="AF344" s="15"/>
    </row>
    <row r="345" spans="1:32" x14ac:dyDescent="0.2">
      <c r="A345" s="16"/>
      <c r="AD345" s="15"/>
      <c r="AE345" s="15"/>
      <c r="AF345" s="15"/>
    </row>
    <row r="346" spans="1:32" x14ac:dyDescent="0.2">
      <c r="A346" s="16"/>
      <c r="AD346" s="15"/>
      <c r="AE346" s="15"/>
      <c r="AF346" s="15"/>
    </row>
    <row r="347" spans="1:32" x14ac:dyDescent="0.2">
      <c r="A347" s="16"/>
      <c r="AD347" s="15"/>
      <c r="AE347" s="15"/>
      <c r="AF347" s="15"/>
    </row>
    <row r="348" spans="1:32" x14ac:dyDescent="0.2">
      <c r="A348" s="16"/>
      <c r="AD348" s="15"/>
      <c r="AE348" s="15"/>
      <c r="AF348" s="15"/>
    </row>
    <row r="349" spans="1:32" x14ac:dyDescent="0.2">
      <c r="A349" s="16"/>
      <c r="AD349" s="15"/>
      <c r="AE349" s="15"/>
      <c r="AF349" s="15"/>
    </row>
    <row r="350" spans="1:32" x14ac:dyDescent="0.2">
      <c r="A350" s="16"/>
      <c r="AD350" s="15"/>
      <c r="AE350" s="15"/>
      <c r="AF350" s="15"/>
    </row>
    <row r="351" spans="1:32" x14ac:dyDescent="0.2">
      <c r="A351" s="16"/>
      <c r="AD351" s="15"/>
      <c r="AE351" s="15"/>
      <c r="AF351" s="15"/>
    </row>
    <row r="352" spans="1:32" x14ac:dyDescent="0.2">
      <c r="A352" s="16"/>
      <c r="AD352" s="15"/>
      <c r="AE352" s="15"/>
      <c r="AF352" s="15"/>
    </row>
    <row r="353" spans="1:32" x14ac:dyDescent="0.2">
      <c r="A353" s="16"/>
      <c r="AD353" s="15"/>
      <c r="AE353" s="15"/>
      <c r="AF353" s="15"/>
    </row>
    <row r="354" spans="1:32" x14ac:dyDescent="0.2">
      <c r="A354" s="16"/>
    </row>
    <row r="355" spans="1:32" x14ac:dyDescent="0.2">
      <c r="A355" s="16"/>
    </row>
    <row r="356" spans="1:32" x14ac:dyDescent="0.2">
      <c r="A356" s="16"/>
    </row>
    <row r="357" spans="1:32" x14ac:dyDescent="0.2">
      <c r="A357" s="16"/>
    </row>
    <row r="358" spans="1:32" x14ac:dyDescent="0.2">
      <c r="A358" s="16"/>
    </row>
    <row r="359" spans="1:32" x14ac:dyDescent="0.2">
      <c r="A359" s="16"/>
    </row>
    <row r="360" spans="1:32" x14ac:dyDescent="0.2">
      <c r="A360" s="16"/>
    </row>
    <row r="361" spans="1:32" x14ac:dyDescent="0.2">
      <c r="A361" s="16"/>
    </row>
    <row r="362" spans="1:32" x14ac:dyDescent="0.2">
      <c r="A362" s="16"/>
    </row>
    <row r="363" spans="1:32" x14ac:dyDescent="0.2">
      <c r="A363" s="16"/>
    </row>
    <row r="364" spans="1:32" x14ac:dyDescent="0.2">
      <c r="A364" s="16"/>
    </row>
    <row r="365" spans="1:32" x14ac:dyDescent="0.2">
      <c r="A365" s="16"/>
    </row>
    <row r="366" spans="1:32" x14ac:dyDescent="0.2">
      <c r="A366" s="16"/>
    </row>
    <row r="367" spans="1:32" x14ac:dyDescent="0.2">
      <c r="A367" s="16"/>
    </row>
    <row r="368" spans="1:32" x14ac:dyDescent="0.2">
      <c r="A368" s="16"/>
    </row>
    <row r="369" spans="1:1" x14ac:dyDescent="0.2">
      <c r="A369" s="16"/>
    </row>
    <row r="370" spans="1:1" x14ac:dyDescent="0.2">
      <c r="A370" s="16"/>
    </row>
    <row r="371" spans="1:1" x14ac:dyDescent="0.2">
      <c r="A371" s="16"/>
    </row>
    <row r="372" spans="1:1" x14ac:dyDescent="0.2">
      <c r="A372" s="16"/>
    </row>
    <row r="373" spans="1:1" x14ac:dyDescent="0.2">
      <c r="A373" s="16"/>
    </row>
    <row r="374" spans="1:1" x14ac:dyDescent="0.2">
      <c r="A374" s="16"/>
    </row>
    <row r="375" spans="1:1" x14ac:dyDescent="0.2">
      <c r="A375" s="16"/>
    </row>
    <row r="376" spans="1:1" x14ac:dyDescent="0.2">
      <c r="A376" s="16"/>
    </row>
    <row r="377" spans="1:1" x14ac:dyDescent="0.2">
      <c r="A377" s="16"/>
    </row>
    <row r="378" spans="1:1" x14ac:dyDescent="0.2">
      <c r="A378" s="16"/>
    </row>
    <row r="379" spans="1:1" x14ac:dyDescent="0.2">
      <c r="A379" s="16"/>
    </row>
    <row r="380" spans="1:1" x14ac:dyDescent="0.2">
      <c r="A380" s="16"/>
    </row>
    <row r="381" spans="1:1" x14ac:dyDescent="0.2">
      <c r="A381" s="16"/>
    </row>
    <row r="382" spans="1:1" x14ac:dyDescent="0.2">
      <c r="A382" s="16"/>
    </row>
    <row r="383" spans="1:1" x14ac:dyDescent="0.2">
      <c r="A383" s="16"/>
    </row>
    <row r="384" spans="1:1" x14ac:dyDescent="0.2">
      <c r="A384" s="16"/>
    </row>
    <row r="385" spans="1:1" x14ac:dyDescent="0.2">
      <c r="A385" s="16"/>
    </row>
    <row r="386" spans="1:1" x14ac:dyDescent="0.2">
      <c r="A386" s="16"/>
    </row>
    <row r="387" spans="1:1" x14ac:dyDescent="0.2">
      <c r="A387" s="16"/>
    </row>
    <row r="388" spans="1:1" x14ac:dyDescent="0.2">
      <c r="A388" s="16"/>
    </row>
    <row r="389" spans="1:1" x14ac:dyDescent="0.2">
      <c r="A389" s="16"/>
    </row>
    <row r="390" spans="1:1" x14ac:dyDescent="0.2">
      <c r="A390" s="16"/>
    </row>
    <row r="391" spans="1:1" x14ac:dyDescent="0.2">
      <c r="A391" s="16"/>
    </row>
    <row r="392" spans="1:1" x14ac:dyDescent="0.2">
      <c r="A392" s="16"/>
    </row>
    <row r="393" spans="1:1" x14ac:dyDescent="0.2">
      <c r="A393" s="16"/>
    </row>
    <row r="394" spans="1:1" x14ac:dyDescent="0.2">
      <c r="A394" s="16"/>
    </row>
    <row r="395" spans="1:1" x14ac:dyDescent="0.2">
      <c r="A395" s="16"/>
    </row>
    <row r="396" spans="1:1" x14ac:dyDescent="0.2">
      <c r="A396" s="16"/>
    </row>
    <row r="397" spans="1:1" x14ac:dyDescent="0.2">
      <c r="A397" s="16"/>
    </row>
    <row r="398" spans="1:1" x14ac:dyDescent="0.2">
      <c r="A398" s="16"/>
    </row>
    <row r="399" spans="1:1" x14ac:dyDescent="0.2">
      <c r="A399" s="16"/>
    </row>
    <row r="400" spans="1:1" x14ac:dyDescent="0.2">
      <c r="A400" s="16"/>
    </row>
    <row r="401" spans="1:1" x14ac:dyDescent="0.2">
      <c r="A401" s="16"/>
    </row>
    <row r="402" spans="1:1" x14ac:dyDescent="0.2">
      <c r="A402" s="16"/>
    </row>
    <row r="403" spans="1:1" x14ac:dyDescent="0.2">
      <c r="A403" s="16"/>
    </row>
    <row r="404" spans="1:1" x14ac:dyDescent="0.2">
      <c r="A404" s="16"/>
    </row>
    <row r="405" spans="1:1" x14ac:dyDescent="0.2">
      <c r="A405" s="16"/>
    </row>
    <row r="406" spans="1:1" x14ac:dyDescent="0.2">
      <c r="A406" s="16"/>
    </row>
    <row r="407" spans="1:1" x14ac:dyDescent="0.2">
      <c r="A407" s="16"/>
    </row>
    <row r="408" spans="1:1" x14ac:dyDescent="0.2">
      <c r="A408" s="16"/>
    </row>
    <row r="409" spans="1:1" x14ac:dyDescent="0.2">
      <c r="A409" s="16"/>
    </row>
    <row r="410" spans="1:1" x14ac:dyDescent="0.2">
      <c r="A410" s="16"/>
    </row>
    <row r="411" spans="1:1" x14ac:dyDescent="0.2">
      <c r="A411" s="16"/>
    </row>
    <row r="412" spans="1:1" x14ac:dyDescent="0.2">
      <c r="A412" s="16"/>
    </row>
    <row r="413" spans="1:1" x14ac:dyDescent="0.2">
      <c r="A413" s="16"/>
    </row>
    <row r="414" spans="1:1" x14ac:dyDescent="0.2">
      <c r="A414" s="16"/>
    </row>
    <row r="415" spans="1:1" x14ac:dyDescent="0.2">
      <c r="A415" s="16"/>
    </row>
    <row r="416" spans="1:1" x14ac:dyDescent="0.2">
      <c r="A416" s="16"/>
    </row>
    <row r="417" spans="1:1" x14ac:dyDescent="0.2">
      <c r="A417" s="16"/>
    </row>
    <row r="418" spans="1:1" x14ac:dyDescent="0.2">
      <c r="A418" s="16"/>
    </row>
    <row r="419" spans="1:1" x14ac:dyDescent="0.2">
      <c r="A419" s="16"/>
    </row>
    <row r="420" spans="1:1" x14ac:dyDescent="0.2">
      <c r="A420" s="16"/>
    </row>
    <row r="421" spans="1:1" x14ac:dyDescent="0.2">
      <c r="A421" s="16"/>
    </row>
    <row r="422" spans="1:1" x14ac:dyDescent="0.2">
      <c r="A422" s="16"/>
    </row>
    <row r="423" spans="1:1" x14ac:dyDescent="0.2">
      <c r="A423" s="16"/>
    </row>
    <row r="424" spans="1:1" x14ac:dyDescent="0.2">
      <c r="A424" s="16"/>
    </row>
    <row r="425" spans="1:1" x14ac:dyDescent="0.2">
      <c r="A425" s="16"/>
    </row>
    <row r="426" spans="1:1" x14ac:dyDescent="0.2">
      <c r="A426" s="16"/>
    </row>
    <row r="427" spans="1:1" x14ac:dyDescent="0.2">
      <c r="A427" s="16"/>
    </row>
    <row r="428" spans="1:1" x14ac:dyDescent="0.2">
      <c r="A428" s="16"/>
    </row>
    <row r="429" spans="1:1" x14ac:dyDescent="0.2">
      <c r="A429" s="16"/>
    </row>
    <row r="430" spans="1:1" x14ac:dyDescent="0.2">
      <c r="A430" s="16"/>
    </row>
    <row r="431" spans="1:1" x14ac:dyDescent="0.2">
      <c r="A431" s="16"/>
    </row>
    <row r="432" spans="1:1" x14ac:dyDescent="0.2">
      <c r="A432" s="16"/>
    </row>
    <row r="433" spans="1:1" x14ac:dyDescent="0.2">
      <c r="A433" s="16"/>
    </row>
    <row r="434" spans="1:1" x14ac:dyDescent="0.2">
      <c r="A434" s="16"/>
    </row>
    <row r="435" spans="1:1" x14ac:dyDescent="0.2">
      <c r="A435" s="16"/>
    </row>
    <row r="436" spans="1:1" x14ac:dyDescent="0.2">
      <c r="A436" s="16"/>
    </row>
    <row r="437" spans="1:1" x14ac:dyDescent="0.2">
      <c r="A437" s="16"/>
    </row>
    <row r="438" spans="1:1" x14ac:dyDescent="0.2">
      <c r="A438" s="16"/>
    </row>
    <row r="439" spans="1:1" x14ac:dyDescent="0.2">
      <c r="A439" s="16"/>
    </row>
    <row r="440" spans="1:1" x14ac:dyDescent="0.2">
      <c r="A440" s="16"/>
    </row>
    <row r="441" spans="1:1" x14ac:dyDescent="0.2">
      <c r="A441" s="16"/>
    </row>
    <row r="442" spans="1:1" x14ac:dyDescent="0.2">
      <c r="A442" s="16"/>
    </row>
    <row r="443" spans="1:1" x14ac:dyDescent="0.2">
      <c r="A443" s="16"/>
    </row>
    <row r="444" spans="1:1" x14ac:dyDescent="0.2">
      <c r="A444" s="16"/>
    </row>
    <row r="445" spans="1:1" x14ac:dyDescent="0.2">
      <c r="A445" s="16"/>
    </row>
    <row r="446" spans="1:1" x14ac:dyDescent="0.2">
      <c r="A446" s="16"/>
    </row>
    <row r="447" spans="1:1" x14ac:dyDescent="0.2">
      <c r="A447" s="16"/>
    </row>
    <row r="448" spans="1:1" x14ac:dyDescent="0.2">
      <c r="A448" s="16"/>
    </row>
    <row r="449" spans="1:1" x14ac:dyDescent="0.2">
      <c r="A449" s="16"/>
    </row>
    <row r="450" spans="1:1" x14ac:dyDescent="0.2">
      <c r="A450" s="16"/>
    </row>
    <row r="451" spans="1:1" x14ac:dyDescent="0.2">
      <c r="A451" s="16"/>
    </row>
    <row r="452" spans="1:1" x14ac:dyDescent="0.2">
      <c r="A452" s="16"/>
    </row>
    <row r="453" spans="1:1" x14ac:dyDescent="0.2">
      <c r="A453" s="16"/>
    </row>
    <row r="454" spans="1:1" x14ac:dyDescent="0.2">
      <c r="A454" s="16"/>
    </row>
    <row r="455" spans="1:1" x14ac:dyDescent="0.2">
      <c r="A455" s="16"/>
    </row>
    <row r="456" spans="1:1" x14ac:dyDescent="0.2">
      <c r="A456" s="16"/>
    </row>
    <row r="457" spans="1:1" x14ac:dyDescent="0.2">
      <c r="A457" s="16"/>
    </row>
    <row r="458" spans="1:1" x14ac:dyDescent="0.2">
      <c r="A458" s="16"/>
    </row>
    <row r="459" spans="1:1" x14ac:dyDescent="0.2">
      <c r="A459" s="16"/>
    </row>
    <row r="460" spans="1:1" x14ac:dyDescent="0.2">
      <c r="A460" s="16"/>
    </row>
    <row r="461" spans="1:1" x14ac:dyDescent="0.2">
      <c r="A461" s="16"/>
    </row>
    <row r="462" spans="1:1" x14ac:dyDescent="0.2">
      <c r="A462" s="16"/>
    </row>
    <row r="463" spans="1:1" x14ac:dyDescent="0.2">
      <c r="A463" s="16"/>
    </row>
    <row r="464" spans="1:1" x14ac:dyDescent="0.2">
      <c r="A464" s="16"/>
    </row>
    <row r="465" spans="1:1" x14ac:dyDescent="0.2">
      <c r="A465" s="16"/>
    </row>
    <row r="466" spans="1:1" x14ac:dyDescent="0.2">
      <c r="A466" s="16"/>
    </row>
    <row r="467" spans="1:1" x14ac:dyDescent="0.2">
      <c r="A467" s="16"/>
    </row>
    <row r="468" spans="1:1" x14ac:dyDescent="0.2">
      <c r="A468" s="16"/>
    </row>
    <row r="469" spans="1:1" x14ac:dyDescent="0.2">
      <c r="A469" s="16"/>
    </row>
    <row r="470" spans="1:1" x14ac:dyDescent="0.2">
      <c r="A470" s="16"/>
    </row>
    <row r="471" spans="1:1" x14ac:dyDescent="0.2">
      <c r="A471" s="16"/>
    </row>
    <row r="472" spans="1:1" x14ac:dyDescent="0.2">
      <c r="A472" s="16"/>
    </row>
    <row r="473" spans="1:1" x14ac:dyDescent="0.2">
      <c r="A473" s="16"/>
    </row>
    <row r="474" spans="1:1" x14ac:dyDescent="0.2">
      <c r="A474" s="16"/>
    </row>
    <row r="475" spans="1:1" x14ac:dyDescent="0.2">
      <c r="A475" s="16"/>
    </row>
    <row r="476" spans="1:1" x14ac:dyDescent="0.2">
      <c r="A476" s="16"/>
    </row>
    <row r="477" spans="1:1" x14ac:dyDescent="0.2">
      <c r="A477" s="16"/>
    </row>
    <row r="478" spans="1:1" x14ac:dyDescent="0.2">
      <c r="A478" s="16"/>
    </row>
    <row r="479" spans="1:1" x14ac:dyDescent="0.2">
      <c r="A479" s="16"/>
    </row>
    <row r="480" spans="1:1" x14ac:dyDescent="0.2">
      <c r="A480" s="16"/>
    </row>
    <row r="481" spans="1:1" x14ac:dyDescent="0.2">
      <c r="A481" s="16"/>
    </row>
    <row r="482" spans="1:1" x14ac:dyDescent="0.2">
      <c r="A482" s="16"/>
    </row>
    <row r="483" spans="1:1" x14ac:dyDescent="0.2">
      <c r="A483" s="16"/>
    </row>
    <row r="484" spans="1:1" x14ac:dyDescent="0.2">
      <c r="A484" s="16"/>
    </row>
    <row r="485" spans="1:1" x14ac:dyDescent="0.2">
      <c r="A485" s="16"/>
    </row>
    <row r="486" spans="1:1" x14ac:dyDescent="0.2">
      <c r="A486" s="16"/>
    </row>
    <row r="487" spans="1:1" x14ac:dyDescent="0.2">
      <c r="A487" s="16"/>
    </row>
    <row r="488" spans="1:1" x14ac:dyDescent="0.2">
      <c r="A488" s="16"/>
    </row>
    <row r="489" spans="1:1" x14ac:dyDescent="0.2">
      <c r="A489" s="16"/>
    </row>
    <row r="490" spans="1:1" x14ac:dyDescent="0.2">
      <c r="A490" s="16"/>
    </row>
    <row r="491" spans="1:1" x14ac:dyDescent="0.2">
      <c r="A491" s="16"/>
    </row>
    <row r="492" spans="1:1" x14ac:dyDescent="0.2">
      <c r="A492" s="16"/>
    </row>
    <row r="493" spans="1:1" x14ac:dyDescent="0.2">
      <c r="A493" s="16"/>
    </row>
    <row r="494" spans="1:1" x14ac:dyDescent="0.2">
      <c r="A494" s="16"/>
    </row>
    <row r="495" spans="1:1" x14ac:dyDescent="0.2">
      <c r="A495" s="16"/>
    </row>
    <row r="496" spans="1:1" x14ac:dyDescent="0.2">
      <c r="A496" s="16"/>
    </row>
    <row r="497" spans="1:1" x14ac:dyDescent="0.2">
      <c r="A497" s="16"/>
    </row>
    <row r="498" spans="1:1" x14ac:dyDescent="0.2">
      <c r="A498" s="16"/>
    </row>
    <row r="499" spans="1:1" x14ac:dyDescent="0.2">
      <c r="A499" s="16"/>
    </row>
    <row r="500" spans="1:1" x14ac:dyDescent="0.2">
      <c r="A500" s="16"/>
    </row>
    <row r="501" spans="1:1" x14ac:dyDescent="0.2">
      <c r="A501" s="16"/>
    </row>
    <row r="502" spans="1:1" x14ac:dyDescent="0.2">
      <c r="A502" s="16"/>
    </row>
    <row r="503" spans="1:1" x14ac:dyDescent="0.2">
      <c r="A503" s="16"/>
    </row>
    <row r="504" spans="1:1" x14ac:dyDescent="0.2">
      <c r="A504" s="16"/>
    </row>
    <row r="505" spans="1:1" x14ac:dyDescent="0.2">
      <c r="A505" s="16"/>
    </row>
    <row r="506" spans="1:1" x14ac:dyDescent="0.2">
      <c r="A506" s="16"/>
    </row>
    <row r="507" spans="1:1" x14ac:dyDescent="0.2">
      <c r="A507" s="16"/>
    </row>
    <row r="508" spans="1:1" x14ac:dyDescent="0.2">
      <c r="A508" s="16"/>
    </row>
    <row r="509" spans="1:1" x14ac:dyDescent="0.2">
      <c r="A509" s="16"/>
    </row>
    <row r="510" spans="1:1" x14ac:dyDescent="0.2">
      <c r="A510" s="16"/>
    </row>
    <row r="511" spans="1:1" x14ac:dyDescent="0.2">
      <c r="A511" s="16"/>
    </row>
    <row r="512" spans="1:1" x14ac:dyDescent="0.2">
      <c r="A512" s="16"/>
    </row>
    <row r="513" spans="1:1" x14ac:dyDescent="0.2">
      <c r="A513" s="16"/>
    </row>
    <row r="514" spans="1:1" x14ac:dyDescent="0.2">
      <c r="A514" s="16"/>
    </row>
    <row r="515" spans="1:1" x14ac:dyDescent="0.2">
      <c r="A515" s="16"/>
    </row>
    <row r="516" spans="1:1" x14ac:dyDescent="0.2">
      <c r="A516" s="16"/>
    </row>
    <row r="517" spans="1:1" x14ac:dyDescent="0.2">
      <c r="A517" s="16"/>
    </row>
    <row r="518" spans="1:1" x14ac:dyDescent="0.2">
      <c r="A518" s="16"/>
    </row>
    <row r="519" spans="1:1" x14ac:dyDescent="0.2">
      <c r="A519" s="16"/>
    </row>
    <row r="520" spans="1:1" x14ac:dyDescent="0.2">
      <c r="A520" s="16"/>
    </row>
    <row r="521" spans="1:1" x14ac:dyDescent="0.2">
      <c r="A521" s="16"/>
    </row>
    <row r="522" spans="1:1" x14ac:dyDescent="0.2">
      <c r="A522" s="16"/>
    </row>
    <row r="523" spans="1:1" x14ac:dyDescent="0.2">
      <c r="A523" s="16"/>
    </row>
    <row r="524" spans="1:1" x14ac:dyDescent="0.2">
      <c r="A524" s="16"/>
    </row>
    <row r="525" spans="1:1" x14ac:dyDescent="0.2">
      <c r="A525" s="16"/>
    </row>
    <row r="526" spans="1:1" x14ac:dyDescent="0.2">
      <c r="A526" s="16"/>
    </row>
    <row r="527" spans="1:1" x14ac:dyDescent="0.2">
      <c r="A527" s="16"/>
    </row>
    <row r="528" spans="1:1" x14ac:dyDescent="0.2">
      <c r="A528" s="16"/>
    </row>
    <row r="529" spans="1:1" x14ac:dyDescent="0.2">
      <c r="A529" s="16"/>
    </row>
    <row r="530" spans="1:1" x14ac:dyDescent="0.2">
      <c r="A530" s="16"/>
    </row>
    <row r="531" spans="1:1" x14ac:dyDescent="0.2">
      <c r="A531" s="16"/>
    </row>
    <row r="532" spans="1:1" x14ac:dyDescent="0.2">
      <c r="A532" s="16"/>
    </row>
    <row r="533" spans="1:1" x14ac:dyDescent="0.2">
      <c r="A533" s="16"/>
    </row>
    <row r="534" spans="1:1" x14ac:dyDescent="0.2">
      <c r="A534" s="16"/>
    </row>
    <row r="535" spans="1:1" x14ac:dyDescent="0.2">
      <c r="A535" s="16"/>
    </row>
    <row r="536" spans="1:1" x14ac:dyDescent="0.2">
      <c r="A536" s="16"/>
    </row>
    <row r="537" spans="1:1" x14ac:dyDescent="0.2">
      <c r="A537" s="16"/>
    </row>
    <row r="538" spans="1:1" x14ac:dyDescent="0.2">
      <c r="A538" s="16"/>
    </row>
    <row r="539" spans="1:1" x14ac:dyDescent="0.2">
      <c r="A539" s="16"/>
    </row>
    <row r="540" spans="1:1" x14ac:dyDescent="0.2">
      <c r="A540" s="16"/>
    </row>
    <row r="541" spans="1:1" x14ac:dyDescent="0.2">
      <c r="A541" s="16"/>
    </row>
    <row r="542" spans="1:1" x14ac:dyDescent="0.2">
      <c r="A542" s="16"/>
    </row>
    <row r="543" spans="1:1" x14ac:dyDescent="0.2">
      <c r="A543" s="16"/>
    </row>
    <row r="544" spans="1:1" x14ac:dyDescent="0.2">
      <c r="A544" s="16"/>
    </row>
    <row r="545" spans="1:1" x14ac:dyDescent="0.2">
      <c r="A545" s="16"/>
    </row>
    <row r="546" spans="1:1" x14ac:dyDescent="0.2">
      <c r="A546" s="16"/>
    </row>
    <row r="547" spans="1:1" x14ac:dyDescent="0.2">
      <c r="A547" s="16"/>
    </row>
    <row r="548" spans="1:1" x14ac:dyDescent="0.2">
      <c r="A548" s="16"/>
    </row>
    <row r="549" spans="1:1" x14ac:dyDescent="0.2">
      <c r="A549" s="16"/>
    </row>
    <row r="550" spans="1:1" x14ac:dyDescent="0.2">
      <c r="A550" s="16"/>
    </row>
    <row r="551" spans="1:1" x14ac:dyDescent="0.2">
      <c r="A551" s="16"/>
    </row>
    <row r="552" spans="1:1" x14ac:dyDescent="0.2">
      <c r="A552" s="16"/>
    </row>
    <row r="553" spans="1:1" x14ac:dyDescent="0.2">
      <c r="A553" s="16"/>
    </row>
    <row r="554" spans="1:1" x14ac:dyDescent="0.2">
      <c r="A554" s="16"/>
    </row>
    <row r="555" spans="1:1" x14ac:dyDescent="0.2">
      <c r="A555" s="16"/>
    </row>
    <row r="556" spans="1:1" x14ac:dyDescent="0.2">
      <c r="A556" s="16"/>
    </row>
    <row r="557" spans="1:1" x14ac:dyDescent="0.2">
      <c r="A557" s="16"/>
    </row>
    <row r="558" spans="1:1" x14ac:dyDescent="0.2">
      <c r="A558" s="16"/>
    </row>
    <row r="559" spans="1:1" x14ac:dyDescent="0.2">
      <c r="A559" s="16"/>
    </row>
    <row r="560" spans="1:1" x14ac:dyDescent="0.2">
      <c r="A560" s="16"/>
    </row>
    <row r="561" spans="1:1" x14ac:dyDescent="0.2">
      <c r="A561" s="16"/>
    </row>
    <row r="562" spans="1:1" x14ac:dyDescent="0.2">
      <c r="A562" s="16"/>
    </row>
    <row r="563" spans="1:1" x14ac:dyDescent="0.2">
      <c r="A563" s="16"/>
    </row>
    <row r="564" spans="1:1" x14ac:dyDescent="0.2">
      <c r="A564" s="16"/>
    </row>
    <row r="565" spans="1:1" x14ac:dyDescent="0.2">
      <c r="A565" s="16"/>
    </row>
    <row r="566" spans="1:1" x14ac:dyDescent="0.2">
      <c r="A566" s="16"/>
    </row>
    <row r="567" spans="1:1" x14ac:dyDescent="0.2">
      <c r="A567" s="16"/>
    </row>
    <row r="568" spans="1:1" x14ac:dyDescent="0.2">
      <c r="A568" s="16"/>
    </row>
    <row r="569" spans="1:1" x14ac:dyDescent="0.2">
      <c r="A569" s="16"/>
    </row>
    <row r="570" spans="1:1" x14ac:dyDescent="0.2">
      <c r="A570" s="16"/>
    </row>
    <row r="571" spans="1:1" x14ac:dyDescent="0.2">
      <c r="A571" s="16"/>
    </row>
    <row r="572" spans="1:1" x14ac:dyDescent="0.2">
      <c r="A572" s="16"/>
    </row>
    <row r="573" spans="1:1" x14ac:dyDescent="0.2">
      <c r="A573" s="16"/>
    </row>
    <row r="574" spans="1:1" x14ac:dyDescent="0.2">
      <c r="A574" s="16"/>
    </row>
    <row r="575" spans="1:1" x14ac:dyDescent="0.2">
      <c r="A575" s="16"/>
    </row>
    <row r="576" spans="1:1" x14ac:dyDescent="0.2">
      <c r="A576" s="16"/>
    </row>
    <row r="577" spans="1:1" x14ac:dyDescent="0.2">
      <c r="A577" s="16"/>
    </row>
    <row r="578" spans="1:1" x14ac:dyDescent="0.2">
      <c r="A578" s="16"/>
    </row>
    <row r="579" spans="1:1" x14ac:dyDescent="0.2">
      <c r="A579" s="16"/>
    </row>
    <row r="580" spans="1:1" x14ac:dyDescent="0.2">
      <c r="A580" s="16"/>
    </row>
    <row r="581" spans="1:1" x14ac:dyDescent="0.2">
      <c r="A581" s="16"/>
    </row>
    <row r="582" spans="1:1" x14ac:dyDescent="0.2">
      <c r="A582" s="16"/>
    </row>
    <row r="583" spans="1:1" x14ac:dyDescent="0.2">
      <c r="A583" s="16"/>
    </row>
    <row r="584" spans="1:1" x14ac:dyDescent="0.2">
      <c r="A584" s="16"/>
    </row>
    <row r="585" spans="1:1" x14ac:dyDescent="0.2">
      <c r="A585" s="16"/>
    </row>
    <row r="586" spans="1:1" x14ac:dyDescent="0.2">
      <c r="A586" s="16"/>
    </row>
    <row r="587" spans="1:1" x14ac:dyDescent="0.2">
      <c r="A587" s="16"/>
    </row>
    <row r="588" spans="1:1" x14ac:dyDescent="0.2">
      <c r="A588" s="16"/>
    </row>
    <row r="589" spans="1:1" x14ac:dyDescent="0.2">
      <c r="A589" s="16"/>
    </row>
    <row r="590" spans="1:1" x14ac:dyDescent="0.2">
      <c r="A590" s="16"/>
    </row>
    <row r="591" spans="1:1" x14ac:dyDescent="0.2">
      <c r="A591" s="16"/>
    </row>
    <row r="592" spans="1:1" x14ac:dyDescent="0.2">
      <c r="A592" s="16"/>
    </row>
    <row r="593" spans="1:1" x14ac:dyDescent="0.2">
      <c r="A593" s="16"/>
    </row>
    <row r="594" spans="1:1" x14ac:dyDescent="0.2">
      <c r="A594" s="16"/>
    </row>
    <row r="595" spans="1:1" x14ac:dyDescent="0.2">
      <c r="A595" s="16"/>
    </row>
    <row r="596" spans="1:1" x14ac:dyDescent="0.2">
      <c r="A596" s="16"/>
    </row>
    <row r="597" spans="1:1" x14ac:dyDescent="0.2">
      <c r="A597" s="16"/>
    </row>
    <row r="598" spans="1:1" x14ac:dyDescent="0.2">
      <c r="A598" s="16"/>
    </row>
    <row r="599" spans="1:1" x14ac:dyDescent="0.2">
      <c r="A599" s="16"/>
    </row>
    <row r="600" spans="1:1" x14ac:dyDescent="0.2">
      <c r="A600" s="16"/>
    </row>
    <row r="601" spans="1:1" x14ac:dyDescent="0.2">
      <c r="A601" s="16"/>
    </row>
    <row r="602" spans="1:1" x14ac:dyDescent="0.2">
      <c r="A602" s="16"/>
    </row>
    <row r="603" spans="1:1" x14ac:dyDescent="0.2">
      <c r="A603" s="16"/>
    </row>
    <row r="604" spans="1:1" x14ac:dyDescent="0.2">
      <c r="A604" s="16"/>
    </row>
    <row r="605" spans="1:1" x14ac:dyDescent="0.2">
      <c r="A605" s="16"/>
    </row>
    <row r="606" spans="1:1" x14ac:dyDescent="0.2">
      <c r="A606" s="16"/>
    </row>
    <row r="607" spans="1:1" x14ac:dyDescent="0.2">
      <c r="A607" s="16"/>
    </row>
    <row r="608" spans="1:1" x14ac:dyDescent="0.2">
      <c r="A608" s="16"/>
    </row>
    <row r="609" spans="1:1" x14ac:dyDescent="0.2">
      <c r="A609" s="16"/>
    </row>
    <row r="610" spans="1:1" x14ac:dyDescent="0.2">
      <c r="A610" s="16"/>
    </row>
    <row r="611" spans="1:1" x14ac:dyDescent="0.2">
      <c r="A611" s="16"/>
    </row>
    <row r="612" spans="1:1" x14ac:dyDescent="0.2">
      <c r="A612" s="16"/>
    </row>
    <row r="613" spans="1:1" x14ac:dyDescent="0.2">
      <c r="A613" s="16"/>
    </row>
    <row r="614" spans="1:1" x14ac:dyDescent="0.2">
      <c r="A614" s="16"/>
    </row>
    <row r="615" spans="1:1" x14ac:dyDescent="0.2">
      <c r="A615" s="16"/>
    </row>
    <row r="616" spans="1:1" x14ac:dyDescent="0.2">
      <c r="A616" s="16"/>
    </row>
    <row r="617" spans="1:1" x14ac:dyDescent="0.2">
      <c r="A617" s="16"/>
    </row>
    <row r="618" spans="1:1" x14ac:dyDescent="0.2">
      <c r="A618" s="16"/>
    </row>
    <row r="619" spans="1:1" x14ac:dyDescent="0.2">
      <c r="A619" s="16"/>
    </row>
    <row r="620" spans="1:1" x14ac:dyDescent="0.2">
      <c r="A620" s="16"/>
    </row>
    <row r="621" spans="1:1" x14ac:dyDescent="0.2">
      <c r="A621" s="16"/>
    </row>
    <row r="622" spans="1:1" x14ac:dyDescent="0.2">
      <c r="A622" s="16"/>
    </row>
    <row r="623" spans="1:1" x14ac:dyDescent="0.2">
      <c r="A623" s="16"/>
    </row>
    <row r="624" spans="1:1" x14ac:dyDescent="0.2">
      <c r="A624" s="16"/>
    </row>
    <row r="625" spans="1:1" x14ac:dyDescent="0.2">
      <c r="A625" s="16"/>
    </row>
    <row r="626" spans="1:1" x14ac:dyDescent="0.2">
      <c r="A626" s="16"/>
    </row>
    <row r="627" spans="1:1" x14ac:dyDescent="0.2">
      <c r="A627" s="16"/>
    </row>
    <row r="628" spans="1:1" x14ac:dyDescent="0.2">
      <c r="A628" s="16"/>
    </row>
    <row r="629" spans="1:1" x14ac:dyDescent="0.2">
      <c r="A629" s="16"/>
    </row>
    <row r="630" spans="1:1" x14ac:dyDescent="0.2">
      <c r="A630" s="16"/>
    </row>
    <row r="631" spans="1:1" x14ac:dyDescent="0.2">
      <c r="A631" s="16"/>
    </row>
    <row r="632" spans="1:1" x14ac:dyDescent="0.2">
      <c r="A632" s="16"/>
    </row>
    <row r="633" spans="1:1" x14ac:dyDescent="0.2">
      <c r="A633" s="16"/>
    </row>
    <row r="634" spans="1:1" x14ac:dyDescent="0.2">
      <c r="A634" s="16"/>
    </row>
    <row r="635" spans="1:1" x14ac:dyDescent="0.2">
      <c r="A635" s="16"/>
    </row>
    <row r="636" spans="1:1" x14ac:dyDescent="0.2">
      <c r="A636" s="16"/>
    </row>
    <row r="637" spans="1:1" x14ac:dyDescent="0.2">
      <c r="A637" s="16"/>
    </row>
    <row r="638" spans="1:1" x14ac:dyDescent="0.2">
      <c r="A638" s="16"/>
    </row>
    <row r="639" spans="1:1" x14ac:dyDescent="0.2">
      <c r="A639" s="16"/>
    </row>
    <row r="640" spans="1:1" x14ac:dyDescent="0.2">
      <c r="A640" s="16"/>
    </row>
    <row r="641" spans="1:1" x14ac:dyDescent="0.2">
      <c r="A641" s="16"/>
    </row>
    <row r="642" spans="1:1" x14ac:dyDescent="0.2">
      <c r="A642" s="16"/>
    </row>
    <row r="643" spans="1:1" x14ac:dyDescent="0.2">
      <c r="A643" s="16"/>
    </row>
    <row r="644" spans="1:1" x14ac:dyDescent="0.2">
      <c r="A644" s="16"/>
    </row>
    <row r="645" spans="1:1" x14ac:dyDescent="0.2">
      <c r="A645" s="16"/>
    </row>
    <row r="646" spans="1:1" x14ac:dyDescent="0.2">
      <c r="A646" s="16"/>
    </row>
    <row r="647" spans="1:1" x14ac:dyDescent="0.2">
      <c r="A647" s="16"/>
    </row>
    <row r="648" spans="1:1" x14ac:dyDescent="0.2">
      <c r="A648" s="16"/>
    </row>
    <row r="649" spans="1:1" x14ac:dyDescent="0.2">
      <c r="A649" s="16"/>
    </row>
    <row r="650" spans="1:1" x14ac:dyDescent="0.2">
      <c r="A650" s="16"/>
    </row>
    <row r="651" spans="1:1" x14ac:dyDescent="0.2">
      <c r="A651" s="16"/>
    </row>
    <row r="652" spans="1:1" x14ac:dyDescent="0.2">
      <c r="A652" s="16"/>
    </row>
    <row r="653" spans="1:1" x14ac:dyDescent="0.2">
      <c r="A653" s="16"/>
    </row>
    <row r="654" spans="1:1" x14ac:dyDescent="0.2">
      <c r="A654" s="16"/>
    </row>
    <row r="655" spans="1:1" x14ac:dyDescent="0.2">
      <c r="A655" s="16"/>
    </row>
    <row r="656" spans="1:1" x14ac:dyDescent="0.2">
      <c r="A656" s="16"/>
    </row>
    <row r="657" spans="1:1" x14ac:dyDescent="0.2">
      <c r="A657" s="16"/>
    </row>
    <row r="658" spans="1:1" x14ac:dyDescent="0.2">
      <c r="A658" s="16"/>
    </row>
    <row r="659" spans="1:1" x14ac:dyDescent="0.2">
      <c r="A659" s="16"/>
    </row>
    <row r="660" spans="1:1" x14ac:dyDescent="0.2">
      <c r="A660" s="16"/>
    </row>
    <row r="661" spans="1:1" x14ac:dyDescent="0.2">
      <c r="A661" s="16"/>
    </row>
    <row r="662" spans="1:1" x14ac:dyDescent="0.2">
      <c r="A662" s="16"/>
    </row>
    <row r="663" spans="1:1" x14ac:dyDescent="0.2">
      <c r="A663" s="16"/>
    </row>
    <row r="664" spans="1:1" x14ac:dyDescent="0.2">
      <c r="A664" s="16"/>
    </row>
    <row r="665" spans="1:1" x14ac:dyDescent="0.2">
      <c r="A665" s="16"/>
    </row>
    <row r="666" spans="1:1" x14ac:dyDescent="0.2">
      <c r="A666" s="16"/>
    </row>
    <row r="667" spans="1:1" x14ac:dyDescent="0.2">
      <c r="A667" s="16"/>
    </row>
    <row r="668" spans="1:1" x14ac:dyDescent="0.2">
      <c r="A668" s="16"/>
    </row>
    <row r="669" spans="1:1" x14ac:dyDescent="0.2">
      <c r="A669" s="16"/>
    </row>
    <row r="670" spans="1:1" x14ac:dyDescent="0.2">
      <c r="A670" s="16"/>
    </row>
    <row r="671" spans="1:1" x14ac:dyDescent="0.2">
      <c r="A671" s="16"/>
    </row>
    <row r="672" spans="1:1" x14ac:dyDescent="0.2">
      <c r="A672" s="16"/>
    </row>
    <row r="673" spans="1:1" x14ac:dyDescent="0.2">
      <c r="A673" s="16"/>
    </row>
    <row r="674" spans="1:1" x14ac:dyDescent="0.2">
      <c r="A674" s="16"/>
    </row>
    <row r="675" spans="1:1" x14ac:dyDescent="0.2">
      <c r="A675" s="16"/>
    </row>
    <row r="676" spans="1:1" x14ac:dyDescent="0.2">
      <c r="A676" s="16"/>
    </row>
    <row r="677" spans="1:1" x14ac:dyDescent="0.2">
      <c r="A677" s="16"/>
    </row>
    <row r="678" spans="1:1" x14ac:dyDescent="0.2">
      <c r="A678" s="16"/>
    </row>
    <row r="679" spans="1:1" x14ac:dyDescent="0.2">
      <c r="A679" s="16"/>
    </row>
    <row r="680" spans="1:1" x14ac:dyDescent="0.2">
      <c r="A680" s="16"/>
    </row>
    <row r="681" spans="1:1" x14ac:dyDescent="0.2">
      <c r="A681" s="16"/>
    </row>
    <row r="682" spans="1:1" x14ac:dyDescent="0.2">
      <c r="A682" s="16"/>
    </row>
    <row r="683" spans="1:1" x14ac:dyDescent="0.2">
      <c r="A683" s="16"/>
    </row>
    <row r="684" spans="1:1" x14ac:dyDescent="0.2">
      <c r="A684" s="16"/>
    </row>
    <row r="685" spans="1:1" x14ac:dyDescent="0.2">
      <c r="A685" s="16"/>
    </row>
    <row r="686" spans="1:1" x14ac:dyDescent="0.2">
      <c r="A686" s="16"/>
    </row>
    <row r="687" spans="1:1" x14ac:dyDescent="0.2">
      <c r="A687" s="16"/>
    </row>
    <row r="688" spans="1:1" x14ac:dyDescent="0.2">
      <c r="A688" s="16"/>
    </row>
    <row r="689" spans="1:1" x14ac:dyDescent="0.2">
      <c r="A689" s="16"/>
    </row>
    <row r="690" spans="1:1" x14ac:dyDescent="0.2">
      <c r="A690" s="16"/>
    </row>
    <row r="691" spans="1:1" x14ac:dyDescent="0.2">
      <c r="A691" s="16"/>
    </row>
    <row r="692" spans="1:1" x14ac:dyDescent="0.2">
      <c r="A692" s="16"/>
    </row>
    <row r="693" spans="1:1" x14ac:dyDescent="0.2">
      <c r="A693" s="16"/>
    </row>
    <row r="694" spans="1:1" x14ac:dyDescent="0.2">
      <c r="A694" s="16"/>
    </row>
    <row r="695" spans="1:1" x14ac:dyDescent="0.2">
      <c r="A695" s="16"/>
    </row>
    <row r="696" spans="1:1" x14ac:dyDescent="0.2">
      <c r="A696" s="16"/>
    </row>
    <row r="697" spans="1:1" x14ac:dyDescent="0.2">
      <c r="A697" s="16"/>
    </row>
    <row r="698" spans="1:1" x14ac:dyDescent="0.2">
      <c r="A698" s="16"/>
    </row>
    <row r="699" spans="1:1" x14ac:dyDescent="0.2">
      <c r="A699" s="16"/>
    </row>
    <row r="700" spans="1:1" x14ac:dyDescent="0.2">
      <c r="A700" s="16"/>
    </row>
    <row r="701" spans="1:1" x14ac:dyDescent="0.2">
      <c r="A701" s="16"/>
    </row>
    <row r="702" spans="1:1" x14ac:dyDescent="0.2">
      <c r="A702" s="16"/>
    </row>
    <row r="703" spans="1:1" x14ac:dyDescent="0.2">
      <c r="A703" s="16"/>
    </row>
    <row r="704" spans="1:1" x14ac:dyDescent="0.2">
      <c r="A704" s="16"/>
    </row>
    <row r="705" spans="1:1" x14ac:dyDescent="0.2">
      <c r="A705" s="16"/>
    </row>
    <row r="706" spans="1:1" x14ac:dyDescent="0.2">
      <c r="A706" s="16"/>
    </row>
    <row r="707" spans="1:1" x14ac:dyDescent="0.2">
      <c r="A707" s="16"/>
    </row>
    <row r="708" spans="1:1" x14ac:dyDescent="0.2">
      <c r="A708" s="16"/>
    </row>
    <row r="709" spans="1:1" x14ac:dyDescent="0.2">
      <c r="A709" s="16"/>
    </row>
    <row r="710" spans="1:1" x14ac:dyDescent="0.2">
      <c r="A710" s="16"/>
    </row>
    <row r="711" spans="1:1" x14ac:dyDescent="0.2">
      <c r="A711" s="16"/>
    </row>
    <row r="712" spans="1:1" x14ac:dyDescent="0.2">
      <c r="A712" s="16"/>
    </row>
    <row r="713" spans="1:1" x14ac:dyDescent="0.2">
      <c r="A713" s="16"/>
    </row>
    <row r="714" spans="1:1" x14ac:dyDescent="0.2">
      <c r="A714" s="16"/>
    </row>
    <row r="715" spans="1:1" x14ac:dyDescent="0.2">
      <c r="A715" s="16"/>
    </row>
    <row r="716" spans="1:1" x14ac:dyDescent="0.2">
      <c r="A716" s="16"/>
    </row>
    <row r="717" spans="1:1" x14ac:dyDescent="0.2">
      <c r="A717" s="16"/>
    </row>
    <row r="718" spans="1:1" x14ac:dyDescent="0.2">
      <c r="A718" s="16"/>
    </row>
    <row r="719" spans="1:1" x14ac:dyDescent="0.2">
      <c r="A719" s="16"/>
    </row>
    <row r="720" spans="1:1" x14ac:dyDescent="0.2">
      <c r="A720" s="16"/>
    </row>
    <row r="721" spans="1:1" x14ac:dyDescent="0.2">
      <c r="A721" s="16"/>
    </row>
    <row r="722" spans="1:1" x14ac:dyDescent="0.2">
      <c r="A722" s="16"/>
    </row>
    <row r="723" spans="1:1" x14ac:dyDescent="0.2">
      <c r="A723" s="16"/>
    </row>
    <row r="724" spans="1:1" x14ac:dyDescent="0.2">
      <c r="A724" s="16"/>
    </row>
    <row r="725" spans="1:1" x14ac:dyDescent="0.2">
      <c r="A725" s="16"/>
    </row>
    <row r="726" spans="1:1" x14ac:dyDescent="0.2">
      <c r="A726" s="16"/>
    </row>
    <row r="727" spans="1:1" x14ac:dyDescent="0.2">
      <c r="A727" s="16"/>
    </row>
    <row r="728" spans="1:1" x14ac:dyDescent="0.2">
      <c r="A728" s="16"/>
    </row>
    <row r="729" spans="1:1" x14ac:dyDescent="0.2">
      <c r="A729" s="16"/>
    </row>
    <row r="730" spans="1:1" x14ac:dyDescent="0.2">
      <c r="A730" s="16"/>
    </row>
    <row r="731" spans="1:1" x14ac:dyDescent="0.2">
      <c r="A731" s="16"/>
    </row>
    <row r="732" spans="1:1" x14ac:dyDescent="0.2">
      <c r="A732" s="16"/>
    </row>
    <row r="733" spans="1:1" x14ac:dyDescent="0.2">
      <c r="A733" s="16"/>
    </row>
    <row r="734" spans="1:1" x14ac:dyDescent="0.2">
      <c r="A734" s="16"/>
    </row>
    <row r="735" spans="1:1" x14ac:dyDescent="0.2">
      <c r="A735" s="16"/>
    </row>
    <row r="736" spans="1:1" x14ac:dyDescent="0.2">
      <c r="A736" s="16"/>
    </row>
    <row r="737" spans="1:1" x14ac:dyDescent="0.2">
      <c r="A737" s="16"/>
    </row>
    <row r="738" spans="1:1" x14ac:dyDescent="0.2">
      <c r="A738" s="16"/>
    </row>
    <row r="739" spans="1:1" x14ac:dyDescent="0.2">
      <c r="A739" s="16"/>
    </row>
    <row r="740" spans="1:1" x14ac:dyDescent="0.2">
      <c r="A740" s="16"/>
    </row>
    <row r="741" spans="1:1" x14ac:dyDescent="0.2">
      <c r="A741" s="16"/>
    </row>
    <row r="742" spans="1:1" x14ac:dyDescent="0.2">
      <c r="A742" s="16"/>
    </row>
    <row r="743" spans="1:1" x14ac:dyDescent="0.2">
      <c r="A743" s="16"/>
    </row>
    <row r="744" spans="1:1" x14ac:dyDescent="0.2">
      <c r="A744" s="16"/>
    </row>
    <row r="745" spans="1:1" x14ac:dyDescent="0.2">
      <c r="A745" s="16"/>
    </row>
    <row r="746" spans="1:1" x14ac:dyDescent="0.2">
      <c r="A746" s="16"/>
    </row>
    <row r="747" spans="1:1" x14ac:dyDescent="0.2">
      <c r="A747" s="16"/>
    </row>
    <row r="748" spans="1:1" x14ac:dyDescent="0.2">
      <c r="A748" s="16"/>
    </row>
    <row r="749" spans="1:1" x14ac:dyDescent="0.2">
      <c r="A749" s="16"/>
    </row>
    <row r="750" spans="1:1" x14ac:dyDescent="0.2">
      <c r="A750" s="16"/>
    </row>
    <row r="751" spans="1:1" x14ac:dyDescent="0.2">
      <c r="A751" s="16"/>
    </row>
    <row r="752" spans="1:1" x14ac:dyDescent="0.2">
      <c r="A752" s="16"/>
    </row>
    <row r="753" spans="1:1" x14ac:dyDescent="0.2">
      <c r="A753" s="16"/>
    </row>
    <row r="754" spans="1:1" x14ac:dyDescent="0.2">
      <c r="A754" s="16"/>
    </row>
    <row r="755" spans="1:1" x14ac:dyDescent="0.2">
      <c r="A755" s="16"/>
    </row>
    <row r="756" spans="1:1" x14ac:dyDescent="0.2">
      <c r="A756" s="16"/>
    </row>
    <row r="757" spans="1:1" x14ac:dyDescent="0.2">
      <c r="A757" s="16"/>
    </row>
    <row r="758" spans="1:1" x14ac:dyDescent="0.2">
      <c r="A758" s="16"/>
    </row>
    <row r="759" spans="1:1" x14ac:dyDescent="0.2">
      <c r="A759" s="16"/>
    </row>
    <row r="760" spans="1:1" x14ac:dyDescent="0.2">
      <c r="A760" s="16"/>
    </row>
    <row r="761" spans="1:1" x14ac:dyDescent="0.2">
      <c r="A761" s="16"/>
    </row>
    <row r="762" spans="1:1" x14ac:dyDescent="0.2">
      <c r="A762" s="16"/>
    </row>
    <row r="763" spans="1:1" x14ac:dyDescent="0.2">
      <c r="A763" s="16"/>
    </row>
    <row r="764" spans="1:1" x14ac:dyDescent="0.2">
      <c r="A764" s="16"/>
    </row>
    <row r="765" spans="1:1" x14ac:dyDescent="0.2">
      <c r="A765" s="16"/>
    </row>
    <row r="766" spans="1:1" x14ac:dyDescent="0.2">
      <c r="A766" s="16"/>
    </row>
    <row r="767" spans="1:1" x14ac:dyDescent="0.2">
      <c r="A767" s="16"/>
    </row>
    <row r="768" spans="1:1" x14ac:dyDescent="0.2">
      <c r="A768" s="16"/>
    </row>
    <row r="769" spans="1:1" x14ac:dyDescent="0.2">
      <c r="A769" s="16"/>
    </row>
    <row r="770" spans="1:1" x14ac:dyDescent="0.2">
      <c r="A770" s="16"/>
    </row>
    <row r="771" spans="1:1" x14ac:dyDescent="0.2">
      <c r="A771" s="16"/>
    </row>
    <row r="772" spans="1:1" x14ac:dyDescent="0.2">
      <c r="A772" s="16"/>
    </row>
    <row r="773" spans="1:1" x14ac:dyDescent="0.2">
      <c r="A773" s="16"/>
    </row>
    <row r="774" spans="1:1" x14ac:dyDescent="0.2">
      <c r="A774" s="16"/>
    </row>
    <row r="775" spans="1:1" x14ac:dyDescent="0.2">
      <c r="A775" s="16"/>
    </row>
    <row r="776" spans="1:1" x14ac:dyDescent="0.2">
      <c r="A776" s="16"/>
    </row>
    <row r="777" spans="1:1" x14ac:dyDescent="0.2">
      <c r="A777" s="16"/>
    </row>
    <row r="778" spans="1:1" x14ac:dyDescent="0.2">
      <c r="A778" s="16"/>
    </row>
    <row r="779" spans="1:1" x14ac:dyDescent="0.2">
      <c r="A779" s="16"/>
    </row>
    <row r="780" spans="1:1" x14ac:dyDescent="0.2">
      <c r="A780" s="16"/>
    </row>
    <row r="781" spans="1:1" x14ac:dyDescent="0.2">
      <c r="A781" s="16"/>
    </row>
    <row r="782" spans="1:1" x14ac:dyDescent="0.2">
      <c r="A782" s="16"/>
    </row>
    <row r="783" spans="1:1" x14ac:dyDescent="0.2">
      <c r="A783" s="16"/>
    </row>
    <row r="784" spans="1:1" x14ac:dyDescent="0.2">
      <c r="A784" s="16"/>
    </row>
    <row r="785" spans="1:1" x14ac:dyDescent="0.2">
      <c r="A785" s="16"/>
    </row>
    <row r="786" spans="1:1" x14ac:dyDescent="0.2">
      <c r="A786" s="16"/>
    </row>
    <row r="787" spans="1:1" x14ac:dyDescent="0.2">
      <c r="A787" s="16"/>
    </row>
    <row r="788" spans="1:1" x14ac:dyDescent="0.2">
      <c r="A788" s="16"/>
    </row>
    <row r="789" spans="1:1" x14ac:dyDescent="0.2">
      <c r="A789" s="16"/>
    </row>
    <row r="790" spans="1:1" x14ac:dyDescent="0.2">
      <c r="A790" s="16"/>
    </row>
    <row r="791" spans="1:1" x14ac:dyDescent="0.2">
      <c r="A791" s="16"/>
    </row>
    <row r="792" spans="1:1" x14ac:dyDescent="0.2">
      <c r="A792" s="16"/>
    </row>
    <row r="793" spans="1:1" x14ac:dyDescent="0.2">
      <c r="A793" s="16"/>
    </row>
    <row r="794" spans="1:1" x14ac:dyDescent="0.2">
      <c r="A794" s="16"/>
    </row>
    <row r="795" spans="1:1" x14ac:dyDescent="0.2">
      <c r="A795" s="16"/>
    </row>
    <row r="796" spans="1:1" x14ac:dyDescent="0.2">
      <c r="A796" s="16"/>
    </row>
    <row r="797" spans="1:1" x14ac:dyDescent="0.2">
      <c r="A797" s="16"/>
    </row>
    <row r="798" spans="1:1" x14ac:dyDescent="0.2">
      <c r="A798" s="16"/>
    </row>
    <row r="799" spans="1:1" x14ac:dyDescent="0.2">
      <c r="A799" s="16"/>
    </row>
    <row r="800" spans="1:1" x14ac:dyDescent="0.2">
      <c r="A800" s="16"/>
    </row>
    <row r="801" spans="1:1" x14ac:dyDescent="0.2">
      <c r="A801" s="16"/>
    </row>
    <row r="802" spans="1:1" x14ac:dyDescent="0.2">
      <c r="A802" s="16"/>
    </row>
    <row r="803" spans="1:1" x14ac:dyDescent="0.2">
      <c r="A803" s="16"/>
    </row>
    <row r="804" spans="1:1" x14ac:dyDescent="0.2">
      <c r="A804" s="16"/>
    </row>
    <row r="805" spans="1:1" x14ac:dyDescent="0.2">
      <c r="A805" s="16"/>
    </row>
    <row r="806" spans="1:1" x14ac:dyDescent="0.2">
      <c r="A806" s="16"/>
    </row>
    <row r="807" spans="1:1" x14ac:dyDescent="0.2">
      <c r="A807" s="16"/>
    </row>
    <row r="808" spans="1:1" x14ac:dyDescent="0.2">
      <c r="A808" s="16"/>
    </row>
    <row r="809" spans="1:1" x14ac:dyDescent="0.2">
      <c r="A809" s="16"/>
    </row>
    <row r="810" spans="1:1" x14ac:dyDescent="0.2">
      <c r="A810" s="16"/>
    </row>
    <row r="811" spans="1:1" x14ac:dyDescent="0.2">
      <c r="A811" s="16"/>
    </row>
    <row r="812" spans="1:1" x14ac:dyDescent="0.2">
      <c r="A812" s="16"/>
    </row>
    <row r="813" spans="1:1" x14ac:dyDescent="0.2">
      <c r="A813" s="16"/>
    </row>
    <row r="814" spans="1:1" x14ac:dyDescent="0.2">
      <c r="A814" s="16"/>
    </row>
    <row r="815" spans="1:1" x14ac:dyDescent="0.2">
      <c r="A815" s="16"/>
    </row>
    <row r="816" spans="1:1" x14ac:dyDescent="0.2">
      <c r="A816" s="16"/>
    </row>
    <row r="817" spans="1:1" x14ac:dyDescent="0.2">
      <c r="A817" s="16"/>
    </row>
    <row r="818" spans="1:1" x14ac:dyDescent="0.2">
      <c r="A818" s="16"/>
    </row>
    <row r="819" spans="1:1" x14ac:dyDescent="0.2">
      <c r="A819" s="16"/>
    </row>
    <row r="820" spans="1:1" x14ac:dyDescent="0.2">
      <c r="A820" s="16"/>
    </row>
    <row r="821" spans="1:1" x14ac:dyDescent="0.2">
      <c r="A821" s="16"/>
    </row>
    <row r="822" spans="1:1" x14ac:dyDescent="0.2">
      <c r="A822" s="16"/>
    </row>
    <row r="823" spans="1:1" x14ac:dyDescent="0.2">
      <c r="A823" s="16"/>
    </row>
    <row r="824" spans="1:1" x14ac:dyDescent="0.2">
      <c r="A824" s="16"/>
    </row>
    <row r="825" spans="1:1" x14ac:dyDescent="0.2">
      <c r="A825" s="16"/>
    </row>
    <row r="826" spans="1:1" x14ac:dyDescent="0.2">
      <c r="A826" s="16"/>
    </row>
    <row r="827" spans="1:1" x14ac:dyDescent="0.2">
      <c r="A827" s="16"/>
    </row>
    <row r="828" spans="1:1" x14ac:dyDescent="0.2">
      <c r="A828" s="16"/>
    </row>
    <row r="829" spans="1:1" x14ac:dyDescent="0.2">
      <c r="A829" s="16"/>
    </row>
    <row r="830" spans="1:1" x14ac:dyDescent="0.2">
      <c r="A830" s="16"/>
    </row>
    <row r="831" spans="1:1" x14ac:dyDescent="0.2">
      <c r="A831" s="16"/>
    </row>
    <row r="832" spans="1:1" x14ac:dyDescent="0.2">
      <c r="A832" s="16"/>
    </row>
    <row r="833" spans="1:1" x14ac:dyDescent="0.2">
      <c r="A833" s="16"/>
    </row>
    <row r="834" spans="1:1" x14ac:dyDescent="0.2">
      <c r="A834" s="16"/>
    </row>
    <row r="835" spans="1:1" x14ac:dyDescent="0.2">
      <c r="A835" s="16"/>
    </row>
    <row r="836" spans="1:1" x14ac:dyDescent="0.2">
      <c r="A836" s="16"/>
    </row>
    <row r="837" spans="1:1" x14ac:dyDescent="0.2">
      <c r="A837" s="16"/>
    </row>
    <row r="838" spans="1:1" x14ac:dyDescent="0.2">
      <c r="A838" s="16"/>
    </row>
    <row r="839" spans="1:1" x14ac:dyDescent="0.2">
      <c r="A839" s="16"/>
    </row>
    <row r="840" spans="1:1" x14ac:dyDescent="0.2">
      <c r="A840" s="16"/>
    </row>
    <row r="841" spans="1:1" x14ac:dyDescent="0.2">
      <c r="A841" s="16"/>
    </row>
    <row r="842" spans="1:1" x14ac:dyDescent="0.2">
      <c r="A842" s="16"/>
    </row>
    <row r="843" spans="1:1" x14ac:dyDescent="0.2">
      <c r="A843" s="16"/>
    </row>
    <row r="844" spans="1:1" x14ac:dyDescent="0.2">
      <c r="A844" s="16"/>
    </row>
    <row r="845" spans="1:1" x14ac:dyDescent="0.2">
      <c r="A845" s="16"/>
    </row>
    <row r="846" spans="1:1" x14ac:dyDescent="0.2">
      <c r="A846" s="16"/>
    </row>
    <row r="847" spans="1:1" x14ac:dyDescent="0.2">
      <c r="A847" s="16"/>
    </row>
    <row r="848" spans="1:1" x14ac:dyDescent="0.2">
      <c r="A848" s="16"/>
    </row>
    <row r="849" spans="1:1" x14ac:dyDescent="0.2">
      <c r="A849" s="16"/>
    </row>
    <row r="850" spans="1:1" x14ac:dyDescent="0.2">
      <c r="A850" s="16"/>
    </row>
    <row r="851" spans="1:1" x14ac:dyDescent="0.2">
      <c r="A851" s="16"/>
    </row>
    <row r="852" spans="1:1" x14ac:dyDescent="0.2">
      <c r="A852" s="16"/>
    </row>
    <row r="853" spans="1:1" x14ac:dyDescent="0.2">
      <c r="A853" s="16"/>
    </row>
    <row r="854" spans="1:1" x14ac:dyDescent="0.2">
      <c r="A854" s="16"/>
    </row>
    <row r="855" spans="1:1" x14ac:dyDescent="0.2">
      <c r="A855" s="16"/>
    </row>
    <row r="856" spans="1:1" x14ac:dyDescent="0.2">
      <c r="A856" s="16"/>
    </row>
    <row r="857" spans="1:1" x14ac:dyDescent="0.2">
      <c r="A857" s="16"/>
    </row>
    <row r="858" spans="1:1" x14ac:dyDescent="0.2">
      <c r="A858" s="16"/>
    </row>
    <row r="859" spans="1:1" x14ac:dyDescent="0.2">
      <c r="A859" s="16"/>
    </row>
    <row r="860" spans="1:1" x14ac:dyDescent="0.2">
      <c r="A860" s="16"/>
    </row>
    <row r="861" spans="1:1" x14ac:dyDescent="0.2">
      <c r="A861" s="16"/>
    </row>
    <row r="862" spans="1:1" x14ac:dyDescent="0.2">
      <c r="A862" s="16"/>
    </row>
    <row r="863" spans="1:1" x14ac:dyDescent="0.2">
      <c r="A863" s="16"/>
    </row>
    <row r="864" spans="1:1" x14ac:dyDescent="0.2">
      <c r="A864" s="16"/>
    </row>
    <row r="865" spans="1:1" x14ac:dyDescent="0.2">
      <c r="A865" s="16"/>
    </row>
    <row r="866" spans="1:1" x14ac:dyDescent="0.2">
      <c r="A866" s="16"/>
    </row>
    <row r="867" spans="1:1" x14ac:dyDescent="0.2">
      <c r="A867" s="16"/>
    </row>
    <row r="868" spans="1:1" x14ac:dyDescent="0.2">
      <c r="A868" s="16"/>
    </row>
    <row r="869" spans="1:1" x14ac:dyDescent="0.2">
      <c r="A869" s="16"/>
    </row>
    <row r="870" spans="1:1" x14ac:dyDescent="0.2">
      <c r="A870" s="16"/>
    </row>
    <row r="871" spans="1:1" x14ac:dyDescent="0.2">
      <c r="A871" s="16"/>
    </row>
    <row r="872" spans="1:1" x14ac:dyDescent="0.2">
      <c r="A872" s="16"/>
    </row>
    <row r="873" spans="1:1" x14ac:dyDescent="0.2">
      <c r="A873" s="16"/>
    </row>
    <row r="874" spans="1:1" x14ac:dyDescent="0.2">
      <c r="A874" s="16"/>
    </row>
    <row r="875" spans="1:1" x14ac:dyDescent="0.2">
      <c r="A875" s="16"/>
    </row>
    <row r="876" spans="1:1" x14ac:dyDescent="0.2">
      <c r="A876" s="16"/>
    </row>
    <row r="877" spans="1:1" x14ac:dyDescent="0.2">
      <c r="A877" s="16"/>
    </row>
    <row r="878" spans="1:1" x14ac:dyDescent="0.2">
      <c r="A878" s="16"/>
    </row>
    <row r="879" spans="1:1" x14ac:dyDescent="0.2">
      <c r="A879" s="16"/>
    </row>
    <row r="880" spans="1:1" x14ac:dyDescent="0.2">
      <c r="A880" s="16"/>
    </row>
    <row r="881" spans="1:1" x14ac:dyDescent="0.2">
      <c r="A881" s="16"/>
    </row>
    <row r="882" spans="1:1" x14ac:dyDescent="0.2">
      <c r="A882" s="16"/>
    </row>
    <row r="883" spans="1:1" x14ac:dyDescent="0.2">
      <c r="A883" s="16"/>
    </row>
    <row r="884" spans="1:1" x14ac:dyDescent="0.2">
      <c r="A884" s="16"/>
    </row>
    <row r="885" spans="1:1" x14ac:dyDescent="0.2">
      <c r="A885" s="16"/>
    </row>
    <row r="886" spans="1:1" x14ac:dyDescent="0.2">
      <c r="A886" s="16"/>
    </row>
    <row r="887" spans="1:1" x14ac:dyDescent="0.2">
      <c r="A887" s="16"/>
    </row>
    <row r="888" spans="1:1" x14ac:dyDescent="0.2">
      <c r="A888" s="16"/>
    </row>
    <row r="889" spans="1:1" x14ac:dyDescent="0.2">
      <c r="A889" s="16"/>
    </row>
    <row r="890" spans="1:1" x14ac:dyDescent="0.2">
      <c r="A890" s="16"/>
    </row>
    <row r="891" spans="1:1" x14ac:dyDescent="0.2">
      <c r="A891" s="16"/>
    </row>
    <row r="892" spans="1:1" x14ac:dyDescent="0.2">
      <c r="A892" s="16"/>
    </row>
    <row r="893" spans="1:1" x14ac:dyDescent="0.2">
      <c r="A893" s="16"/>
    </row>
    <row r="894" spans="1:1" x14ac:dyDescent="0.2">
      <c r="A894" s="16"/>
    </row>
    <row r="895" spans="1:1" x14ac:dyDescent="0.2">
      <c r="A895" s="16"/>
    </row>
    <row r="896" spans="1:1" x14ac:dyDescent="0.2">
      <c r="A896" s="16"/>
    </row>
    <row r="897" spans="1:1" x14ac:dyDescent="0.2">
      <c r="A897" s="16"/>
    </row>
    <row r="898" spans="1:1" x14ac:dyDescent="0.2">
      <c r="A898" s="16"/>
    </row>
    <row r="899" spans="1:1" x14ac:dyDescent="0.2">
      <c r="A899" s="16"/>
    </row>
    <row r="900" spans="1:1" x14ac:dyDescent="0.2">
      <c r="A900" s="16"/>
    </row>
    <row r="901" spans="1:1" x14ac:dyDescent="0.2">
      <c r="A901" s="16"/>
    </row>
    <row r="902" spans="1:1" x14ac:dyDescent="0.2">
      <c r="A902" s="16"/>
    </row>
    <row r="903" spans="1:1" x14ac:dyDescent="0.2">
      <c r="A903" s="16"/>
    </row>
    <row r="904" spans="1:1" x14ac:dyDescent="0.2">
      <c r="A904" s="16"/>
    </row>
    <row r="905" spans="1:1" x14ac:dyDescent="0.2">
      <c r="A905" s="16"/>
    </row>
    <row r="906" spans="1:1" x14ac:dyDescent="0.2">
      <c r="A906" s="16"/>
    </row>
    <row r="907" spans="1:1" x14ac:dyDescent="0.2">
      <c r="A907" s="16"/>
    </row>
    <row r="908" spans="1:1" x14ac:dyDescent="0.2">
      <c r="A908" s="16"/>
    </row>
    <row r="909" spans="1:1" x14ac:dyDescent="0.2">
      <c r="A909" s="16"/>
    </row>
    <row r="910" spans="1:1" x14ac:dyDescent="0.2">
      <c r="A910" s="16"/>
    </row>
    <row r="911" spans="1:1" x14ac:dyDescent="0.2">
      <c r="A911" s="16"/>
    </row>
    <row r="912" spans="1:1" x14ac:dyDescent="0.2">
      <c r="A912" s="16"/>
    </row>
    <row r="913" spans="1:1" x14ac:dyDescent="0.2">
      <c r="A913" s="16"/>
    </row>
    <row r="914" spans="1:1" x14ac:dyDescent="0.2">
      <c r="A914" s="16"/>
    </row>
    <row r="915" spans="1:1" x14ac:dyDescent="0.2">
      <c r="A915" s="16"/>
    </row>
    <row r="916" spans="1:1" x14ac:dyDescent="0.2">
      <c r="A916" s="16"/>
    </row>
    <row r="917" spans="1:1" x14ac:dyDescent="0.2">
      <c r="A917" s="16"/>
    </row>
    <row r="918" spans="1:1" x14ac:dyDescent="0.2">
      <c r="A918" s="16"/>
    </row>
    <row r="919" spans="1:1" x14ac:dyDescent="0.2">
      <c r="A919" s="16"/>
    </row>
    <row r="920" spans="1:1" x14ac:dyDescent="0.2">
      <c r="A920" s="16"/>
    </row>
    <row r="921" spans="1:1" x14ac:dyDescent="0.2">
      <c r="A921" s="16"/>
    </row>
    <row r="922" spans="1:1" x14ac:dyDescent="0.2">
      <c r="A922" s="16"/>
    </row>
    <row r="923" spans="1:1" x14ac:dyDescent="0.2">
      <c r="A923" s="16"/>
    </row>
    <row r="924" spans="1:1" x14ac:dyDescent="0.2">
      <c r="A924" s="16"/>
    </row>
    <row r="925" spans="1:1" x14ac:dyDescent="0.2">
      <c r="A925" s="16"/>
    </row>
    <row r="926" spans="1:1" x14ac:dyDescent="0.2">
      <c r="A926" s="16"/>
    </row>
    <row r="927" spans="1:1" x14ac:dyDescent="0.2">
      <c r="A927" s="16"/>
    </row>
    <row r="928" spans="1:1" x14ac:dyDescent="0.2">
      <c r="A928" s="16"/>
    </row>
    <row r="929" spans="1:1" x14ac:dyDescent="0.2">
      <c r="A929" s="16"/>
    </row>
    <row r="930" spans="1:1" x14ac:dyDescent="0.2">
      <c r="A930" s="16"/>
    </row>
    <row r="931" spans="1:1" x14ac:dyDescent="0.2">
      <c r="A931" s="16"/>
    </row>
    <row r="932" spans="1:1" x14ac:dyDescent="0.2">
      <c r="A932" s="16"/>
    </row>
    <row r="933" spans="1:1" x14ac:dyDescent="0.2">
      <c r="A933" s="16"/>
    </row>
    <row r="934" spans="1:1" x14ac:dyDescent="0.2">
      <c r="A934" s="16"/>
    </row>
    <row r="935" spans="1:1" x14ac:dyDescent="0.2">
      <c r="A935" s="16"/>
    </row>
    <row r="936" spans="1:1" x14ac:dyDescent="0.2">
      <c r="A936" s="16"/>
    </row>
    <row r="937" spans="1:1" x14ac:dyDescent="0.2">
      <c r="A937" s="16"/>
    </row>
    <row r="938" spans="1:1" x14ac:dyDescent="0.2">
      <c r="A938" s="16"/>
    </row>
    <row r="939" spans="1:1" x14ac:dyDescent="0.2">
      <c r="A939" s="16"/>
    </row>
    <row r="940" spans="1:1" x14ac:dyDescent="0.2">
      <c r="A940" s="16"/>
    </row>
    <row r="941" spans="1:1" x14ac:dyDescent="0.2">
      <c r="A941" s="16"/>
    </row>
    <row r="942" spans="1:1" x14ac:dyDescent="0.2">
      <c r="A942" s="16"/>
    </row>
    <row r="943" spans="1:1" x14ac:dyDescent="0.2">
      <c r="A943" s="16"/>
    </row>
    <row r="944" spans="1:1" x14ac:dyDescent="0.2">
      <c r="A944" s="16"/>
    </row>
    <row r="945" spans="1:1" x14ac:dyDescent="0.2">
      <c r="A945" s="16"/>
    </row>
    <row r="946" spans="1:1" x14ac:dyDescent="0.2">
      <c r="A946" s="16"/>
    </row>
    <row r="947" spans="1:1" x14ac:dyDescent="0.2">
      <c r="A947" s="16"/>
    </row>
    <row r="948" spans="1:1" x14ac:dyDescent="0.2">
      <c r="A948" s="16"/>
    </row>
    <row r="949" spans="1:1" x14ac:dyDescent="0.2">
      <c r="A949" s="16"/>
    </row>
    <row r="950" spans="1:1" x14ac:dyDescent="0.2">
      <c r="A950" s="16"/>
    </row>
    <row r="951" spans="1:1" x14ac:dyDescent="0.2">
      <c r="A951" s="16"/>
    </row>
    <row r="952" spans="1:1" x14ac:dyDescent="0.2">
      <c r="A952" s="16"/>
    </row>
    <row r="953" spans="1:1" x14ac:dyDescent="0.2">
      <c r="A953" s="16"/>
    </row>
    <row r="954" spans="1:1" x14ac:dyDescent="0.2">
      <c r="A954" s="16"/>
    </row>
    <row r="955" spans="1:1" x14ac:dyDescent="0.2">
      <c r="A955" s="16"/>
    </row>
    <row r="956" spans="1:1" x14ac:dyDescent="0.2">
      <c r="A956" s="16"/>
    </row>
    <row r="957" spans="1:1" x14ac:dyDescent="0.2">
      <c r="A957" s="16"/>
    </row>
    <row r="958" spans="1:1" x14ac:dyDescent="0.2">
      <c r="A958" s="16"/>
    </row>
    <row r="959" spans="1:1" x14ac:dyDescent="0.2">
      <c r="A959" s="16"/>
    </row>
    <row r="960" spans="1:1" x14ac:dyDescent="0.2">
      <c r="A960" s="16"/>
    </row>
    <row r="961" spans="1:1" x14ac:dyDescent="0.2">
      <c r="A961" s="16"/>
    </row>
    <row r="962" spans="1:1" x14ac:dyDescent="0.2">
      <c r="A962" s="16"/>
    </row>
    <row r="963" spans="1:1" x14ac:dyDescent="0.2">
      <c r="A963" s="16"/>
    </row>
    <row r="964" spans="1:1" x14ac:dyDescent="0.2">
      <c r="A964" s="16"/>
    </row>
    <row r="965" spans="1:1" x14ac:dyDescent="0.2">
      <c r="A965" s="16"/>
    </row>
    <row r="966" spans="1:1" x14ac:dyDescent="0.2">
      <c r="A966" s="16"/>
    </row>
    <row r="967" spans="1:1" x14ac:dyDescent="0.2">
      <c r="A967" s="16"/>
    </row>
    <row r="968" spans="1:1" x14ac:dyDescent="0.2">
      <c r="A968" s="16"/>
    </row>
    <row r="969" spans="1:1" x14ac:dyDescent="0.2">
      <c r="A969" s="16"/>
    </row>
    <row r="970" spans="1:1" x14ac:dyDescent="0.2">
      <c r="A970" s="16"/>
    </row>
    <row r="971" spans="1:1" x14ac:dyDescent="0.2">
      <c r="A971" s="16"/>
    </row>
    <row r="972" spans="1:1" x14ac:dyDescent="0.2">
      <c r="A972" s="16"/>
    </row>
    <row r="973" spans="1:1" x14ac:dyDescent="0.2">
      <c r="A973" s="16"/>
    </row>
    <row r="974" spans="1:1" x14ac:dyDescent="0.2">
      <c r="A974" s="16"/>
    </row>
    <row r="975" spans="1:1" x14ac:dyDescent="0.2">
      <c r="A975" s="16"/>
    </row>
    <row r="976" spans="1:1" x14ac:dyDescent="0.2">
      <c r="A976" s="16"/>
    </row>
    <row r="977" spans="1:1" x14ac:dyDescent="0.2">
      <c r="A977" s="16"/>
    </row>
    <row r="978" spans="1:1" x14ac:dyDescent="0.2">
      <c r="A978" s="16"/>
    </row>
    <row r="979" spans="1:1" x14ac:dyDescent="0.2">
      <c r="A979" s="16"/>
    </row>
    <row r="980" spans="1:1" x14ac:dyDescent="0.2">
      <c r="A980" s="16"/>
    </row>
    <row r="981" spans="1:1" x14ac:dyDescent="0.2">
      <c r="A981" s="16"/>
    </row>
    <row r="982" spans="1:1" x14ac:dyDescent="0.2">
      <c r="A982" s="16"/>
    </row>
    <row r="983" spans="1:1" x14ac:dyDescent="0.2">
      <c r="A983" s="16"/>
    </row>
    <row r="984" spans="1:1" x14ac:dyDescent="0.2">
      <c r="A984" s="16"/>
    </row>
    <row r="985" spans="1:1" x14ac:dyDescent="0.2">
      <c r="A985" s="16"/>
    </row>
    <row r="986" spans="1:1" x14ac:dyDescent="0.2">
      <c r="A986" s="16"/>
    </row>
    <row r="987" spans="1:1" x14ac:dyDescent="0.2">
      <c r="A987" s="16"/>
    </row>
    <row r="988" spans="1:1" x14ac:dyDescent="0.2">
      <c r="A988" s="16"/>
    </row>
    <row r="989" spans="1:1" x14ac:dyDescent="0.2">
      <c r="A989" s="16"/>
    </row>
    <row r="990" spans="1:1" x14ac:dyDescent="0.2">
      <c r="A990" s="16"/>
    </row>
    <row r="991" spans="1:1" x14ac:dyDescent="0.2">
      <c r="A991" s="16"/>
    </row>
    <row r="992" spans="1:1" x14ac:dyDescent="0.2">
      <c r="A992" s="16"/>
    </row>
    <row r="993" spans="1:1" x14ac:dyDescent="0.2">
      <c r="A993" s="16"/>
    </row>
    <row r="994" spans="1:1" x14ac:dyDescent="0.2">
      <c r="A994" s="16"/>
    </row>
    <row r="995" spans="1:1" x14ac:dyDescent="0.2">
      <c r="A995" s="16"/>
    </row>
    <row r="996" spans="1:1" x14ac:dyDescent="0.2">
      <c r="A996" s="16"/>
    </row>
    <row r="997" spans="1:1" x14ac:dyDescent="0.2">
      <c r="A997" s="16"/>
    </row>
    <row r="998" spans="1:1" x14ac:dyDescent="0.2">
      <c r="A998" s="16"/>
    </row>
    <row r="999" spans="1:1" x14ac:dyDescent="0.2">
      <c r="A999" s="16"/>
    </row>
    <row r="1000" spans="1:1" x14ac:dyDescent="0.2">
      <c r="A100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"/>
  <sheetViews>
    <sheetView workbookViewId="0">
      <pane ySplit="1" topLeftCell="A2" activePane="bottomLeft" state="frozen"/>
      <selection pane="bottomLeft" activeCell="F29" sqref="F29"/>
    </sheetView>
  </sheetViews>
  <sheetFormatPr baseColWidth="10" defaultColWidth="12.5703125" defaultRowHeight="15.75" customHeight="1" x14ac:dyDescent="0.2"/>
  <cols>
    <col min="1" max="8" width="18.85546875" customWidth="1"/>
  </cols>
  <sheetData>
    <row r="1" spans="1:2" x14ac:dyDescent="0.2">
      <c r="A1" s="29" t="s">
        <v>158</v>
      </c>
      <c r="B1" s="30" t="s">
        <v>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Factores asociados</vt:lpstr>
      <vt:lpstr>data_ie</vt:lpstr>
      <vt:lpstr>data_docentes</vt:lpstr>
      <vt:lpstr>data_localizacion</vt:lpstr>
      <vt:lpstr>data_estudiantes</vt:lpstr>
      <vt:lpstr>nombres</vt:lpstr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TUSE LLACSAHUANGA</dc:creator>
  <cp:lastModifiedBy>Fe y Alegría del Perú</cp:lastModifiedBy>
  <dcterms:created xsi:type="dcterms:W3CDTF">2025-07-10T23:50:21Z</dcterms:created>
  <dcterms:modified xsi:type="dcterms:W3CDTF">2025-07-10T23:51:17Z</dcterms:modified>
</cp:coreProperties>
</file>