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rcanchari\Desktop\"/>
    </mc:Choice>
  </mc:AlternateContent>
  <xr:revisionPtr revIDLastSave="0" documentId="13_ncr:1_{98D6EC9E-55D0-4A3B-A64F-F2B12DC8D8BA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2023" sheetId="1" r:id="rId1"/>
    <sheet name="2024" sheetId="2" r:id="rId2"/>
  </sheets>
  <definedNames>
    <definedName name="_xlnm._FilterDatabase" localSheetId="0" hidden="1">'2023'!$A$1:$AT$991</definedName>
    <definedName name="_xlnm._FilterDatabase" localSheetId="1" hidden="1">'2024'!$A$1:$R$999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149" i="1" l="1"/>
  <c r="AJ141" i="1"/>
  <c r="AJ133" i="1"/>
  <c r="AJ128" i="1"/>
  <c r="AJ103" i="1"/>
  <c r="AJ104" i="1"/>
  <c r="AJ23" i="1"/>
  <c r="AJ24" i="1"/>
  <c r="AJ21" i="1"/>
  <c r="AJ19" i="1"/>
  <c r="AJ4" i="1"/>
  <c r="M3" i="2" l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O2" i="2"/>
  <c r="Q139" i="2" l="1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AJ176" i="1"/>
  <c r="H197" i="2"/>
  <c r="I197" i="2" s="1"/>
  <c r="H196" i="2"/>
  <c r="I196" i="2" s="1"/>
  <c r="H195" i="2"/>
  <c r="I195" i="2" s="1"/>
  <c r="H194" i="2"/>
  <c r="I194" i="2" s="1"/>
  <c r="H193" i="2"/>
  <c r="I193" i="2" s="1"/>
  <c r="H192" i="2"/>
  <c r="I192" i="2" s="1"/>
  <c r="H191" i="2"/>
  <c r="I191" i="2" s="1"/>
  <c r="R190" i="2"/>
  <c r="R189" i="2"/>
  <c r="R188" i="2"/>
  <c r="R187" i="2"/>
  <c r="R186" i="2"/>
  <c r="R185" i="2"/>
  <c r="R184" i="2"/>
  <c r="R183" i="2"/>
  <c r="H183" i="2"/>
  <c r="I183" i="2" s="1"/>
  <c r="R182" i="2"/>
  <c r="H182" i="2"/>
  <c r="I182" i="2" s="1"/>
  <c r="R181" i="2"/>
  <c r="H181" i="2"/>
  <c r="I181" i="2" s="1"/>
  <c r="R180" i="2"/>
  <c r="H180" i="2"/>
  <c r="I180" i="2" s="1"/>
  <c r="R179" i="2"/>
  <c r="R178" i="2"/>
  <c r="R177" i="2"/>
  <c r="R176" i="2"/>
  <c r="R175" i="2"/>
  <c r="R174" i="2"/>
  <c r="H174" i="2"/>
  <c r="I174" i="2" s="1"/>
  <c r="R173" i="2"/>
  <c r="R172" i="2"/>
  <c r="H172" i="2"/>
  <c r="I172" i="2" s="1"/>
  <c r="R171" i="2"/>
  <c r="R170" i="2"/>
  <c r="R169" i="2"/>
  <c r="R168" i="2"/>
  <c r="R167" i="2"/>
  <c r="R166" i="2"/>
  <c r="R165" i="2"/>
  <c r="R164" i="2"/>
  <c r="R163" i="2"/>
  <c r="R162" i="2"/>
  <c r="R161" i="2"/>
  <c r="R160" i="2"/>
  <c r="H160" i="2"/>
  <c r="I160" i="2" s="1"/>
  <c r="H159" i="2"/>
  <c r="I159" i="2" s="1"/>
  <c r="R158" i="2"/>
  <c r="H158" i="2"/>
  <c r="I158" i="2" s="1"/>
  <c r="R157" i="2"/>
  <c r="H157" i="2"/>
  <c r="I157" i="2" s="1"/>
  <c r="R156" i="2"/>
  <c r="H156" i="2"/>
  <c r="I156" i="2" s="1"/>
  <c r="R155" i="2"/>
  <c r="R154" i="2"/>
  <c r="H154" i="2"/>
  <c r="I154" i="2" s="1"/>
  <c r="R153" i="2"/>
  <c r="H153" i="2"/>
  <c r="I153" i="2" s="1"/>
  <c r="R152" i="2"/>
  <c r="R151" i="2"/>
  <c r="H151" i="2"/>
  <c r="I151" i="2" s="1"/>
  <c r="R150" i="2"/>
  <c r="H150" i="2"/>
  <c r="I150" i="2" s="1"/>
  <c r="R149" i="2"/>
  <c r="R148" i="2"/>
  <c r="R147" i="2"/>
  <c r="R146" i="2"/>
  <c r="R145" i="2"/>
  <c r="R144" i="2"/>
  <c r="H144" i="2"/>
  <c r="I144" i="2" s="1"/>
  <c r="R143" i="2"/>
  <c r="R142" i="2"/>
  <c r="H142" i="2"/>
  <c r="I142" i="2" s="1"/>
  <c r="R138" i="2"/>
  <c r="H138" i="2"/>
  <c r="I138" i="2" s="1"/>
  <c r="R137" i="2"/>
  <c r="H137" i="2"/>
  <c r="I137" i="2" s="1"/>
  <c r="R136" i="2"/>
  <c r="H136" i="2"/>
  <c r="I136" i="2" s="1"/>
  <c r="R135" i="2"/>
  <c r="R134" i="2"/>
  <c r="H134" i="2"/>
  <c r="I134" i="2" s="1"/>
  <c r="R133" i="2"/>
  <c r="R132" i="2"/>
  <c r="R131" i="2"/>
  <c r="R130" i="2"/>
  <c r="R129" i="2"/>
  <c r="R128" i="2"/>
  <c r="H128" i="2"/>
  <c r="I128" i="2" s="1"/>
  <c r="R127" i="2"/>
  <c r="R126" i="2"/>
  <c r="R125" i="2"/>
  <c r="R124" i="2"/>
  <c r="H124" i="2"/>
  <c r="I124" i="2" s="1"/>
  <c r="R123" i="2"/>
  <c r="H123" i="2"/>
  <c r="I123" i="2" s="1"/>
  <c r="R122" i="2"/>
  <c r="H122" i="2"/>
  <c r="I122" i="2" s="1"/>
  <c r="R121" i="2"/>
  <c r="R120" i="2"/>
  <c r="R119" i="2"/>
  <c r="R118" i="2"/>
  <c r="H118" i="2"/>
  <c r="I118" i="2" s="1"/>
  <c r="R117" i="2"/>
  <c r="R116" i="2"/>
  <c r="H116" i="2"/>
  <c r="I116" i="2" s="1"/>
  <c r="R115" i="2"/>
  <c r="H115" i="2"/>
  <c r="I115" i="2" s="1"/>
  <c r="R114" i="2"/>
  <c r="H113" i="2"/>
  <c r="I113" i="2" s="1"/>
  <c r="R112" i="2"/>
  <c r="H112" i="2"/>
  <c r="I112" i="2" s="1"/>
  <c r="R111" i="2"/>
  <c r="R110" i="2"/>
  <c r="R109" i="2"/>
  <c r="R108" i="2"/>
  <c r="R107" i="2"/>
  <c r="R106" i="2"/>
  <c r="R105" i="2"/>
  <c r="R104" i="2"/>
  <c r="R103" i="2"/>
  <c r="R102" i="2"/>
  <c r="H102" i="2"/>
  <c r="I102" i="2" s="1"/>
  <c r="R101" i="2"/>
  <c r="R100" i="2"/>
  <c r="R99" i="2"/>
  <c r="R98" i="2"/>
  <c r="R97" i="2"/>
  <c r="R96" i="2"/>
  <c r="R95" i="2"/>
  <c r="R94" i="2"/>
  <c r="R93" i="2"/>
  <c r="H93" i="2"/>
  <c r="I93" i="2" s="1"/>
  <c r="R92" i="2"/>
  <c r="R91" i="2"/>
  <c r="R90" i="2"/>
  <c r="R89" i="2"/>
  <c r="R88" i="2"/>
  <c r="R87" i="2"/>
  <c r="R86" i="2"/>
  <c r="R85" i="2"/>
  <c r="H85" i="2"/>
  <c r="I85" i="2" s="1"/>
  <c r="R84" i="2"/>
  <c r="R83" i="2"/>
  <c r="R82" i="2"/>
  <c r="R81" i="2"/>
  <c r="R80" i="2"/>
  <c r="R79" i="2"/>
  <c r="H79" i="2"/>
  <c r="I79" i="2" s="1"/>
  <c r="R78" i="2"/>
  <c r="R77" i="2"/>
  <c r="H77" i="2"/>
  <c r="I77" i="2" s="1"/>
  <c r="R76" i="2"/>
  <c r="R75" i="2"/>
  <c r="H75" i="2"/>
  <c r="I75" i="2" s="1"/>
  <c r="R74" i="2"/>
  <c r="R73" i="2"/>
  <c r="R72" i="2"/>
  <c r="H71" i="2"/>
  <c r="I71" i="2" s="1"/>
  <c r="R70" i="2"/>
  <c r="R69" i="2"/>
  <c r="H69" i="2"/>
  <c r="I69" i="2" s="1"/>
  <c r="R68" i="2"/>
  <c r="R67" i="2"/>
  <c r="R66" i="2"/>
  <c r="H66" i="2"/>
  <c r="I66" i="2" s="1"/>
  <c r="R65" i="2"/>
  <c r="R64" i="2"/>
  <c r="R63" i="2"/>
  <c r="R62" i="2"/>
  <c r="H62" i="2"/>
  <c r="I62" i="2" s="1"/>
  <c r="R61" i="2"/>
  <c r="R60" i="2"/>
  <c r="H60" i="2"/>
  <c r="I60" i="2" s="1"/>
  <c r="R59" i="2"/>
  <c r="R58" i="2"/>
  <c r="H58" i="2"/>
  <c r="I58" i="2" s="1"/>
  <c r="R57" i="2"/>
  <c r="H57" i="2"/>
  <c r="I57" i="2" s="1"/>
  <c r="R56" i="2"/>
  <c r="R55" i="2"/>
  <c r="R54" i="2"/>
  <c r="H54" i="2"/>
  <c r="I54" i="2" s="1"/>
  <c r="R53" i="2"/>
  <c r="R52" i="2"/>
  <c r="R51" i="2"/>
  <c r="H51" i="2"/>
  <c r="I51" i="2" s="1"/>
  <c r="R50" i="2"/>
  <c r="R49" i="2"/>
  <c r="R48" i="2"/>
  <c r="R47" i="2"/>
  <c r="R46" i="2"/>
  <c r="H46" i="2"/>
  <c r="I46" i="2" s="1"/>
  <c r="R45" i="2"/>
  <c r="H45" i="2"/>
  <c r="I45" i="2" s="1"/>
  <c r="R44" i="2"/>
  <c r="R43" i="2"/>
  <c r="R42" i="2"/>
  <c r="R41" i="2"/>
  <c r="R40" i="2"/>
  <c r="R39" i="2"/>
  <c r="H39" i="2"/>
  <c r="I39" i="2" s="1"/>
  <c r="H38" i="2"/>
  <c r="I38" i="2" s="1"/>
  <c r="R37" i="2"/>
  <c r="H37" i="2"/>
  <c r="I37" i="2" s="1"/>
  <c r="R36" i="2"/>
  <c r="H36" i="2"/>
  <c r="I36" i="2" s="1"/>
  <c r="R35" i="2"/>
  <c r="R34" i="2"/>
  <c r="H34" i="2"/>
  <c r="I34" i="2" s="1"/>
  <c r="R33" i="2"/>
  <c r="R32" i="2"/>
  <c r="H32" i="2"/>
  <c r="I32" i="2" s="1"/>
  <c r="R31" i="2"/>
  <c r="H31" i="2"/>
  <c r="I31" i="2" s="1"/>
  <c r="R30" i="2"/>
  <c r="R29" i="2"/>
  <c r="R28" i="2"/>
  <c r="H28" i="2"/>
  <c r="I28" i="2" s="1"/>
  <c r="R27" i="2"/>
  <c r="R26" i="2"/>
  <c r="R25" i="2"/>
  <c r="H25" i="2"/>
  <c r="I25" i="2" s="1"/>
  <c r="R24" i="2"/>
  <c r="R23" i="2"/>
  <c r="R22" i="2"/>
  <c r="R21" i="2"/>
  <c r="R20" i="2"/>
  <c r="R19" i="2"/>
  <c r="R18" i="2"/>
  <c r="R17" i="2"/>
  <c r="H17" i="2"/>
  <c r="I17" i="2" s="1"/>
  <c r="R16" i="2"/>
  <c r="H16" i="2"/>
  <c r="I16" i="2" s="1"/>
  <c r="R15" i="2"/>
  <c r="R14" i="2"/>
  <c r="R13" i="2"/>
  <c r="H13" i="2"/>
  <c r="I13" i="2" s="1"/>
  <c r="R12" i="2"/>
  <c r="H12" i="2"/>
  <c r="I12" i="2" s="1"/>
  <c r="R11" i="2"/>
  <c r="R10" i="2"/>
  <c r="H10" i="2"/>
  <c r="I10" i="2" s="1"/>
  <c r="R9" i="2"/>
  <c r="R8" i="2"/>
  <c r="R7" i="2"/>
  <c r="R6" i="2"/>
  <c r="R5" i="2"/>
  <c r="R4" i="2"/>
  <c r="H4" i="2"/>
  <c r="I4" i="2" s="1"/>
  <c r="R3" i="2"/>
  <c r="R2" i="2"/>
  <c r="Y240" i="1"/>
  <c r="Z240" i="1" s="1"/>
  <c r="AJ239" i="1"/>
  <c r="AJ238" i="1"/>
  <c r="Y238" i="1"/>
  <c r="Z238" i="1" s="1"/>
  <c r="AJ237" i="1"/>
  <c r="AJ236" i="1"/>
  <c r="Y236" i="1"/>
  <c r="Z236" i="1" s="1"/>
  <c r="AJ235" i="1"/>
  <c r="AJ234" i="1"/>
  <c r="AJ233" i="1"/>
  <c r="Y233" i="1"/>
  <c r="Z233" i="1" s="1"/>
  <c r="AJ232" i="1"/>
  <c r="AJ231" i="1"/>
  <c r="AJ230" i="1"/>
  <c r="Y230" i="1"/>
  <c r="Z230" i="1" s="1"/>
  <c r="AJ227" i="1"/>
  <c r="Y227" i="1"/>
  <c r="Z227" i="1" s="1"/>
  <c r="AJ225" i="1"/>
  <c r="AJ223" i="1"/>
  <c r="Y223" i="1"/>
  <c r="Z223" i="1" s="1"/>
  <c r="AJ221" i="1"/>
  <c r="Y221" i="1"/>
  <c r="Z221" i="1" s="1"/>
  <c r="AJ220" i="1"/>
  <c r="AJ219" i="1"/>
  <c r="AJ218" i="1"/>
  <c r="AJ217" i="1"/>
  <c r="Y217" i="1"/>
  <c r="Z217" i="1" s="1"/>
  <c r="AJ216" i="1"/>
  <c r="Y214" i="1"/>
  <c r="Z214" i="1" s="1"/>
  <c r="AJ213" i="1"/>
  <c r="AJ212" i="1"/>
  <c r="Y212" i="1"/>
  <c r="Z212" i="1" s="1"/>
  <c r="Y211" i="1"/>
  <c r="Z211" i="1" s="1"/>
  <c r="AJ209" i="1"/>
  <c r="Y209" i="1"/>
  <c r="Z209" i="1" s="1"/>
  <c r="AJ208" i="1"/>
  <c r="Y207" i="1"/>
  <c r="Z207" i="1" s="1"/>
  <c r="AJ206" i="1"/>
  <c r="Y206" i="1"/>
  <c r="Z206" i="1" s="1"/>
  <c r="AJ205" i="1"/>
  <c r="Y205" i="1"/>
  <c r="Z205" i="1" s="1"/>
  <c r="Y204" i="1"/>
  <c r="Z204" i="1" s="1"/>
  <c r="AJ203" i="1"/>
  <c r="Y203" i="1"/>
  <c r="Z203" i="1" s="1"/>
  <c r="AJ202" i="1"/>
  <c r="AJ201" i="1"/>
  <c r="AJ200" i="1"/>
  <c r="AJ199" i="1"/>
  <c r="Y199" i="1"/>
  <c r="Z199" i="1" s="1"/>
  <c r="AJ198" i="1"/>
  <c r="AJ197" i="1"/>
  <c r="AJ196" i="1"/>
  <c r="Y196" i="1"/>
  <c r="Z196" i="1" s="1"/>
  <c r="AJ195" i="1"/>
  <c r="AJ194" i="1"/>
  <c r="Y194" i="1"/>
  <c r="Z194" i="1" s="1"/>
  <c r="Y193" i="1"/>
  <c r="Z193" i="1" s="1"/>
  <c r="Y192" i="1"/>
  <c r="Z192" i="1" s="1"/>
  <c r="AJ191" i="1"/>
  <c r="AJ190" i="1"/>
  <c r="Y190" i="1"/>
  <c r="Z190" i="1" s="1"/>
  <c r="AJ189" i="1"/>
  <c r="Y188" i="1"/>
  <c r="Z188" i="1" s="1"/>
  <c r="AJ187" i="1"/>
  <c r="Y186" i="1"/>
  <c r="Z186" i="1" s="1"/>
  <c r="AJ185" i="1"/>
  <c r="Y185" i="1"/>
  <c r="Z185" i="1" s="1"/>
  <c r="AJ184" i="1"/>
  <c r="AJ183" i="1"/>
  <c r="AJ182" i="1"/>
  <c r="AJ181" i="1"/>
  <c r="AJ180" i="1"/>
  <c r="Y179" i="1"/>
  <c r="Z179" i="1" s="1"/>
  <c r="Y178" i="1"/>
  <c r="Z178" i="1" s="1"/>
  <c r="AJ177" i="1"/>
  <c r="AJ173" i="1"/>
  <c r="AJ172" i="1"/>
  <c r="Y172" i="1"/>
  <c r="Z172" i="1" s="1"/>
  <c r="AJ171" i="1"/>
  <c r="AJ170" i="1"/>
  <c r="AJ168" i="1"/>
  <c r="Y168" i="1"/>
  <c r="Z168" i="1" s="1"/>
  <c r="AJ167" i="1"/>
  <c r="AJ166" i="1"/>
  <c r="Y166" i="1"/>
  <c r="Z166" i="1" s="1"/>
  <c r="AJ165" i="1"/>
  <c r="AJ164" i="1"/>
  <c r="Y164" i="1"/>
  <c r="Z164" i="1" s="1"/>
  <c r="AJ163" i="1"/>
  <c r="Y163" i="1"/>
  <c r="Z163" i="1" s="1"/>
  <c r="AJ162" i="1"/>
  <c r="Y161" i="1"/>
  <c r="Z161" i="1" s="1"/>
  <c r="AJ160" i="1"/>
  <c r="Y160" i="1"/>
  <c r="Z160" i="1" s="1"/>
  <c r="AJ159" i="1"/>
  <c r="AJ158" i="1"/>
  <c r="Y158" i="1"/>
  <c r="Z158" i="1" s="1"/>
  <c r="AJ157" i="1"/>
  <c r="AJ156" i="1"/>
  <c r="AJ155" i="1"/>
  <c r="AJ154" i="1"/>
  <c r="AJ153" i="1"/>
  <c r="Y153" i="1"/>
  <c r="Z153" i="1" s="1"/>
  <c r="AJ152" i="1"/>
  <c r="Y152" i="1"/>
  <c r="Z152" i="1" s="1"/>
  <c r="AJ151" i="1"/>
  <c r="Y151" i="1"/>
  <c r="Z151" i="1" s="1"/>
  <c r="AJ150" i="1"/>
  <c r="AJ148" i="1"/>
  <c r="AJ147" i="1"/>
  <c r="Y147" i="1"/>
  <c r="Z147" i="1" s="1"/>
  <c r="AJ146" i="1"/>
  <c r="Y146" i="1"/>
  <c r="Z146" i="1" s="1"/>
  <c r="AJ145" i="1"/>
  <c r="AJ144" i="1"/>
  <c r="AJ143" i="1"/>
  <c r="AJ142" i="1"/>
  <c r="AJ140" i="1"/>
  <c r="AJ139" i="1"/>
  <c r="Y139" i="1"/>
  <c r="Z139" i="1" s="1"/>
  <c r="AJ138" i="1"/>
  <c r="AJ137" i="1"/>
  <c r="AJ136" i="1"/>
  <c r="AJ135" i="1"/>
  <c r="Y135" i="1"/>
  <c r="Z135" i="1" s="1"/>
  <c r="AJ134" i="1"/>
  <c r="AJ132" i="1"/>
  <c r="AJ131" i="1"/>
  <c r="AJ130" i="1"/>
  <c r="AJ129" i="1"/>
  <c r="Y129" i="1"/>
  <c r="Z129" i="1" s="1"/>
  <c r="AJ127" i="1"/>
  <c r="AJ126" i="1"/>
  <c r="AJ125" i="1"/>
  <c r="AJ124" i="1"/>
  <c r="AJ123" i="1"/>
  <c r="AJ122" i="1"/>
  <c r="Y122" i="1"/>
  <c r="Z122" i="1" s="1"/>
  <c r="AJ121" i="1"/>
  <c r="AJ120" i="1"/>
  <c r="Y120" i="1"/>
  <c r="Z120" i="1" s="1"/>
  <c r="AJ119" i="1"/>
  <c r="Y119" i="1"/>
  <c r="Z119" i="1" s="1"/>
  <c r="AJ118" i="1"/>
  <c r="Y118" i="1"/>
  <c r="Z118" i="1" s="1"/>
  <c r="AJ117" i="1"/>
  <c r="AJ116" i="1"/>
  <c r="Y116" i="1"/>
  <c r="Z116" i="1" s="1"/>
  <c r="AJ115" i="1"/>
  <c r="Y115" i="1"/>
  <c r="Z115" i="1" s="1"/>
  <c r="AJ114" i="1"/>
  <c r="AJ113" i="1"/>
  <c r="AJ112" i="1"/>
  <c r="AJ111" i="1"/>
  <c r="Y111" i="1"/>
  <c r="Z111" i="1" s="1"/>
  <c r="AJ110" i="1"/>
  <c r="AJ109" i="1"/>
  <c r="AJ108" i="1"/>
  <c r="AJ107" i="1"/>
  <c r="AJ106" i="1"/>
  <c r="AJ105" i="1"/>
  <c r="Y105" i="1"/>
  <c r="Z105" i="1" s="1"/>
  <c r="AJ102" i="1"/>
  <c r="AJ101" i="1"/>
  <c r="Y101" i="1"/>
  <c r="Z101" i="1" s="1"/>
  <c r="AJ100" i="1"/>
  <c r="Y100" i="1"/>
  <c r="Z100" i="1" s="1"/>
  <c r="AJ99" i="1"/>
  <c r="Y99" i="1"/>
  <c r="Z99" i="1" s="1"/>
  <c r="Y97" i="1"/>
  <c r="Z97" i="1" s="1"/>
  <c r="AJ96" i="1"/>
  <c r="AJ95" i="1"/>
  <c r="Y95" i="1"/>
  <c r="Z95" i="1" s="1"/>
  <c r="AJ94" i="1"/>
  <c r="Y92" i="1"/>
  <c r="Z92" i="1" s="1"/>
  <c r="AJ91" i="1"/>
  <c r="AJ90" i="1"/>
  <c r="AJ89" i="1"/>
  <c r="AJ88" i="1"/>
  <c r="Y88" i="1"/>
  <c r="Z88" i="1" s="1"/>
  <c r="AJ87" i="1"/>
  <c r="Y87" i="1"/>
  <c r="Z87" i="1" s="1"/>
  <c r="AJ86" i="1"/>
  <c r="Y86" i="1"/>
  <c r="Z86" i="1" s="1"/>
  <c r="AJ85" i="1"/>
  <c r="Y85" i="1"/>
  <c r="Z85" i="1" s="1"/>
  <c r="AJ84" i="1"/>
  <c r="AJ83" i="1"/>
  <c r="Y83" i="1"/>
  <c r="Z83" i="1" s="1"/>
  <c r="AJ82" i="1"/>
  <c r="Y82" i="1"/>
  <c r="Z82" i="1" s="1"/>
  <c r="AJ81" i="1"/>
  <c r="AJ80" i="1"/>
  <c r="AJ79" i="1"/>
  <c r="Y79" i="1"/>
  <c r="Z79" i="1" s="1"/>
  <c r="AJ78" i="1"/>
  <c r="AJ77" i="1"/>
  <c r="AJ76" i="1"/>
  <c r="AJ75" i="1"/>
  <c r="AJ74" i="1"/>
  <c r="Y74" i="1"/>
  <c r="Z74" i="1" s="1"/>
  <c r="AJ73" i="1"/>
  <c r="AJ72" i="1"/>
  <c r="AJ71" i="1"/>
  <c r="Y71" i="1"/>
  <c r="Z71" i="1" s="1"/>
  <c r="AJ70" i="1"/>
  <c r="Y70" i="1"/>
  <c r="Z70" i="1" s="1"/>
  <c r="AJ69" i="1"/>
  <c r="Y69" i="1"/>
  <c r="Z69" i="1" s="1"/>
  <c r="AJ66" i="1"/>
  <c r="Y66" i="1"/>
  <c r="Z66" i="1" s="1"/>
  <c r="AJ65" i="1"/>
  <c r="AJ64" i="1"/>
  <c r="Y64" i="1"/>
  <c r="Z64" i="1" s="1"/>
  <c r="AJ63" i="1"/>
  <c r="AJ61" i="1"/>
  <c r="AJ60" i="1"/>
  <c r="Y60" i="1"/>
  <c r="Z60" i="1" s="1"/>
  <c r="AJ59" i="1"/>
  <c r="AJ58" i="1"/>
  <c r="Y58" i="1"/>
  <c r="Z58" i="1" s="1"/>
  <c r="Y57" i="1"/>
  <c r="Z57" i="1" s="1"/>
  <c r="AJ56" i="1"/>
  <c r="Y56" i="1"/>
  <c r="Z56" i="1" s="1"/>
  <c r="AJ55" i="1"/>
  <c r="Y55" i="1"/>
  <c r="Z55" i="1" s="1"/>
  <c r="AJ54" i="1"/>
  <c r="Y54" i="1"/>
  <c r="Z54" i="1" s="1"/>
  <c r="AJ53" i="1"/>
  <c r="Y53" i="1"/>
  <c r="Z53" i="1" s="1"/>
  <c r="AJ52" i="1"/>
  <c r="AJ51" i="1"/>
  <c r="AJ50" i="1"/>
  <c r="AJ49" i="1"/>
  <c r="AJ48" i="1"/>
  <c r="Y48" i="1"/>
  <c r="Z48" i="1" s="1"/>
  <c r="AJ47" i="1"/>
  <c r="AJ46" i="1"/>
  <c r="Y46" i="1"/>
  <c r="Z46" i="1" s="1"/>
  <c r="AJ45" i="1"/>
  <c r="Y45" i="1"/>
  <c r="Z45" i="1" s="1"/>
  <c r="AJ44" i="1"/>
  <c r="Y44" i="1"/>
  <c r="Z44" i="1" s="1"/>
  <c r="AJ43" i="1"/>
  <c r="AJ42" i="1"/>
  <c r="AJ41" i="1"/>
  <c r="Y41" i="1"/>
  <c r="Z41" i="1" s="1"/>
  <c r="AJ40" i="1"/>
  <c r="AJ39" i="1"/>
  <c r="AJ38" i="1"/>
  <c r="AJ37" i="1"/>
  <c r="Y37" i="1"/>
  <c r="Z37" i="1" s="1"/>
  <c r="AJ36" i="1"/>
  <c r="AJ35" i="1"/>
  <c r="AJ34" i="1"/>
  <c r="AJ33" i="1"/>
  <c r="AJ32" i="1"/>
  <c r="AJ31" i="1"/>
  <c r="Y31" i="1"/>
  <c r="Z31" i="1" s="1"/>
  <c r="AJ30" i="1"/>
  <c r="Y30" i="1"/>
  <c r="Z30" i="1" s="1"/>
  <c r="AJ29" i="1"/>
  <c r="AJ28" i="1"/>
  <c r="AJ27" i="1"/>
  <c r="AJ26" i="1"/>
  <c r="Y26" i="1"/>
  <c r="Z26" i="1" s="1"/>
  <c r="AJ25" i="1"/>
  <c r="Y25" i="1"/>
  <c r="Z25" i="1" s="1"/>
  <c r="Y24" i="1"/>
  <c r="Z24" i="1" s="1"/>
  <c r="Y23" i="1"/>
  <c r="Z23" i="1" s="1"/>
  <c r="AJ22" i="1"/>
  <c r="AJ20" i="1"/>
  <c r="AJ18" i="1"/>
  <c r="AJ17" i="1"/>
  <c r="AJ16" i="1"/>
  <c r="AJ15" i="1"/>
  <c r="Y15" i="1"/>
  <c r="Z15" i="1" s="1"/>
  <c r="AJ14" i="1"/>
  <c r="AJ13" i="1"/>
  <c r="Y13" i="1"/>
  <c r="Z13" i="1" s="1"/>
  <c r="AJ12" i="1"/>
  <c r="Y12" i="1"/>
  <c r="Z12" i="1" s="1"/>
  <c r="AJ11" i="1"/>
  <c r="Y11" i="1"/>
  <c r="Z11" i="1" s="1"/>
  <c r="AJ10" i="1"/>
  <c r="AJ9" i="1"/>
  <c r="AJ8" i="1"/>
  <c r="AJ7" i="1"/>
  <c r="AJ6" i="1"/>
  <c r="Y6" i="1"/>
  <c r="Z6" i="1" s="1"/>
  <c r="AA6" i="1" s="1"/>
  <c r="AJ5" i="1"/>
  <c r="AJ3" i="1"/>
  <c r="AJ2" i="1"/>
  <c r="AN2" i="1" l="1"/>
  <c r="AN4" i="1"/>
  <c r="AN3" i="1"/>
</calcChain>
</file>

<file path=xl/sharedStrings.xml><?xml version="1.0" encoding="utf-8"?>
<sst xmlns="http://schemas.openxmlformats.org/spreadsheetml/2006/main" count="6432" uniqueCount="1774">
  <si>
    <t>RER</t>
  </si>
  <si>
    <t>Nº</t>
  </si>
  <si>
    <t xml:space="preserve">Numero </t>
  </si>
  <si>
    <t xml:space="preserve">Nombres </t>
  </si>
  <si>
    <t>Apellidos</t>
  </si>
  <si>
    <t>Nacionalidad</t>
  </si>
  <si>
    <t>Género</t>
  </si>
  <si>
    <t xml:space="preserve">Estado civil </t>
  </si>
  <si>
    <t>Lengua materna</t>
  </si>
  <si>
    <t>Tipo de documento</t>
  </si>
  <si>
    <t>Número de documento</t>
  </si>
  <si>
    <t>Datos verificados</t>
  </si>
  <si>
    <t>Fecha de nacimiento</t>
  </si>
  <si>
    <t>Teléfono celular / Fijo</t>
  </si>
  <si>
    <t>Correo electrónico</t>
  </si>
  <si>
    <t>Dirección domiciliaria</t>
  </si>
  <si>
    <t>Distrito</t>
  </si>
  <si>
    <t>Provincia</t>
  </si>
  <si>
    <t>Regiòn</t>
  </si>
  <si>
    <t>Ocupación</t>
  </si>
  <si>
    <t>Cargo / Carrera</t>
  </si>
  <si>
    <t>Institución Educativa en la que brinda su servicio</t>
  </si>
  <si>
    <t>CÓDIGO MODULAR DE IIE</t>
  </si>
  <si>
    <t>SI CONTINÚA EN LA RER (SI/NO)</t>
  </si>
  <si>
    <t>EN QUÉ IIEE CONTINÚA</t>
  </si>
  <si>
    <t>CÓDIGO MODULAR DE LA IIEE EN LA QUE CONTINÚA</t>
  </si>
  <si>
    <t>Nivel</t>
  </si>
  <si>
    <t>MATEMATICA</t>
  </si>
  <si>
    <t>COMUNICACIÓN</t>
  </si>
  <si>
    <t xml:space="preserve">DIGITAL </t>
  </si>
  <si>
    <t>GENERO</t>
  </si>
  <si>
    <t>ESTADO</t>
  </si>
  <si>
    <t xml:space="preserve">EDITH FLAVIA </t>
  </si>
  <si>
    <t>AGRAMONTE MERCADO</t>
  </si>
  <si>
    <t>Peruana</t>
  </si>
  <si>
    <t>Femenino</t>
  </si>
  <si>
    <t>Soltera</t>
  </si>
  <si>
    <t xml:space="preserve">Castellano </t>
  </si>
  <si>
    <t>DNI</t>
  </si>
  <si>
    <t>23924274</t>
  </si>
  <si>
    <t>CONFORME</t>
  </si>
  <si>
    <t>ediflavia20@gmail.com</t>
  </si>
  <si>
    <t>APB UBIMA 3L9</t>
  </si>
  <si>
    <t xml:space="preserve">San Sebastián </t>
  </si>
  <si>
    <t>Cusco</t>
  </si>
  <si>
    <t xml:space="preserve">Docente </t>
  </si>
  <si>
    <t>Director</t>
  </si>
  <si>
    <t>50977 ANDAMAYO</t>
  </si>
  <si>
    <t>SI</t>
  </si>
  <si>
    <t>Primaria</t>
  </si>
  <si>
    <t>APROBADO</t>
  </si>
  <si>
    <t xml:space="preserve">ROSMERI </t>
  </si>
  <si>
    <t>BELLIDO AGUIRRE</t>
  </si>
  <si>
    <t>rosbella135@gmail.com</t>
  </si>
  <si>
    <t>APV UVIMA II A-1</t>
  </si>
  <si>
    <t>Docente</t>
  </si>
  <si>
    <t>50553 - MARAMPAQUI</t>
  </si>
  <si>
    <t>DESAPROBADO</t>
  </si>
  <si>
    <t xml:space="preserve">PORFIRIO </t>
  </si>
  <si>
    <t>CACERES MAYTA</t>
  </si>
  <si>
    <t>Peruano</t>
  </si>
  <si>
    <t>Masculino</t>
  </si>
  <si>
    <t>Casado</t>
  </si>
  <si>
    <t>Quechua sureño</t>
  </si>
  <si>
    <t>25214099</t>
  </si>
  <si>
    <t>pocaceresmayta@gmail.com</t>
  </si>
  <si>
    <t>APV UVIMA 7 L4</t>
  </si>
  <si>
    <t>San Sebastian</t>
  </si>
  <si>
    <t>Docente de aula</t>
  </si>
  <si>
    <t>50492 Corazón de Jesús - Ocongate</t>
  </si>
  <si>
    <t>RETIRADO</t>
  </si>
  <si>
    <t xml:space="preserve">Georgina </t>
  </si>
  <si>
    <t xml:space="preserve">Cárdenas Llanos </t>
  </si>
  <si>
    <t>Casada</t>
  </si>
  <si>
    <t>31176141</t>
  </si>
  <si>
    <t>gecalla68@hotmail.com</t>
  </si>
  <si>
    <t>Av. Santa Beatriz b7 tancarpata</t>
  </si>
  <si>
    <t xml:space="preserve">Docente de aula </t>
  </si>
  <si>
    <t>50765 SALLICANCHA</t>
  </si>
  <si>
    <t xml:space="preserve">Sonia </t>
  </si>
  <si>
    <t xml:space="preserve">Ccahuana Huamán </t>
  </si>
  <si>
    <t>23955126</t>
  </si>
  <si>
    <t>sonimar1929@gmail.com</t>
  </si>
  <si>
    <t xml:space="preserve">Picchu San Martín </t>
  </si>
  <si>
    <t xml:space="preserve">Cusco </t>
  </si>
  <si>
    <t>NO</t>
  </si>
  <si>
    <t xml:space="preserve">OBER  </t>
  </si>
  <si>
    <t>CCANCHI   HANCCO</t>
  </si>
  <si>
    <t>SOLTERO</t>
  </si>
  <si>
    <t>QUECHUA</t>
  </si>
  <si>
    <t>44603794</t>
  </si>
  <si>
    <t>ober1020cch@hotmail.com</t>
  </si>
  <si>
    <t>CALLE MOSOCLLACTA</t>
  </si>
  <si>
    <t>CHECACUPE</t>
  </si>
  <si>
    <t>Canchis</t>
  </si>
  <si>
    <t>DOCENTE</t>
  </si>
  <si>
    <t>DIRECTOR</t>
  </si>
  <si>
    <t>50547 - ACCOCUNCA</t>
  </si>
  <si>
    <t>I.E. 50558 - Parccocalla</t>
  </si>
  <si>
    <t xml:space="preserve">Marino </t>
  </si>
  <si>
    <t xml:space="preserve">Ccorimanya Gutiérrez </t>
  </si>
  <si>
    <t>Conviviente</t>
  </si>
  <si>
    <t xml:space="preserve">Quechua </t>
  </si>
  <si>
    <t>41662189</t>
  </si>
  <si>
    <t xml:space="preserve">mccorimanya@feyalegria.org.pe </t>
  </si>
  <si>
    <t xml:space="preserve">Jr. 28 de Julio urcos </t>
  </si>
  <si>
    <t>Urcos</t>
  </si>
  <si>
    <t>Quispicanchi</t>
  </si>
  <si>
    <t xml:space="preserve">Acompañante Pedagógico </t>
  </si>
  <si>
    <t>RER 44</t>
  </si>
  <si>
    <t xml:space="preserve">Sixto Benigno </t>
  </si>
  <si>
    <t>Checya Esenarro</t>
  </si>
  <si>
    <t>quechua</t>
  </si>
  <si>
    <t>cheezenarroz@gmail.com</t>
  </si>
  <si>
    <t>Ttio - Quiquijana</t>
  </si>
  <si>
    <t>Quiquijana</t>
  </si>
  <si>
    <t>profesor educación primaria</t>
  </si>
  <si>
    <t>docente de aula</t>
  </si>
  <si>
    <t>50796 - YANACANCHA</t>
  </si>
  <si>
    <t>50552 -Tupac Amaru II - Huacatinco</t>
  </si>
  <si>
    <t xml:space="preserve">Livia Zulema </t>
  </si>
  <si>
    <t>Condorcahua Rodriguez</t>
  </si>
  <si>
    <t xml:space="preserve">Soltera </t>
  </si>
  <si>
    <t>Castellano</t>
  </si>
  <si>
    <t>41978483</t>
  </si>
  <si>
    <t xml:space="preserve">jadecita1@gmail.com </t>
  </si>
  <si>
    <t>Urb. Sr. De Huanca - pasaje las Vegonias</t>
  </si>
  <si>
    <t>Andahuaylillas</t>
  </si>
  <si>
    <t>Docencia</t>
  </si>
  <si>
    <t>Coordinadora pedagógica/Docencia</t>
  </si>
  <si>
    <t xml:space="preserve">NANCY </t>
  </si>
  <si>
    <t>CONDORI NOALCCA</t>
  </si>
  <si>
    <t>Quechua</t>
  </si>
  <si>
    <t>43844706</t>
  </si>
  <si>
    <t>10/21/0083</t>
  </si>
  <si>
    <t>ncnarcy62@gmail.com</t>
  </si>
  <si>
    <t>Huaro- Quispicanchi/Cusco</t>
  </si>
  <si>
    <t>Huaro</t>
  </si>
  <si>
    <t>Docente de aula/ Educacion</t>
  </si>
  <si>
    <t xml:space="preserve">Alejandrina </t>
  </si>
  <si>
    <t xml:space="preserve">Condori Quispe </t>
  </si>
  <si>
    <t xml:space="preserve">Conviviente </t>
  </si>
  <si>
    <t xml:space="preserve">Alegreya27@gmail.com </t>
  </si>
  <si>
    <t>Apv villa san blas</t>
  </si>
  <si>
    <t xml:space="preserve">Educación </t>
  </si>
  <si>
    <t xml:space="preserve">EDITH </t>
  </si>
  <si>
    <t>CRUZ PAREDES</t>
  </si>
  <si>
    <t>29724725</t>
  </si>
  <si>
    <t>paredesedith619@hotmail.com</t>
  </si>
  <si>
    <t>calle intiwatana S/N Comunidad de Huaraypta</t>
  </si>
  <si>
    <t xml:space="preserve">Director / Docente </t>
  </si>
  <si>
    <t>50715 Llachi</t>
  </si>
  <si>
    <t>204933</t>
  </si>
  <si>
    <t xml:space="preserve">Bertha </t>
  </si>
  <si>
    <t xml:space="preserve">Díaz Barrientos </t>
  </si>
  <si>
    <t xml:space="preserve">Peruana </t>
  </si>
  <si>
    <t>25219463</t>
  </si>
  <si>
    <t xml:space="preserve">Tinitha_yk@hotmail.es </t>
  </si>
  <si>
    <t>Larapa Grande B3</t>
  </si>
  <si>
    <t xml:space="preserve">San Geronimo </t>
  </si>
  <si>
    <t>501432 - Kumuncancha</t>
  </si>
  <si>
    <t xml:space="preserve">Oliver </t>
  </si>
  <si>
    <t>Holgado Castro</t>
  </si>
  <si>
    <t>olixito2@hotmail.com</t>
  </si>
  <si>
    <t>A.P.V Jose Carlos Mariategui - Oropesa</t>
  </si>
  <si>
    <t xml:space="preserve">Oropesa </t>
  </si>
  <si>
    <t xml:space="preserve">IRENE ROSALBA </t>
  </si>
  <si>
    <t>HUAYHUA CCAPATINTA</t>
  </si>
  <si>
    <t>SOLTERA</t>
  </si>
  <si>
    <t>CASTELLANO</t>
  </si>
  <si>
    <t>41117971</t>
  </si>
  <si>
    <t>ireyaliam@gmail.com</t>
  </si>
  <si>
    <t>comunidad de Ccapana/ Cusco</t>
  </si>
  <si>
    <t>CCATCCA</t>
  </si>
  <si>
    <t>DIRECTORA</t>
  </si>
  <si>
    <t>50495 - CCAPANA</t>
  </si>
  <si>
    <t xml:space="preserve">Patricia </t>
  </si>
  <si>
    <t xml:space="preserve">Huayhua Ccapatinta </t>
  </si>
  <si>
    <t>Castellano _ quechua</t>
  </si>
  <si>
    <t>41718277</t>
  </si>
  <si>
    <t>patriciahuayhuaccapatinta@gmail.com</t>
  </si>
  <si>
    <t>Calle Huascar s/n Huaro</t>
  </si>
  <si>
    <t>Docente de educación primaria</t>
  </si>
  <si>
    <t>Alicia</t>
  </si>
  <si>
    <t>Huillca ttica</t>
  </si>
  <si>
    <t>40250591</t>
  </si>
  <si>
    <t>Alicohuillca2020@gmail.com</t>
  </si>
  <si>
    <t>Urbanizacion tambopata</t>
  </si>
  <si>
    <t>Docente aula</t>
  </si>
  <si>
    <t>501455 CRISTO REY TTIKARIY - PACCHANTA BAJA</t>
  </si>
  <si>
    <t>Inicial</t>
  </si>
  <si>
    <t xml:space="preserve">JUAN RICARDO </t>
  </si>
  <si>
    <t>JALIXTO CANAHUIRE</t>
  </si>
  <si>
    <t>Soltero</t>
  </si>
  <si>
    <t>juanrjc10@gmail.com</t>
  </si>
  <si>
    <t>Calle Finlandia s/n - Com. Puchuri</t>
  </si>
  <si>
    <t>Sicuani</t>
  </si>
  <si>
    <t>Profesor EIB-Primaria</t>
  </si>
  <si>
    <t>IE 50535  - Huarahuar</t>
  </si>
  <si>
    <t xml:space="preserve">Bartolome </t>
  </si>
  <si>
    <t>Layme Ccanahuire</t>
  </si>
  <si>
    <t>blaymec2@gmail.com</t>
  </si>
  <si>
    <t>Pampaccalasaya</t>
  </si>
  <si>
    <t xml:space="preserve">ALAN </t>
  </si>
  <si>
    <t>MAMANI NINA</t>
  </si>
  <si>
    <t>alan21_669@hotmail.com</t>
  </si>
  <si>
    <t xml:space="preserve">APV. LOS ANGES B- 11 </t>
  </si>
  <si>
    <t>Director encargado</t>
  </si>
  <si>
    <t xml:space="preserve">Carmen Justina </t>
  </si>
  <si>
    <t>Mamani Paucar</t>
  </si>
  <si>
    <t>carmenmamani.puk@gmail.com</t>
  </si>
  <si>
    <t>Asoc. Las Estrellas 2ET</t>
  </si>
  <si>
    <t>Santiago</t>
  </si>
  <si>
    <t>Docente de aula/Educación Primaria</t>
  </si>
  <si>
    <t xml:space="preserve">FANNY </t>
  </si>
  <si>
    <t>MAMANI QUISPE</t>
  </si>
  <si>
    <t>CASADA</t>
  </si>
  <si>
    <t>41352601</t>
  </si>
  <si>
    <t>Fannytamaq211@gmail.com</t>
  </si>
  <si>
    <t>Urb. Tambillo s/n - Urcos</t>
  </si>
  <si>
    <t>URCOS</t>
  </si>
  <si>
    <t xml:space="preserve">DOCENTE </t>
  </si>
  <si>
    <t>DOCENTE DE AULA/ EDUCACION PRIMARIA</t>
  </si>
  <si>
    <t xml:space="preserve">Yolanda </t>
  </si>
  <si>
    <t xml:space="preserve">Mariscal Gamarra </t>
  </si>
  <si>
    <t xml:space="preserve">ymariscalgamarra@gmail.com </t>
  </si>
  <si>
    <t>Dignidad Nacional N_9</t>
  </si>
  <si>
    <t xml:space="preserve">Rocío </t>
  </si>
  <si>
    <t xml:space="preserve">Mendoza Mamani </t>
  </si>
  <si>
    <t>41697290</t>
  </si>
  <si>
    <t>rociomendozamamani47@gmail.com</t>
  </si>
  <si>
    <t xml:space="preserve">Jr. Alfonso Ugarte </t>
  </si>
  <si>
    <t>Pedagoga</t>
  </si>
  <si>
    <t xml:space="preserve">Carmen </t>
  </si>
  <si>
    <t xml:space="preserve">Meza Mariscal </t>
  </si>
  <si>
    <t>25321570</t>
  </si>
  <si>
    <t>camema06@hotmail.com</t>
  </si>
  <si>
    <t>URB. Pueblo Libertadores I 6</t>
  </si>
  <si>
    <t>San Sebastián</t>
  </si>
  <si>
    <t xml:space="preserve">Directora </t>
  </si>
  <si>
    <t xml:space="preserve">Wilquens Silvio </t>
  </si>
  <si>
    <t xml:space="preserve">Monzon Quispe </t>
  </si>
  <si>
    <t xml:space="preserve">Peruano </t>
  </si>
  <si>
    <t>42192460</t>
  </si>
  <si>
    <t xml:space="preserve">Wilquenssilvio@gmail.com </t>
  </si>
  <si>
    <t>Paraiso de fatima D 100</t>
  </si>
  <si>
    <t xml:space="preserve">Docente  / Educación </t>
  </si>
  <si>
    <t xml:space="preserve">Fernando Pascual </t>
  </si>
  <si>
    <t xml:space="preserve">Ninantay Cáceres </t>
  </si>
  <si>
    <t>25198731</t>
  </si>
  <si>
    <t>fernandoninantay06@gmail.com</t>
  </si>
  <si>
    <t>Calle dos de mayo 402</t>
  </si>
  <si>
    <t xml:space="preserve">Angélica </t>
  </si>
  <si>
    <t>Olarte Luna</t>
  </si>
  <si>
    <t>aolarte019@gmail.com</t>
  </si>
  <si>
    <t>Calle Miraflores s/n Ocongate</t>
  </si>
  <si>
    <t>Ocongate</t>
  </si>
  <si>
    <t>Profesora de aula</t>
  </si>
  <si>
    <t xml:space="preserve">JEHOVANA </t>
  </si>
  <si>
    <t>OVALLE ARAPA</t>
  </si>
  <si>
    <t>40385591</t>
  </si>
  <si>
    <t>jehovitaovalle1110@gmail.com</t>
  </si>
  <si>
    <t>Av. Ricardo Palma A-7 Sipaspucyo</t>
  </si>
  <si>
    <t>Directora encargada</t>
  </si>
  <si>
    <t xml:space="preserve">Yoni Sonia </t>
  </si>
  <si>
    <t>Pantigozo Pastor</t>
  </si>
  <si>
    <t xml:space="preserve"> Quechua </t>
  </si>
  <si>
    <t>25187522</t>
  </si>
  <si>
    <t>25187522.pantigozopastor.@gmail.com</t>
  </si>
  <si>
    <t>Andahuallillas</t>
  </si>
  <si>
    <t xml:space="preserve">Profesora de inicial </t>
  </si>
  <si>
    <t xml:space="preserve">Diana Carolina </t>
  </si>
  <si>
    <t xml:space="preserve">Paravecino Quispe </t>
  </si>
  <si>
    <t xml:space="preserve">shinay_07@hotmail.com </t>
  </si>
  <si>
    <t>Urb YacanoraB8</t>
  </si>
  <si>
    <t xml:space="preserve">ALEX FAVIO </t>
  </si>
  <si>
    <t>POMALAZA CUBA</t>
  </si>
  <si>
    <t>alex.pomalazacuba@gmail.com</t>
  </si>
  <si>
    <t>URB. CRUZ PATA J - 01</t>
  </si>
  <si>
    <t>CUSCO</t>
  </si>
  <si>
    <t>DOCENTE DE PRIMARIA</t>
  </si>
  <si>
    <t>DOCENTE DE AULA</t>
  </si>
  <si>
    <t xml:space="preserve">ROGER </t>
  </si>
  <si>
    <t>PONCE TUTACANO</t>
  </si>
  <si>
    <t>castellano</t>
  </si>
  <si>
    <t>42867576</t>
  </si>
  <si>
    <t>rogerponce2307@gmail.com</t>
  </si>
  <si>
    <t xml:space="preserve">Psje. los Claveles A-5 </t>
  </si>
  <si>
    <t>director</t>
  </si>
  <si>
    <t xml:space="preserve">Sonia Verónica </t>
  </si>
  <si>
    <t xml:space="preserve">Quispe Condeña </t>
  </si>
  <si>
    <t>quispecondenasoniaveronica@gmail.com</t>
  </si>
  <si>
    <t>Manco Capac 284</t>
  </si>
  <si>
    <t>San Jerónimo</t>
  </si>
  <si>
    <t xml:space="preserve">Docente de primaria </t>
  </si>
  <si>
    <t xml:space="preserve">TEOFILO </t>
  </si>
  <si>
    <t>QUISPE QUINO</t>
  </si>
  <si>
    <t>CASADO</t>
  </si>
  <si>
    <t>40686153</t>
  </si>
  <si>
    <t>teomarquino@gmail.com</t>
  </si>
  <si>
    <t>Calca - Coya - Macay</t>
  </si>
  <si>
    <t xml:space="preserve">COYA </t>
  </si>
  <si>
    <t>Calca</t>
  </si>
  <si>
    <t>PROFESOR</t>
  </si>
  <si>
    <t>50719 - Virgen del Carmen - Tinke</t>
  </si>
  <si>
    <t xml:space="preserve">ALEX WILLIAM </t>
  </si>
  <si>
    <t>QUISPE VILCAHUAMAN</t>
  </si>
  <si>
    <t>QUECHUA COLLAO</t>
  </si>
  <si>
    <t>44953157</t>
  </si>
  <si>
    <t>alexquispevilcahuaman@gmail.com</t>
  </si>
  <si>
    <t>COMUNIDAD MOLLEBAMBA</t>
  </si>
  <si>
    <t>EDUCACION PRIMARIA</t>
  </si>
  <si>
    <t>JUAN LUIS</t>
  </si>
  <si>
    <t xml:space="preserve">ROCCA LIMA </t>
  </si>
  <si>
    <t xml:space="preserve">Soltero </t>
  </si>
  <si>
    <t>42293637</t>
  </si>
  <si>
    <t xml:space="preserve">juanchesco_7@hotmail.com </t>
  </si>
  <si>
    <t xml:space="preserve">Cusipata </t>
  </si>
  <si>
    <t>Cusipata</t>
  </si>
  <si>
    <t xml:space="preserve">Reyna </t>
  </si>
  <si>
    <t>Rodriguez Champi</t>
  </si>
  <si>
    <t>casada</t>
  </si>
  <si>
    <t>rodriguezreynita@gmail.com</t>
  </si>
  <si>
    <t>Apv, Miraflores, Calle TuyroTupac B10- Chimpahuaylla</t>
  </si>
  <si>
    <t>Directora y docente  de aula</t>
  </si>
  <si>
    <t xml:space="preserve">VICTORIA </t>
  </si>
  <si>
    <t>SALAS CRUZ</t>
  </si>
  <si>
    <t>23835252</t>
  </si>
  <si>
    <t>salascruzvictoria@gmail.com</t>
  </si>
  <si>
    <t>Urb. Retamales H11-A</t>
  </si>
  <si>
    <t xml:space="preserve">JUVENAL  JULIAN </t>
  </si>
  <si>
    <t xml:space="preserve">SALCEDO  ANCCO </t>
  </si>
  <si>
    <t xml:space="preserve">Salcedoanccojuvenal@gmail.com </t>
  </si>
  <si>
    <t>Calle 28 de julio N 312</t>
  </si>
  <si>
    <t>Tinta</t>
  </si>
  <si>
    <t xml:space="preserve">PROFESOR </t>
  </si>
  <si>
    <t xml:space="preserve">Alexander </t>
  </si>
  <si>
    <t>Serrano Ulloa</t>
  </si>
  <si>
    <t>73375319</t>
  </si>
  <si>
    <t>alexshander109@gmail.com</t>
  </si>
  <si>
    <t>Calle 27 de noviembre S/N</t>
  </si>
  <si>
    <t>Ccarhuayo</t>
  </si>
  <si>
    <t>Docente / Educación primaria</t>
  </si>
  <si>
    <t xml:space="preserve">Irma </t>
  </si>
  <si>
    <t xml:space="preserve">Valencia García </t>
  </si>
  <si>
    <t xml:space="preserve">Ivale212000@yahoo.es </t>
  </si>
  <si>
    <t>Ocongate calle Libertad</t>
  </si>
  <si>
    <t xml:space="preserve">Ocongate </t>
  </si>
  <si>
    <t xml:space="preserve">Luz Mary </t>
  </si>
  <si>
    <t xml:space="preserve">Valeriano Lecaros </t>
  </si>
  <si>
    <t>41320711</t>
  </si>
  <si>
    <t>kanchaymary76@hotmail.com</t>
  </si>
  <si>
    <t>Urb.Buena Vista l12</t>
  </si>
  <si>
    <t xml:space="preserve">Jesús </t>
  </si>
  <si>
    <t xml:space="preserve">Vidal Román </t>
  </si>
  <si>
    <t>10586616</t>
  </si>
  <si>
    <t>jvidalroman.5@gmail.com</t>
  </si>
  <si>
    <t xml:space="preserve">Jirón Grau s/n - Andahuaylillas </t>
  </si>
  <si>
    <t>Acompañante pedagógico</t>
  </si>
  <si>
    <t xml:space="preserve">Roberto </t>
  </si>
  <si>
    <t xml:space="preserve">Yana Yucra </t>
  </si>
  <si>
    <t>40088774</t>
  </si>
  <si>
    <t xml:space="preserve">roberto.yanayucra@gmail.com </t>
  </si>
  <si>
    <t xml:space="preserve">Centro Poblado de Tinke - Ocongate </t>
  </si>
  <si>
    <t xml:space="preserve">Ana Maria </t>
  </si>
  <si>
    <t>Yucra Yucra</t>
  </si>
  <si>
    <t>24712077</t>
  </si>
  <si>
    <t>anamariayucrayucra@gmail.com</t>
  </si>
  <si>
    <t>Av: San Felipe 317</t>
  </si>
  <si>
    <t xml:space="preserve">Educación Primaria </t>
  </si>
  <si>
    <t xml:space="preserve">MARIO </t>
  </si>
  <si>
    <t xml:space="preserve">ANDRADE PINEDO </t>
  </si>
  <si>
    <t>MASCULINO</t>
  </si>
  <si>
    <t>06302225</t>
  </si>
  <si>
    <t>mandrade@feyalegria.org.pe</t>
  </si>
  <si>
    <t>CALLE NAUTA 2333</t>
  </si>
  <si>
    <t>IQUITOS</t>
  </si>
  <si>
    <t>Maynas</t>
  </si>
  <si>
    <t>Loreto</t>
  </si>
  <si>
    <t>ACOMPAÑANTE PEDAGOGICO</t>
  </si>
  <si>
    <t>RER 47</t>
  </si>
  <si>
    <t>PRIMARIA</t>
  </si>
  <si>
    <t xml:space="preserve">ISABEL </t>
  </si>
  <si>
    <t>ARBILDO ROJAS</t>
  </si>
  <si>
    <t>FEMENINO</t>
  </si>
  <si>
    <t>CONVIVIENTE</t>
  </si>
  <si>
    <t>isabelarbildo0@.com</t>
  </si>
  <si>
    <t>19 DE JULIO  48' B</t>
  </si>
  <si>
    <t>SAN JUAN BAUTISTA</t>
  </si>
  <si>
    <t>PROFESOR DE AULA</t>
  </si>
  <si>
    <t>6010230 BARBARA D' ACHILLE</t>
  </si>
  <si>
    <t>SECUNDARIA</t>
  </si>
  <si>
    <t xml:space="preserve">JUAN </t>
  </si>
  <si>
    <t>AREVALO 0RBE</t>
  </si>
  <si>
    <t>47733218</t>
  </si>
  <si>
    <t>05/06/1989</t>
  </si>
  <si>
    <t>juaor1989@gmail.com</t>
  </si>
  <si>
    <t>PJE. LOS CRISTALES MZ E LOTE 14</t>
  </si>
  <si>
    <t>MARIA ELENA</t>
  </si>
  <si>
    <t>BRAVO CUBAS</t>
  </si>
  <si>
    <t>mbravo@feyalegria.org.pe</t>
  </si>
  <si>
    <t>CASERIO NUEVO MILAGRO, KM 21 CARRETERA IQUITOS NAUTA</t>
  </si>
  <si>
    <t>COORDINADORA PEDAGOGICA</t>
  </si>
  <si>
    <t xml:space="preserve">MARIA ELENA </t>
  </si>
  <si>
    <t>CAHUACHI DEL ÁGUILA</t>
  </si>
  <si>
    <t>05341710</t>
  </si>
  <si>
    <t>merribosh@gmail.com</t>
  </si>
  <si>
    <t>SAMAREN 121 9 DE OCTUBRE</t>
  </si>
  <si>
    <t>BELEN</t>
  </si>
  <si>
    <t xml:space="preserve">VICTOR SALVADOR </t>
  </si>
  <si>
    <t xml:space="preserve">CASTILLA SALAS </t>
  </si>
  <si>
    <t>07305918</t>
  </si>
  <si>
    <t>04/06/1961</t>
  </si>
  <si>
    <t>vcastillasalas@gmail.com</t>
  </si>
  <si>
    <t>9 DE DICIEMBRE 855</t>
  </si>
  <si>
    <t xml:space="preserve">MILAGROS SORAYA </t>
  </si>
  <si>
    <t>CUETO CARDENAS</t>
  </si>
  <si>
    <t>43405853</t>
  </si>
  <si>
    <t>54 93704639219</t>
  </si>
  <si>
    <t>delili14cruz@gmail.com</t>
  </si>
  <si>
    <t xml:space="preserve">RODOLFO </t>
  </si>
  <si>
    <t>CUEVA PIÑA</t>
  </si>
  <si>
    <t>42687623</t>
  </si>
  <si>
    <t>25/10/1977</t>
  </si>
  <si>
    <t>mila.cuetocardenas@gmail.com</t>
  </si>
  <si>
    <t xml:space="preserve">GARCILAZO DE LA VEGA </t>
  </si>
  <si>
    <t xml:space="preserve">RUTH </t>
  </si>
  <si>
    <t>CUIPAL TAMANI</t>
  </si>
  <si>
    <t>05283028</t>
  </si>
  <si>
    <t>rodocupi@gmail.com</t>
  </si>
  <si>
    <t>CALLE TRUJILLO 1087</t>
  </si>
  <si>
    <t>Delia Liliana</t>
  </si>
  <si>
    <t xml:space="preserve">CRUZ BARRIONUEVO </t>
  </si>
  <si>
    <t>30/08/1975</t>
  </si>
  <si>
    <t xml:space="preserve">Ruthcuipaltamani@gmail.com </t>
  </si>
  <si>
    <t>AREQUIPA 2047</t>
  </si>
  <si>
    <t>NAIR IRAZEMA</t>
  </si>
  <si>
    <t xml:space="preserve">DA COSTA OLORTEGUI </t>
  </si>
  <si>
    <t>41520534</t>
  </si>
  <si>
    <t>13/10/1982</t>
  </si>
  <si>
    <t xml:space="preserve">naircita1982@hotmail.com </t>
  </si>
  <si>
    <t>PEVAS 670</t>
  </si>
  <si>
    <t>INICIAL</t>
  </si>
  <si>
    <t xml:space="preserve">PABLO </t>
  </si>
  <si>
    <t>FALCON TORRES</t>
  </si>
  <si>
    <t>05412784</t>
  </si>
  <si>
    <t>pabloftorres1977@gmail.com</t>
  </si>
  <si>
    <t>IQUITOS MZ G LOTE 20</t>
  </si>
  <si>
    <t>PUNCHANA</t>
  </si>
  <si>
    <t>EL MILAGRO</t>
  </si>
  <si>
    <t xml:space="preserve">WILMA ESTHER </t>
  </si>
  <si>
    <t>FASABI SANCHEZ</t>
  </si>
  <si>
    <t>05377660</t>
  </si>
  <si>
    <t>wilmafasabi111@gmail.com</t>
  </si>
  <si>
    <t>LAS PALMERAS 179</t>
  </si>
  <si>
    <t xml:space="preserve">SANTA ISABEL </t>
  </si>
  <si>
    <t>FERNANDEZ ROJAS</t>
  </si>
  <si>
    <t>32300259.</t>
  </si>
  <si>
    <t>santaisabel1976@gmail.com</t>
  </si>
  <si>
    <t xml:space="preserve">LAS PALMAS 192 </t>
  </si>
  <si>
    <t xml:space="preserve">JUAN CARLOS </t>
  </si>
  <si>
    <t xml:space="preserve">FLORES LOZANO </t>
  </si>
  <si>
    <t>05403460</t>
  </si>
  <si>
    <t>13/05/1977</t>
  </si>
  <si>
    <t xml:space="preserve">Carlitos_flowers27@hotmail.com/ juancarlosflo42@gmail.com </t>
  </si>
  <si>
    <t>LAS CAMELIAS PASAJE LOS JACINTOS NÚMERO 20</t>
  </si>
  <si>
    <t xml:space="preserve">YNES </t>
  </si>
  <si>
    <t>FLORES VÁSQUEZ</t>
  </si>
  <si>
    <t>05221053</t>
  </si>
  <si>
    <t>ynesfloresvasquez@ 322gmail.com</t>
  </si>
  <si>
    <t>26 DE SETIEMBRE N 137 PACAYA SAMIRIA</t>
  </si>
  <si>
    <t xml:space="preserve">SILVIA RUTH </t>
  </si>
  <si>
    <t>GARCIA RENGIFO</t>
  </si>
  <si>
    <t>05342883</t>
  </si>
  <si>
    <t>sgarcia@feyalegria.org.pe</t>
  </si>
  <si>
    <t>CALLE FANING 631</t>
  </si>
  <si>
    <t xml:space="preserve">DELIA MADELAINE </t>
  </si>
  <si>
    <t>GARCÍA RIVERO</t>
  </si>
  <si>
    <t>22091506</t>
  </si>
  <si>
    <t>20/07/1970</t>
  </si>
  <si>
    <t>garciariverodelia025@gmail.com</t>
  </si>
  <si>
    <t>AAHH ROSA DE AMERICA,CALLE LOS ANGELES C-7</t>
  </si>
  <si>
    <t>ISABEL</t>
  </si>
  <si>
    <t xml:space="preserve">GARCIA VELA </t>
  </si>
  <si>
    <t>40583376</t>
  </si>
  <si>
    <t>10/08/1980</t>
  </si>
  <si>
    <t xml:space="preserve">garciavelai10@gmail.com </t>
  </si>
  <si>
    <t>CALLE PRIMAVERA N° 180</t>
  </si>
  <si>
    <t xml:space="preserve">DIANA LUCIA </t>
  </si>
  <si>
    <t>GAVIRIA BOLAÑOS</t>
  </si>
  <si>
    <t>Colombiana</t>
  </si>
  <si>
    <t>CE</t>
  </si>
  <si>
    <t>005898646</t>
  </si>
  <si>
    <t>57 3187128516</t>
  </si>
  <si>
    <t>dgaviria@feyalegria.org.pe</t>
  </si>
  <si>
    <t xml:space="preserve">IVONE </t>
  </si>
  <si>
    <t>GUERRA TELLO</t>
  </si>
  <si>
    <t>18/12/1979</t>
  </si>
  <si>
    <t>ivoneguerratello@gmail.com</t>
  </si>
  <si>
    <t>URB.MÁRTIRES DE LA DEMOCRACIA B-18</t>
  </si>
  <si>
    <t>LAYDITH</t>
  </si>
  <si>
    <t>MURRIETA IZQUIERDO</t>
  </si>
  <si>
    <t>44032480</t>
  </si>
  <si>
    <t>guerratorrescarlosalfredo1@gmail.com</t>
  </si>
  <si>
    <t>COLONIAL 133</t>
  </si>
  <si>
    <t xml:space="preserve">MILAGROS DEL CARMEN </t>
  </si>
  <si>
    <t>HUAMÁN MONZON</t>
  </si>
  <si>
    <t>41836663</t>
  </si>
  <si>
    <t>huamanmonzonmilagrosdelcarmen@gmail.com</t>
  </si>
  <si>
    <t>9 DE ABRIL MZ E LT 15 KM 1/5 CARRETERA IQUITOS NAUTA</t>
  </si>
  <si>
    <t>MARÍA ELENA</t>
  </si>
  <si>
    <t>INUMA ZAMBRANO</t>
  </si>
  <si>
    <t>05341023</t>
  </si>
  <si>
    <t>985 111 991</t>
  </si>
  <si>
    <t>Marieloalonso@gmail.com</t>
  </si>
  <si>
    <t>MANCO CAPAC CON MAGNOLIAS</t>
  </si>
  <si>
    <t>CATHERINE</t>
  </si>
  <si>
    <t>JIMENEZ RODRIGUEZ</t>
  </si>
  <si>
    <t>05391038</t>
  </si>
  <si>
    <t>canjiro76@gmail.com</t>
  </si>
  <si>
    <t>PASAJE BOCANEGRA 68</t>
  </si>
  <si>
    <t xml:space="preserve">SILVIA AHURISTELA </t>
  </si>
  <si>
    <t xml:space="preserve">LINARES TUISIMA </t>
  </si>
  <si>
    <t>05328465</t>
  </si>
  <si>
    <t>01/02/1968</t>
  </si>
  <si>
    <t xml:space="preserve">silvia20linares@gmail.com </t>
  </si>
  <si>
    <t xml:space="preserve">PASAJE CORNEJO PORTUGAL </t>
  </si>
  <si>
    <t xml:space="preserve">NATALIA DE JESÚS </t>
  </si>
  <si>
    <t>MANZUR LAICHI</t>
  </si>
  <si>
    <t>OTROS</t>
  </si>
  <si>
    <t>05208232</t>
  </si>
  <si>
    <t>28/10/1964</t>
  </si>
  <si>
    <t>namanzurlachi@gmail.com</t>
  </si>
  <si>
    <t>CALLE: SAN FRANCISCO 653-B</t>
  </si>
  <si>
    <t xml:space="preserve">PATRICIA </t>
  </si>
  <si>
    <t xml:space="preserve">MARQUEZ VÁSQUEZ </t>
  </si>
  <si>
    <t>05414189</t>
  </si>
  <si>
    <t>22/05/1968</t>
  </si>
  <si>
    <t xml:space="preserve">pamava68@gmail.com </t>
  </si>
  <si>
    <t>AV. ABELARDO QUIÑONES 393</t>
  </si>
  <si>
    <t xml:space="preserve">DALILA </t>
  </si>
  <si>
    <t>MERA OROSCO</t>
  </si>
  <si>
    <t>05311063</t>
  </si>
  <si>
    <t>14/08/1971</t>
  </si>
  <si>
    <t>dalilitamor@gmail.com</t>
  </si>
  <si>
    <t xml:space="preserve">PJE LOS ROSALES S/N SAN JUAN </t>
  </si>
  <si>
    <t xml:space="preserve">OSCAR </t>
  </si>
  <si>
    <t xml:space="preserve">MORENO LOZANO </t>
  </si>
  <si>
    <t>10518311</t>
  </si>
  <si>
    <t>lozano42oscar@gmail.com</t>
  </si>
  <si>
    <t xml:space="preserve">CENTRO POBLADO 2 DE MAYO MZ A, LT 5 , KM 41.5 CARRETRA IQUITOS NAUTA </t>
  </si>
  <si>
    <t xml:space="preserve">JULIAN  </t>
  </si>
  <si>
    <t xml:space="preserve">MOSQUERA TAPULLIMA </t>
  </si>
  <si>
    <t>05375927</t>
  </si>
  <si>
    <t>09/05/1974</t>
  </si>
  <si>
    <t xml:space="preserve">julimostapu@gmail.com </t>
  </si>
  <si>
    <t>AV. LOS ÁNGELES N° 156</t>
  </si>
  <si>
    <t xml:space="preserve">RUTH DEL PILAR </t>
  </si>
  <si>
    <t>NAVARRO MANANITA</t>
  </si>
  <si>
    <t>05365412</t>
  </si>
  <si>
    <t>ruthdelpilarnavarromananita@gmail.com</t>
  </si>
  <si>
    <t>PASAJE ANITA MZ G LT 35 NUEVO VERSALLES PUNCHANA</t>
  </si>
  <si>
    <t xml:space="preserve">FRANCCES JONATHAN </t>
  </si>
  <si>
    <t xml:space="preserve">NORIEGA GATICA </t>
  </si>
  <si>
    <t>47424250</t>
  </si>
  <si>
    <t>15/11/1991</t>
  </si>
  <si>
    <t xml:space="preserve">Franccesjnoriega@hotmail.com </t>
  </si>
  <si>
    <t>CALLE LOS ARENALES MZ F LT 18</t>
  </si>
  <si>
    <t xml:space="preserve">KARLA </t>
  </si>
  <si>
    <t>NUBE RUIZ</t>
  </si>
  <si>
    <t>05405428</t>
  </si>
  <si>
    <t>15/09/1978</t>
  </si>
  <si>
    <t>karli1578@hotmail.com</t>
  </si>
  <si>
    <t>LOS CETICOS MZ N LOTE 14</t>
  </si>
  <si>
    <t>536 MI CASITA DEL SABER</t>
  </si>
  <si>
    <t xml:space="preserve">EVA MARIA </t>
  </si>
  <si>
    <t>PANAIFO PINEDO</t>
  </si>
  <si>
    <t>05391513</t>
  </si>
  <si>
    <t>evamariapanaifo@gmail.com</t>
  </si>
  <si>
    <t>LAS AMERICAS 348</t>
  </si>
  <si>
    <t xml:space="preserve">NOLY ISABEL </t>
  </si>
  <si>
    <t>PANDURO PIZANGO</t>
  </si>
  <si>
    <t>40714587</t>
  </si>
  <si>
    <t>nolypanduropizango@gmail.com</t>
  </si>
  <si>
    <t>ARGENTINA 211 CARDOZO</t>
  </si>
  <si>
    <t xml:space="preserve">JULIO CESAR </t>
  </si>
  <si>
    <t>PAREDES GALLO</t>
  </si>
  <si>
    <t>33430542</t>
  </si>
  <si>
    <t>jparedes@feyalegria.org.pe</t>
  </si>
  <si>
    <t>CALLE MIRAFLORES 224</t>
  </si>
  <si>
    <t xml:space="preserve">LELIS </t>
  </si>
  <si>
    <t>PAREDES SANTILLAN</t>
  </si>
  <si>
    <t>40939519</t>
  </si>
  <si>
    <t>14/01/1978</t>
  </si>
  <si>
    <t>paredessantillanlelis@gmail.com</t>
  </si>
  <si>
    <t>PROLONGACION INDEPENDENCIA MZ X LTE 64</t>
  </si>
  <si>
    <t xml:space="preserve">CARMEN LIZ </t>
  </si>
  <si>
    <t>PAULINA YNGA SANDOVAL</t>
  </si>
  <si>
    <t>44043945</t>
  </si>
  <si>
    <t>yngacarmen6@gmail.com</t>
  </si>
  <si>
    <t>ARGENTINA 211</t>
  </si>
  <si>
    <t xml:space="preserve">VANESSA KARINA </t>
  </si>
  <si>
    <t>PEIXOTO GARCIA</t>
  </si>
  <si>
    <t>05403300</t>
  </si>
  <si>
    <t>vanekapega@hotmail.com</t>
  </si>
  <si>
    <t>AMAZONAS 261</t>
  </si>
  <si>
    <t xml:space="preserve">CERVELIA </t>
  </si>
  <si>
    <t>PEÑA CUBAS</t>
  </si>
  <si>
    <t>40041957</t>
  </si>
  <si>
    <t>17/10/1978</t>
  </si>
  <si>
    <t>cervelia1880@gmail.com</t>
  </si>
  <si>
    <t>SAN FRANCISCO 694</t>
  </si>
  <si>
    <t>PÉREZ NAVARRO</t>
  </si>
  <si>
    <t>VIUDA</t>
  </si>
  <si>
    <t>05238883</t>
  </si>
  <si>
    <t>27/06/1962</t>
  </si>
  <si>
    <t>ynecitap@hotmail.com</t>
  </si>
  <si>
    <t xml:space="preserve">CALLE MIRAFLORES MZ O  -  LT 14 </t>
  </si>
  <si>
    <t xml:space="preserve">DIRECTORA </t>
  </si>
  <si>
    <t xml:space="preserve">BLAYR </t>
  </si>
  <si>
    <t>PEZO VELA</t>
  </si>
  <si>
    <t>05272847</t>
  </si>
  <si>
    <t>Blayrelipv@gmail.com</t>
  </si>
  <si>
    <t>SEÑOR DE LOS MILAGROS  358</t>
  </si>
  <si>
    <t>JESSICA DEL ROCIO</t>
  </si>
  <si>
    <t xml:space="preserve">PINEDO PINEDO </t>
  </si>
  <si>
    <t>01/09/1978</t>
  </si>
  <si>
    <t xml:space="preserve">Mataquente78@hotmail.com </t>
  </si>
  <si>
    <t>GARDENIAS 120</t>
  </si>
  <si>
    <t xml:space="preserve">DORIS LISBETH </t>
  </si>
  <si>
    <t>PUERTAS AGUILAR</t>
  </si>
  <si>
    <t>40720557</t>
  </si>
  <si>
    <t>dorislisbethpuertasaguilar@gmail.com</t>
  </si>
  <si>
    <t xml:space="preserve">SAN JOSÉ 379 </t>
  </si>
  <si>
    <t xml:space="preserve">LIANA WIESLAVA </t>
  </si>
  <si>
    <t>PUGA BARRERA</t>
  </si>
  <si>
    <t>05334767</t>
  </si>
  <si>
    <t>21/12/1969</t>
  </si>
  <si>
    <t>liapuba43@hotmail.com.</t>
  </si>
  <si>
    <t xml:space="preserve">AV. ABELARDO QUIÑÓNEZ KM 2 </t>
  </si>
  <si>
    <t>ANA BEATRIZ</t>
  </si>
  <si>
    <t>RENGIFO PEREZ</t>
  </si>
  <si>
    <t>05352957</t>
  </si>
  <si>
    <t>9/02/1972</t>
  </si>
  <si>
    <t>anitarengifop41@gmail.com</t>
  </si>
  <si>
    <t>PASAJE IVAN 242</t>
  </si>
  <si>
    <t xml:space="preserve">YAN CARLOS </t>
  </si>
  <si>
    <t>ROKES FERNANDEZ</t>
  </si>
  <si>
    <t>05262443</t>
  </si>
  <si>
    <t>yacarofe2018@gmail.com</t>
  </si>
  <si>
    <t>URB. FCO. BOLOGNESI D-9</t>
  </si>
  <si>
    <t xml:space="preserve">GLORIA MARINA </t>
  </si>
  <si>
    <t>SINTI PÉREZ</t>
  </si>
  <si>
    <t>40369900</t>
  </si>
  <si>
    <t>gloriamarinasintiperez@gmail.com</t>
  </si>
  <si>
    <t>BOLOGNESI 1381</t>
  </si>
  <si>
    <t xml:space="preserve">TEDDY HENRRY </t>
  </si>
  <si>
    <t>TAMANI LOZANO</t>
  </si>
  <si>
    <t>40760578</t>
  </si>
  <si>
    <t>gaelymarite@gmail.com</t>
  </si>
  <si>
    <t>PAJE. LAS VERTIENTES 114 - B LAS COLINAS</t>
  </si>
  <si>
    <t xml:space="preserve">LIZETH LORENA </t>
  </si>
  <si>
    <t>TENAZOA BARDALES</t>
  </si>
  <si>
    <t>40427055</t>
  </si>
  <si>
    <t>lizethtenazoa@hotmail.com</t>
  </si>
  <si>
    <t>URB TAMBO MZ D LT 15</t>
  </si>
  <si>
    <t>Jorge Luis</t>
  </si>
  <si>
    <t>Torres Flores</t>
  </si>
  <si>
    <t>40577312</t>
  </si>
  <si>
    <t>04/05/1974</t>
  </si>
  <si>
    <t>jtorresflores@gmail.com</t>
  </si>
  <si>
    <t>PASAJE  I  N° 166</t>
  </si>
  <si>
    <t>VÁSQUEZ NAKAGAWA</t>
  </si>
  <si>
    <t>40860741</t>
  </si>
  <si>
    <t>25/02/1981</t>
  </si>
  <si>
    <t>Vasqueznakagawap@gmail.com</t>
  </si>
  <si>
    <t>AMERICA 432</t>
  </si>
  <si>
    <t xml:space="preserve">ROSA LUZ </t>
  </si>
  <si>
    <t>VILLANUEVA FAJARDO</t>
  </si>
  <si>
    <t>05845045</t>
  </si>
  <si>
    <t>Villanuevarosaluz07@gmail.com</t>
  </si>
  <si>
    <t>PASAJE JESÚS 149</t>
  </si>
  <si>
    <t xml:space="preserve">Diana del Rocio </t>
  </si>
  <si>
    <t xml:space="preserve">Abad Yangua </t>
  </si>
  <si>
    <t>Español</t>
  </si>
  <si>
    <t xml:space="preserve">dianita_8113@hotmail.com </t>
  </si>
  <si>
    <t xml:space="preserve">Calle Bolivar Mz J Lt 2 Tupac Amaru II </t>
  </si>
  <si>
    <t xml:space="preserve">26 de Octubre </t>
  </si>
  <si>
    <t>Piura</t>
  </si>
  <si>
    <t>Director / Docente</t>
  </si>
  <si>
    <t>Yris Violeta</t>
  </si>
  <si>
    <t>Alama Ruiz</t>
  </si>
  <si>
    <t>43681117</t>
  </si>
  <si>
    <t>yvar2704@gmail.com</t>
  </si>
  <si>
    <t>Prolongación Catacaos N°5000</t>
  </si>
  <si>
    <t xml:space="preserve">Tambogrande </t>
  </si>
  <si>
    <t xml:space="preserve">Profesora de educación Primaria </t>
  </si>
  <si>
    <t>14924 Daniel Alcides Carrion Malingas</t>
  </si>
  <si>
    <t xml:space="preserve">Jesús Victoria </t>
  </si>
  <si>
    <t>Albán Rufino</t>
  </si>
  <si>
    <t>02854748</t>
  </si>
  <si>
    <t xml:space="preserve">jalbanrufino@gmail.com </t>
  </si>
  <si>
    <t>AA. HH Señor de los Milagros  MZ A lote 5A</t>
  </si>
  <si>
    <t>Tambogrande</t>
  </si>
  <si>
    <t xml:space="preserve">Piura </t>
  </si>
  <si>
    <t>Subdirector</t>
  </si>
  <si>
    <t>14144 Santa Rosa</t>
  </si>
  <si>
    <t>María Micaela</t>
  </si>
  <si>
    <t xml:space="preserve">Azabache Llontop </t>
  </si>
  <si>
    <t>43081730</t>
  </si>
  <si>
    <t>micaelamedaly02@gmail.com</t>
  </si>
  <si>
    <t xml:space="preserve">Av. Mariscal castilla 904 </t>
  </si>
  <si>
    <t xml:space="preserve">Monsefú </t>
  </si>
  <si>
    <t>Chiclayo</t>
  </si>
  <si>
    <t>Lambayeque</t>
  </si>
  <si>
    <t>Profesora</t>
  </si>
  <si>
    <t>RER 48</t>
  </si>
  <si>
    <t>Gina del Pilar</t>
  </si>
  <si>
    <t>Bayona Gutiérrez</t>
  </si>
  <si>
    <t>73051774</t>
  </si>
  <si>
    <t>gbayona@feyalegria.org.pe</t>
  </si>
  <si>
    <t>MZ F lote 21 II etapa la Primavera</t>
  </si>
  <si>
    <t xml:space="preserve">Castilla </t>
  </si>
  <si>
    <t xml:space="preserve">María Elena </t>
  </si>
  <si>
    <t xml:space="preserve">Bereche Arrunategui </t>
  </si>
  <si>
    <t>rocionana03@hotmail.com</t>
  </si>
  <si>
    <t>El Huerto Jr Las Dalias Mz F Lote 11</t>
  </si>
  <si>
    <t xml:space="preserve">Cinthia Paola </t>
  </si>
  <si>
    <t xml:space="preserve">Bereche Domínguez </t>
  </si>
  <si>
    <t>44696023</t>
  </si>
  <si>
    <t>cinthiapaovirgo@gmail.com</t>
  </si>
  <si>
    <t xml:space="preserve">JR: los reyes N° 350 Cerro Santa Cruz </t>
  </si>
  <si>
    <t>14145 Santa Julia Billiart</t>
  </si>
  <si>
    <t>Henry David</t>
  </si>
  <si>
    <t>Calle Dominguez</t>
  </si>
  <si>
    <t>41657708</t>
  </si>
  <si>
    <t>hdcd_24@hotmail.com</t>
  </si>
  <si>
    <t>JR. Lima N 908 Tambogrande</t>
  </si>
  <si>
    <t>Profesor de Educación Primaria</t>
  </si>
  <si>
    <t>Sagrado Corazón de Jesús</t>
  </si>
  <si>
    <t>Elver Martin</t>
  </si>
  <si>
    <t>Carmen Temoche</t>
  </si>
  <si>
    <t>44942421</t>
  </si>
  <si>
    <t>elver-88-11@hotmail.com</t>
  </si>
  <si>
    <t>Jr yapatera 284</t>
  </si>
  <si>
    <t>Eva cristina</t>
  </si>
  <si>
    <t>Cochachi Panta</t>
  </si>
  <si>
    <t>41381282</t>
  </si>
  <si>
    <t xml:space="preserve">cristinacochachipanta@gmail.com </t>
  </si>
  <si>
    <t>Cruceta San lorenzo</t>
  </si>
  <si>
    <t>DEIVIN STEVE</t>
  </si>
  <si>
    <t>CÓRDOVA ABRAMONTE</t>
  </si>
  <si>
    <t>02898962</t>
  </si>
  <si>
    <t>stevecordovabramonte77@gmail.com</t>
  </si>
  <si>
    <t>Av Grau N0 114</t>
  </si>
  <si>
    <t>Jimmy Juan</t>
  </si>
  <si>
    <t xml:space="preserve">Cordova Abramonte </t>
  </si>
  <si>
    <t>10238145</t>
  </si>
  <si>
    <t xml:space="preserve">jimmyjuan_c@hotmail.com </t>
  </si>
  <si>
    <t>Jr.paita 1018</t>
  </si>
  <si>
    <t xml:space="preserve">Educación primaria </t>
  </si>
  <si>
    <t>Nery</t>
  </si>
  <si>
    <t xml:space="preserve">Delgado Raymundo </t>
  </si>
  <si>
    <t>02755380</t>
  </si>
  <si>
    <t>neryraymundo@hotmail.com</t>
  </si>
  <si>
    <t>Avenida Ignacia Schaeffer 125</t>
  </si>
  <si>
    <t xml:space="preserve">Profesora de nivel Primario </t>
  </si>
  <si>
    <t>20104 Esperanza Mi Cautivo</t>
  </si>
  <si>
    <t xml:space="preserve">ANA MERCEDES </t>
  </si>
  <si>
    <t xml:space="preserve">DOMINGUEZ DURAN </t>
  </si>
  <si>
    <t xml:space="preserve">anmedodu@gmail.com </t>
  </si>
  <si>
    <t>JIRON 12 DE ABRIL</t>
  </si>
  <si>
    <t>DOCENTE DE EDUCACION PRIMARIA</t>
  </si>
  <si>
    <t xml:space="preserve">Juliana Maribel </t>
  </si>
  <si>
    <t>Elías Carmen</t>
  </si>
  <si>
    <t>76648836</t>
  </si>
  <si>
    <t>juliecar2995@gmail.com</t>
  </si>
  <si>
    <t>CP - Palominos - AV la Marina S/N</t>
  </si>
  <si>
    <t>Docente Primaria</t>
  </si>
  <si>
    <t>Yrvin Jonathan</t>
  </si>
  <si>
    <t xml:space="preserve">Encalada Temoche </t>
  </si>
  <si>
    <t>44942498</t>
  </si>
  <si>
    <t>yencalada065@gmail.com</t>
  </si>
  <si>
    <t>Jr 12 De abril 119</t>
  </si>
  <si>
    <t xml:space="preserve">Docente del nivel primaria </t>
  </si>
  <si>
    <t xml:space="preserve">Maura eliana </t>
  </si>
  <si>
    <t>Fernandez Garcia</t>
  </si>
  <si>
    <t>42840956</t>
  </si>
  <si>
    <t>Elianys22_31@hotmail.com</t>
  </si>
  <si>
    <t>MzA6 lote8 los portales sol de piura</t>
  </si>
  <si>
    <t>26 de Octubre</t>
  </si>
  <si>
    <t>Docente / Educacion</t>
  </si>
  <si>
    <t>Shirley Raquel</t>
  </si>
  <si>
    <t>Garcés Carhuapoma</t>
  </si>
  <si>
    <t>r.garces3694@gmail.com</t>
  </si>
  <si>
    <t>Av Grau 1439 Campo Polo Castilla</t>
  </si>
  <si>
    <t xml:space="preserve">Ana Paola </t>
  </si>
  <si>
    <t xml:space="preserve">Garcés Mendoza </t>
  </si>
  <si>
    <t>anapaolagm19@hotmail.com</t>
  </si>
  <si>
    <t xml:space="preserve">Calle Pacaipampa 532 A.H Santa Rosa </t>
  </si>
  <si>
    <t xml:space="preserve">Docente- tutora </t>
  </si>
  <si>
    <t xml:space="preserve">Melissa Marcela </t>
  </si>
  <si>
    <t xml:space="preserve">Gómez Rabanal </t>
  </si>
  <si>
    <t xml:space="preserve">Maego2018@gmail.com </t>
  </si>
  <si>
    <t>Jr. Piura Cda 9</t>
  </si>
  <si>
    <t>yesenia</t>
  </si>
  <si>
    <t>Guzmán Campos</t>
  </si>
  <si>
    <t>Divorcioada</t>
  </si>
  <si>
    <t>Yeguzcampos@gmail.com</t>
  </si>
  <si>
    <t>Calle 01 URB. Los 04 Girasoles MzA Lote 13</t>
  </si>
  <si>
    <t>Sullana</t>
  </si>
  <si>
    <t xml:space="preserve">Miriam Raquel </t>
  </si>
  <si>
    <t>Hernández Rufino de Calle</t>
  </si>
  <si>
    <t>02760149</t>
  </si>
  <si>
    <t>miriamra_2015@hotmail.com</t>
  </si>
  <si>
    <t>A.H Froilan Alama MZ "L" lote 08</t>
  </si>
  <si>
    <t xml:space="preserve">Arnulfo </t>
  </si>
  <si>
    <t xml:space="preserve">Huertas Alvarado </t>
  </si>
  <si>
    <t>05641038</t>
  </si>
  <si>
    <t>arnulfo_locuto@hotmail.com</t>
  </si>
  <si>
    <t xml:space="preserve">Caserío Locuto </t>
  </si>
  <si>
    <t xml:space="preserve">Andrea </t>
  </si>
  <si>
    <t xml:space="preserve">Juárez Espinoza </t>
  </si>
  <si>
    <t>40071753</t>
  </si>
  <si>
    <t>andre.juarez.espinoza@gmail.com</t>
  </si>
  <si>
    <t xml:space="preserve">Palominos </t>
  </si>
  <si>
    <t xml:space="preserve">FREDY ARNALDO </t>
  </si>
  <si>
    <t>JUAREZ GARCIA</t>
  </si>
  <si>
    <t>42236117</t>
  </si>
  <si>
    <t>frearjuga@gmail.com</t>
  </si>
  <si>
    <t>Jr. 12 de Abril AA.HH. Andrès Ràzuri</t>
  </si>
  <si>
    <t>Ana María</t>
  </si>
  <si>
    <t>Juárez Márquez</t>
  </si>
  <si>
    <t>03379772</t>
  </si>
  <si>
    <t>anamariajuarezmarquez81@gmail.com</t>
  </si>
  <si>
    <t>Caserío San Francisco Mz J Lt 129</t>
  </si>
  <si>
    <t>Chulucanas</t>
  </si>
  <si>
    <t>Morropón</t>
  </si>
  <si>
    <t>Licenciada en educación primaria</t>
  </si>
  <si>
    <t xml:space="preserve">Deysi </t>
  </si>
  <si>
    <t xml:space="preserve">Juárez Rufino </t>
  </si>
  <si>
    <t xml:space="preserve">Dey1jua@gmail.com </t>
  </si>
  <si>
    <t xml:space="preserve">Santa Ignacia calle los cocos </t>
  </si>
  <si>
    <t xml:space="preserve">Edith del Milagro </t>
  </si>
  <si>
    <t xml:space="preserve">Juárez Vega </t>
  </si>
  <si>
    <t>02891018</t>
  </si>
  <si>
    <t>milagros0510jv@gmail</t>
  </si>
  <si>
    <t>Asentamiento humano san martin calle señor de los milagros</t>
  </si>
  <si>
    <t>Docente primaria</t>
  </si>
  <si>
    <t>Demetrio</t>
  </si>
  <si>
    <t>Julcahuanga Domínguez</t>
  </si>
  <si>
    <t>02797706</t>
  </si>
  <si>
    <t>demejuld@hotmail.com</t>
  </si>
  <si>
    <t>AH Jesus de Nazaret Mz B Lt 25</t>
  </si>
  <si>
    <t>Juan Carlos</t>
  </si>
  <si>
    <t>Lloclla Flores</t>
  </si>
  <si>
    <t>41595966</t>
  </si>
  <si>
    <t>juanlloclla2016@gmail.com</t>
  </si>
  <si>
    <t>Calle Buenos Aires, MZ K, Lt 03, A. H.Los Almendros</t>
  </si>
  <si>
    <t>Profesor /Educación Primaria</t>
  </si>
  <si>
    <t>Carlos Tadeo</t>
  </si>
  <si>
    <t>Maza Hidalgo</t>
  </si>
  <si>
    <t xml:space="preserve">Español </t>
  </si>
  <si>
    <t>05641241</t>
  </si>
  <si>
    <t>cmaza@feyalegria48.edu.pe</t>
  </si>
  <si>
    <t>JR Ayabaca 849</t>
  </si>
  <si>
    <t>Profesora de educación primaria</t>
  </si>
  <si>
    <t>Coordinador pedagógico</t>
  </si>
  <si>
    <t xml:space="preserve">Susana Martina </t>
  </si>
  <si>
    <t xml:space="preserve">Morante Panta </t>
  </si>
  <si>
    <t>02756294</t>
  </si>
  <si>
    <t xml:space="preserve">susimopan@gmail.com </t>
  </si>
  <si>
    <t>AA.HH Jesús de Nazaret Mz: A  Lote: 24</t>
  </si>
  <si>
    <t xml:space="preserve">Profesora de Educación Primaria </t>
  </si>
  <si>
    <t xml:space="preserve">Luis Alberto </t>
  </si>
  <si>
    <t xml:space="preserve">More Bereche </t>
  </si>
  <si>
    <t>luismor0380@gmail.com</t>
  </si>
  <si>
    <t>JR.Chulucanas N°250</t>
  </si>
  <si>
    <t xml:space="preserve">Jorge Luis </t>
  </si>
  <si>
    <t xml:space="preserve">Navarro García </t>
  </si>
  <si>
    <t>02889539</t>
  </si>
  <si>
    <t>jnavarrogarcia02@gmail.com</t>
  </si>
  <si>
    <t>Caserío Cruz Verde MZ H LT 11</t>
  </si>
  <si>
    <t>Director/a con aula a cargo</t>
  </si>
  <si>
    <t xml:space="preserve">Navarro Rivas </t>
  </si>
  <si>
    <t>02896909</t>
  </si>
  <si>
    <t xml:space="preserve">Linda.love.77@hotmail.com </t>
  </si>
  <si>
    <t xml:space="preserve">Jr Arequipa 219 </t>
  </si>
  <si>
    <t xml:space="preserve">Elena Beatriz </t>
  </si>
  <si>
    <t xml:space="preserve">Ortiz Raymundo </t>
  </si>
  <si>
    <t>Viuda</t>
  </si>
  <si>
    <t>02761470</t>
  </si>
  <si>
    <t>ortizelenabeatriz3@gmail.com</t>
  </si>
  <si>
    <t xml:space="preserve">Guaraguaos bajo </t>
  </si>
  <si>
    <t>Nestor</t>
  </si>
  <si>
    <t>Palacios Ojeda.</t>
  </si>
  <si>
    <t>02829340</t>
  </si>
  <si>
    <t>998 665 484</t>
  </si>
  <si>
    <t>Palaciosojedan@gmail.com</t>
  </si>
  <si>
    <t>C.P. Pedregal.</t>
  </si>
  <si>
    <t xml:space="preserve">Katty Pamela </t>
  </si>
  <si>
    <t xml:space="preserve">Palacios Valdiviezo </t>
  </si>
  <si>
    <t>40012194</t>
  </si>
  <si>
    <t>Kattyppv@gmail.com</t>
  </si>
  <si>
    <t>Jirón Junín 524</t>
  </si>
  <si>
    <t xml:space="preserve">Docente de educación primaria </t>
  </si>
  <si>
    <t xml:space="preserve">Gabriel Eduardo </t>
  </si>
  <si>
    <t xml:space="preserve">Panta Varona </t>
  </si>
  <si>
    <t>41019204</t>
  </si>
  <si>
    <t>victormartinpantavarona@gmail.com</t>
  </si>
  <si>
    <t>A.A.H.H Jesús de Nazareth III etapa</t>
  </si>
  <si>
    <t>Educación primaria</t>
  </si>
  <si>
    <t>Víctor Martin</t>
  </si>
  <si>
    <t>Panta Varona</t>
  </si>
  <si>
    <t>ucvsagitario@hotmail.com</t>
  </si>
  <si>
    <t>Castilla 260</t>
  </si>
  <si>
    <t xml:space="preserve">Profesor </t>
  </si>
  <si>
    <t xml:space="preserve">Karina del Rosario </t>
  </si>
  <si>
    <t xml:space="preserve">Pulache Carmen </t>
  </si>
  <si>
    <t>40141146</t>
  </si>
  <si>
    <t xml:space="preserve">Karina _1979@outlook.com </t>
  </si>
  <si>
    <t xml:space="preserve">Jr. José Carlos Mariategui </t>
  </si>
  <si>
    <t xml:space="preserve">Ricardo Ramón </t>
  </si>
  <si>
    <t xml:space="preserve">Ramírez Erazo </t>
  </si>
  <si>
    <t>02840828</t>
  </si>
  <si>
    <t xml:space="preserve">eliajer51939@gmail.com </t>
  </si>
  <si>
    <t>Urb. Los Ficus J1 Lte. 10 Piura</t>
  </si>
  <si>
    <t xml:space="preserve">Karina Paola </t>
  </si>
  <si>
    <t xml:space="preserve">Rivas Rufino </t>
  </si>
  <si>
    <t>kariru7000@gmail.com</t>
  </si>
  <si>
    <t>Prolongación Catacaos S /n</t>
  </si>
  <si>
    <t xml:space="preserve">Carmen Victoria </t>
  </si>
  <si>
    <t xml:space="preserve">Rufino Alzamora </t>
  </si>
  <si>
    <t>02800587</t>
  </si>
  <si>
    <t>carrual15@gmail.com</t>
  </si>
  <si>
    <t>JR Ayabaca 148</t>
  </si>
  <si>
    <t xml:space="preserve">ANAIS JANIVELA </t>
  </si>
  <si>
    <t xml:space="preserve">SEMINARIO ABRAMONTE </t>
  </si>
  <si>
    <t>43849893</t>
  </si>
  <si>
    <t>anaisseminario50@gmail.com</t>
  </si>
  <si>
    <t>JR. PAITA N°549</t>
  </si>
  <si>
    <t xml:space="preserve">Vanesa Evelyn </t>
  </si>
  <si>
    <t>Seminario Arnijos</t>
  </si>
  <si>
    <t>vanessaseminarioarmijos@gmail.com</t>
  </si>
  <si>
    <t>JR Tumbes s/n</t>
  </si>
  <si>
    <t xml:space="preserve">Gladys Elena </t>
  </si>
  <si>
    <t>Seminario Panta</t>
  </si>
  <si>
    <t>02817469</t>
  </si>
  <si>
    <t>gseminariop@gmail.com</t>
  </si>
  <si>
    <t>Jr. Ayabaca No.461</t>
  </si>
  <si>
    <t>Lic. En Educación Primaria</t>
  </si>
  <si>
    <t xml:space="preserve">Gloria Maria </t>
  </si>
  <si>
    <t>Silupu Mena</t>
  </si>
  <si>
    <t>02839209</t>
  </si>
  <si>
    <t>gloriasilupu@gmail.com</t>
  </si>
  <si>
    <t>A.H..Sagrado corazón de Jesús  Mz B lote 21 -Tambogrande</t>
  </si>
  <si>
    <t xml:space="preserve">Docente nivel primaria </t>
  </si>
  <si>
    <t xml:space="preserve">Mercedes </t>
  </si>
  <si>
    <t xml:space="preserve">Silupu Silupu de Rufino </t>
  </si>
  <si>
    <t>02800601</t>
  </si>
  <si>
    <t xml:space="preserve">mersilupu@hotmai.com </t>
  </si>
  <si>
    <t>Calle arena N 231 Bellavista _Sullana</t>
  </si>
  <si>
    <t xml:space="preserve">Bellavista </t>
  </si>
  <si>
    <t>Profesora  nombrada</t>
  </si>
  <si>
    <t xml:space="preserve">Rosa Elvira </t>
  </si>
  <si>
    <t>Sosa Carmen</t>
  </si>
  <si>
    <t>02831725</t>
  </si>
  <si>
    <t>elvirasosa73@gmail.com</t>
  </si>
  <si>
    <t>Jr Loreto 240</t>
  </si>
  <si>
    <t>NATALY IBETT</t>
  </si>
  <si>
    <t>URBINA RODRIGUEZ</t>
  </si>
  <si>
    <t>43311008</t>
  </si>
  <si>
    <t>natibett8@hotmail.com</t>
  </si>
  <si>
    <t xml:space="preserve">CALLE JOSE MARIA RAYGADA ASENTAMIENTO HUMANO 9 DE OCTUBRE </t>
  </si>
  <si>
    <t>LICENCIADA EN EDUCACION PRIMARIA</t>
  </si>
  <si>
    <t xml:space="preserve">Nancy María </t>
  </si>
  <si>
    <t xml:space="preserve">Vargas Valdiviezo </t>
  </si>
  <si>
    <t>76034881</t>
  </si>
  <si>
    <t>04nancymaria@gmail.com</t>
  </si>
  <si>
    <t>Monteverde Etapa 16 Mz AA 08</t>
  </si>
  <si>
    <t>Castilla</t>
  </si>
  <si>
    <t xml:space="preserve">EDUCACIÓN PRIMARIA </t>
  </si>
  <si>
    <t xml:space="preserve">Edgardo </t>
  </si>
  <si>
    <t xml:space="preserve">Vega Palacios </t>
  </si>
  <si>
    <t>02852964</t>
  </si>
  <si>
    <t>vegpalacios20@gmail.com</t>
  </si>
  <si>
    <t xml:space="preserve">AA. HH Jorge Basadre Mz C lote 22 Piura </t>
  </si>
  <si>
    <t xml:space="preserve">Licenciado en educación </t>
  </si>
  <si>
    <t xml:space="preserve">Sandra Patricia </t>
  </si>
  <si>
    <t xml:space="preserve">Villegas Juárez </t>
  </si>
  <si>
    <t>02843613</t>
  </si>
  <si>
    <t xml:space="preserve">sandritaville03@gmail.com </t>
  </si>
  <si>
    <t>Asentamiento Humano Jesús dd! Nazaret MzA Lote 5 Tambogrande</t>
  </si>
  <si>
    <t xml:space="preserve">Bachiller en Educacion </t>
  </si>
  <si>
    <t>María Adelaida</t>
  </si>
  <si>
    <t>Villegas Villegas</t>
  </si>
  <si>
    <t>02800558</t>
  </si>
  <si>
    <t>ade6910@hotmail.com</t>
  </si>
  <si>
    <t>AH.Miguel Cortes Mz A Lt.11</t>
  </si>
  <si>
    <t>Elsa del Socorro</t>
  </si>
  <si>
    <t xml:space="preserve">Zapata Crisanto </t>
  </si>
  <si>
    <t>80472320</t>
  </si>
  <si>
    <t xml:space="preserve">elsazapatacrisanto2018@gmail.com </t>
  </si>
  <si>
    <t xml:space="preserve">A H san martin </t>
  </si>
  <si>
    <t xml:space="preserve">Lily Fernanda </t>
  </si>
  <si>
    <t xml:space="preserve">Alegre Alegre </t>
  </si>
  <si>
    <t xml:space="preserve">Casado </t>
  </si>
  <si>
    <t>lilyferalegre@gmail.com</t>
  </si>
  <si>
    <t>Jr 2 de mayo S/N</t>
  </si>
  <si>
    <t xml:space="preserve">Yungay </t>
  </si>
  <si>
    <t>Yungay</t>
  </si>
  <si>
    <t>Ancash</t>
  </si>
  <si>
    <t>RER 54</t>
  </si>
  <si>
    <t xml:space="preserve">Deivis Elio </t>
  </si>
  <si>
    <t>Barreto Solis</t>
  </si>
  <si>
    <t>Castellano y quechua</t>
  </si>
  <si>
    <t>dbarreto@feyalegria54.edu.pe</t>
  </si>
  <si>
    <t>Shancayán Jamanca Jirca S/N</t>
  </si>
  <si>
    <t>Independencia</t>
  </si>
  <si>
    <t>Huaraz</t>
  </si>
  <si>
    <t xml:space="preserve">Yovana Florcita </t>
  </si>
  <si>
    <t>Bartolomé Picón</t>
  </si>
  <si>
    <t>Yovanabartolomepicon@gmail.com</t>
  </si>
  <si>
    <t>Jr. San gerónimo</t>
  </si>
  <si>
    <t>86548 JOSE MARIA VELAZ</t>
  </si>
  <si>
    <t>Edita Yolanda</t>
  </si>
  <si>
    <t>Baylón Rojas</t>
  </si>
  <si>
    <t>edita_04_2018@hotmail.com</t>
  </si>
  <si>
    <t>Cayashbamba Carretera central S/N</t>
  </si>
  <si>
    <t xml:space="preserve">Antonia </t>
  </si>
  <si>
    <t>Cacha Celmi</t>
  </si>
  <si>
    <t>celmifig@gmail.com</t>
  </si>
  <si>
    <t>Av. Tupac Amaru S/N</t>
  </si>
  <si>
    <t xml:space="preserve">Yony Juan </t>
  </si>
  <si>
    <t>Calvo Fernández</t>
  </si>
  <si>
    <t xml:space="preserve">Yonyjuan20@gmail.com </t>
  </si>
  <si>
    <t xml:space="preserve">Jr. Horacio Zeballos Games </t>
  </si>
  <si>
    <t xml:space="preserve">Independencia </t>
  </si>
  <si>
    <t xml:space="preserve">Huaraz  </t>
  </si>
  <si>
    <t xml:space="preserve">Docente / Educación Básica Regular </t>
  </si>
  <si>
    <t xml:space="preserve">Jhoshua Raymond </t>
  </si>
  <si>
    <t>Dávila Salazar</t>
  </si>
  <si>
    <t>jhdavila@feyalegria54.edu.pe</t>
  </si>
  <si>
    <t>Mz D lote 28 urb Mercedes</t>
  </si>
  <si>
    <t>San Martín de Porres</t>
  </si>
  <si>
    <t>Lima</t>
  </si>
  <si>
    <t>Modesto</t>
  </si>
  <si>
    <t>Granados Alegre</t>
  </si>
  <si>
    <t>mgranados alegre@gmail.com</t>
  </si>
  <si>
    <t>Av la Merced S/N</t>
  </si>
  <si>
    <t>Caraz</t>
  </si>
  <si>
    <t>Huaylas</t>
  </si>
  <si>
    <t xml:space="preserve">María Juana </t>
  </si>
  <si>
    <t>Jamanca López</t>
  </si>
  <si>
    <t>mariajuanajamancalopez@gmail.com</t>
  </si>
  <si>
    <t>Barrio de Nicrupampa</t>
  </si>
  <si>
    <t>Docente Nombrada</t>
  </si>
  <si>
    <t>88247 Capan</t>
  </si>
  <si>
    <t xml:space="preserve">Yeni Marisol </t>
  </si>
  <si>
    <t>Mendoza Cocha</t>
  </si>
  <si>
    <t>yenimarisolmendoza@gmail.com</t>
  </si>
  <si>
    <t>Nueva Florida</t>
  </si>
  <si>
    <t xml:space="preserve">Docente / Educación inicial </t>
  </si>
  <si>
    <t>693 Carap</t>
  </si>
  <si>
    <t xml:space="preserve">Magda Mariluz </t>
  </si>
  <si>
    <t>Pachacamac Huamán</t>
  </si>
  <si>
    <t>ph08271996@gmail.com</t>
  </si>
  <si>
    <t>Barrio Huantucan S/N</t>
  </si>
  <si>
    <t xml:space="preserve">Veronica Pilar </t>
  </si>
  <si>
    <t xml:space="preserve">Pichí Huerta </t>
  </si>
  <si>
    <t xml:space="preserve">Vero_pilar_222@hotmail.com </t>
  </si>
  <si>
    <t>Matacoto S/N</t>
  </si>
  <si>
    <t xml:space="preserve">Gregorio Catalino </t>
  </si>
  <si>
    <t>Ramirez Oro</t>
  </si>
  <si>
    <t>gc.ramirezoro@gmail.com</t>
  </si>
  <si>
    <t>Caserio de Conay s/n</t>
  </si>
  <si>
    <t>Santa Cruz</t>
  </si>
  <si>
    <t>86809 Huarac-huran</t>
  </si>
  <si>
    <t>HERCILIO EGIDIO</t>
  </si>
  <si>
    <t>RODRIGUEZ MILLA</t>
  </si>
  <si>
    <t>herciliormgear@gmail.com</t>
  </si>
  <si>
    <t>Caserío de Chimpa S/N</t>
  </si>
  <si>
    <t>Mancos</t>
  </si>
  <si>
    <t>Director / Educación primaria</t>
  </si>
  <si>
    <t xml:space="preserve">Eumelia Midea </t>
  </si>
  <si>
    <t xml:space="preserve">Villa Canta </t>
  </si>
  <si>
    <t>925054405 /918519023</t>
  </si>
  <si>
    <t xml:space="preserve">mideavilla2@gmail.com </t>
  </si>
  <si>
    <t>Tullpa s/n Yungay</t>
  </si>
  <si>
    <t xml:space="preserve">Patricia Elizabeth </t>
  </si>
  <si>
    <t>Villalobos Vargas</t>
  </si>
  <si>
    <t>pattyvilla19d@gmail.com</t>
  </si>
  <si>
    <t>Pueblo Libre caserío Tocash S/N</t>
  </si>
  <si>
    <t>Pueblo libre</t>
  </si>
  <si>
    <t>87009-01 Huanchuy</t>
  </si>
  <si>
    <t xml:space="preserve">Elizabeth </t>
  </si>
  <si>
    <t xml:space="preserve">Aguilar Martell </t>
  </si>
  <si>
    <t>21141116</t>
  </si>
  <si>
    <t>chiteaguilar@hotmail.com</t>
  </si>
  <si>
    <t>Jr 28 de Julio N° 298</t>
  </si>
  <si>
    <t xml:space="preserve">Yarinacocha </t>
  </si>
  <si>
    <t>Coronel Portillo</t>
  </si>
  <si>
    <t>Ucayali</t>
  </si>
  <si>
    <t>Profesora de aula / Docente</t>
  </si>
  <si>
    <t>294</t>
  </si>
  <si>
    <t>inicial</t>
  </si>
  <si>
    <t xml:space="preserve">Humberto </t>
  </si>
  <si>
    <t xml:space="preserve">Agustín Fernandez </t>
  </si>
  <si>
    <t>Shipibo</t>
  </si>
  <si>
    <t>21146137</t>
  </si>
  <si>
    <t>humbertoagustin56@gmail,com</t>
  </si>
  <si>
    <t>AA.HH Progreso Mz A Lte. 13</t>
  </si>
  <si>
    <t xml:space="preserve">Callería </t>
  </si>
  <si>
    <t>Profesor de aula / Docente</t>
  </si>
  <si>
    <t>64508 - B</t>
  </si>
  <si>
    <t xml:space="preserve">primaria </t>
  </si>
  <si>
    <t xml:space="preserve">Marilu </t>
  </si>
  <si>
    <t xml:space="preserve">Arévalo Manuyama </t>
  </si>
  <si>
    <t>00083197</t>
  </si>
  <si>
    <t>mariarevaloshalom@gmail.com</t>
  </si>
  <si>
    <t>Jr. Putumayo N° 219</t>
  </si>
  <si>
    <t>64028</t>
  </si>
  <si>
    <t>64829</t>
  </si>
  <si>
    <t xml:space="preserve">Ysabel </t>
  </si>
  <si>
    <t xml:space="preserve">Bocanegra Vela </t>
  </si>
  <si>
    <t>21140666</t>
  </si>
  <si>
    <t>isabelutbv06@gmail.com</t>
  </si>
  <si>
    <t>Jr. Oscar Zevallos N° 179 con Jr. Pachitea</t>
  </si>
  <si>
    <t>Callería</t>
  </si>
  <si>
    <t>Encargada de dirección / Docente</t>
  </si>
  <si>
    <t xml:space="preserve">Wilder </t>
  </si>
  <si>
    <t>Chávez Fernández</t>
  </si>
  <si>
    <t>00098981</t>
  </si>
  <si>
    <t>wilderchafernandez@gmail.com</t>
  </si>
  <si>
    <t>AA.HH 20 de Diciembre Mz 14 Lte. 15</t>
  </si>
  <si>
    <t>Manantay</t>
  </si>
  <si>
    <t>64871 - B</t>
  </si>
  <si>
    <t xml:space="preserve">Sadith Pilar </t>
  </si>
  <si>
    <t>Chávez Ramírez</t>
  </si>
  <si>
    <t>00052475</t>
  </si>
  <si>
    <t>sadithchavezramirez@gmail.com</t>
  </si>
  <si>
    <t>Jr. Martín Olaya N° 110</t>
  </si>
  <si>
    <t>Yarinacocha</t>
  </si>
  <si>
    <t>555-B</t>
  </si>
  <si>
    <t xml:space="preserve">Patsy Janeth </t>
  </si>
  <si>
    <t xml:space="preserve">del Aguila Pinedo </t>
  </si>
  <si>
    <t>40064983</t>
  </si>
  <si>
    <t>patsyjhanetd@gmail.com</t>
  </si>
  <si>
    <t>Jr. Ricardo Palma N° 394</t>
  </si>
  <si>
    <t>64115</t>
  </si>
  <si>
    <t>Gonzales Shupingagua</t>
  </si>
  <si>
    <t>00123608</t>
  </si>
  <si>
    <t>pathydardi1@gmail.com</t>
  </si>
  <si>
    <t>Psje. Centenario N° 227</t>
  </si>
  <si>
    <t>64798 - Nuevo Ancash</t>
  </si>
  <si>
    <t xml:space="preserve">Sadith </t>
  </si>
  <si>
    <t xml:space="preserve">Gordon Cairuna </t>
  </si>
  <si>
    <t xml:space="preserve">Shipibo </t>
  </si>
  <si>
    <t>05956398</t>
  </si>
  <si>
    <t xml:space="preserve">sadithgordon@gmail.com </t>
  </si>
  <si>
    <t>Jr. 3 de Octubre Mz H Lte 11 AA.HH La Perla</t>
  </si>
  <si>
    <t>525-B</t>
  </si>
  <si>
    <t xml:space="preserve">Jesus </t>
  </si>
  <si>
    <t>Gutierrez Novoa</t>
  </si>
  <si>
    <t xml:space="preserve"> 00106412</t>
  </si>
  <si>
    <t>gutinovoa1110@gmail.com</t>
  </si>
  <si>
    <t>Jr. Comandante Espinar N* 170</t>
  </si>
  <si>
    <t>64996</t>
  </si>
  <si>
    <t xml:space="preserve">Nilda </t>
  </si>
  <si>
    <t>Hilario Escobar</t>
  </si>
  <si>
    <t>00053554</t>
  </si>
  <si>
    <t>nhe221265@gmail.com</t>
  </si>
  <si>
    <t>Jr. 7 de Junio Mz H Lte. 9 AA.HH Las Perlas</t>
  </si>
  <si>
    <t xml:space="preserve">Francisca </t>
  </si>
  <si>
    <t xml:space="preserve">Julca Caballero </t>
  </si>
  <si>
    <t xml:space="preserve">Casada </t>
  </si>
  <si>
    <t>45429321</t>
  </si>
  <si>
    <t>afrancisca20182@gmail.com</t>
  </si>
  <si>
    <t>Psje. Los Maizales Mz I Lte 07 AA.HH Jorge Barrantes</t>
  </si>
  <si>
    <t>566</t>
  </si>
  <si>
    <t xml:space="preserve">Michelle </t>
  </si>
  <si>
    <t>Lomas Maldonado</t>
  </si>
  <si>
    <t>40199211</t>
  </si>
  <si>
    <t>lomas76miche@gmail.com</t>
  </si>
  <si>
    <t>Jr. 17 de Setiembre Mz S Lte. 02 Benangema</t>
  </si>
  <si>
    <t xml:space="preserve">Roger </t>
  </si>
  <si>
    <t>Macedo Gonzales</t>
  </si>
  <si>
    <t>05958063</t>
  </si>
  <si>
    <t>rogermg2812@gmail.com</t>
  </si>
  <si>
    <t xml:space="preserve">Elvis Ernesto </t>
  </si>
  <si>
    <t>Mori Macedo</t>
  </si>
  <si>
    <t>40804491</t>
  </si>
  <si>
    <t>emori@feyalegria.org.pe</t>
  </si>
  <si>
    <t>Jr. Junín Mz 153 Bloque 22-A</t>
  </si>
  <si>
    <t>Acompañante pedagógico / Educador en Filosofia y Ciencias Histórico-Sociales</t>
  </si>
  <si>
    <t>RER 72</t>
  </si>
  <si>
    <t xml:space="preserve">Leidis Clara </t>
  </si>
  <si>
    <t>Mori Nunta</t>
  </si>
  <si>
    <t>40624120</t>
  </si>
  <si>
    <t>leidismori@gmail.com</t>
  </si>
  <si>
    <t>AA.HH Nueva Era Mz. E Lte. 6</t>
  </si>
  <si>
    <t xml:space="preserve">Betsy Claribel </t>
  </si>
  <si>
    <t xml:space="preserve">Mozombite Mucushua </t>
  </si>
  <si>
    <t>46454674</t>
  </si>
  <si>
    <t>betsymozano@gmail.com</t>
  </si>
  <si>
    <t>Psje. Grette Mz G Lte. 11 AA.HH 8 de Diciembre</t>
  </si>
  <si>
    <t xml:space="preserve">Thecle </t>
  </si>
  <si>
    <t>Muzinga Yaka</t>
  </si>
  <si>
    <t>Congolesa</t>
  </si>
  <si>
    <t>Francés</t>
  </si>
  <si>
    <t>C.E</t>
  </si>
  <si>
    <t>000775358</t>
  </si>
  <si>
    <t>tmuzinga@feyalegria.org.pe</t>
  </si>
  <si>
    <t>Jr. Sucre N° 800</t>
  </si>
  <si>
    <t>Coordinadora pedagógica-Promotora / docente</t>
  </si>
  <si>
    <t xml:space="preserve">Jessenia </t>
  </si>
  <si>
    <t>Oncevay Damian</t>
  </si>
  <si>
    <t>45213740</t>
  </si>
  <si>
    <t>oncevaydamianjessenia@gmail.com</t>
  </si>
  <si>
    <t>Jr. Pichanaqui Mz 72 Lte. 1</t>
  </si>
  <si>
    <t xml:space="preserve">Manantay </t>
  </si>
  <si>
    <t>564</t>
  </si>
  <si>
    <t xml:space="preserve">Lucila </t>
  </si>
  <si>
    <t xml:space="preserve">Rengifo Nunta </t>
  </si>
  <si>
    <t>00109051</t>
  </si>
  <si>
    <t>lucilarengifonunta@gmail.com</t>
  </si>
  <si>
    <t>Jr.2 de Mayo Mz K Lte. 8</t>
  </si>
  <si>
    <t>Milka</t>
  </si>
  <si>
    <t>Rioja Alva</t>
  </si>
  <si>
    <t>00097269</t>
  </si>
  <si>
    <t>mrioja@feyalegria.org.pe</t>
  </si>
  <si>
    <t>Jr. Arenal N° 747</t>
  </si>
  <si>
    <t>Acompañante pedagógico / docente</t>
  </si>
  <si>
    <t xml:space="preserve">Laura Teodomira </t>
  </si>
  <si>
    <t>Rios Rodrihuez</t>
  </si>
  <si>
    <t>05232360</t>
  </si>
  <si>
    <t>riosrodriguezteo@gmail.com</t>
  </si>
  <si>
    <t>Jr. Bolivar N° 233</t>
  </si>
  <si>
    <t>64641</t>
  </si>
  <si>
    <t xml:space="preserve">Jaico David </t>
  </si>
  <si>
    <t>Rojas Maynas</t>
  </si>
  <si>
    <t>44269147</t>
  </si>
  <si>
    <t>jrojas@feyalegria.org.pe</t>
  </si>
  <si>
    <t>Jr. Orquideas Mz J Lte. 7</t>
  </si>
  <si>
    <t>Director de la RER FyA72 / docente</t>
  </si>
  <si>
    <t xml:space="preserve">Anderson </t>
  </si>
  <si>
    <t>Rojas Vásquez</t>
  </si>
  <si>
    <t>44012620</t>
  </si>
  <si>
    <t xml:space="preserve">andersonrojasvasquez12@gmail.com </t>
  </si>
  <si>
    <t>Jr. Los Pinos Mz M Lte. 2 AA.HH Valle de los Lirios</t>
  </si>
  <si>
    <t xml:space="preserve">Loysi Isela </t>
  </si>
  <si>
    <t>Romayna Rodriguez</t>
  </si>
  <si>
    <t>47868990</t>
  </si>
  <si>
    <t>loysiromaina_4@gmail.com</t>
  </si>
  <si>
    <t>Jr. Aviación Mz A Lte. 9</t>
  </si>
  <si>
    <t>333-B</t>
  </si>
  <si>
    <t xml:space="preserve">Nélida Luz </t>
  </si>
  <si>
    <t>Romayna Rodríguez</t>
  </si>
  <si>
    <t>00128181</t>
  </si>
  <si>
    <t>nelidaluzromainarodriguez@gmail.com</t>
  </si>
  <si>
    <t>jr. Los Olmos Mz. 262</t>
  </si>
  <si>
    <t xml:space="preserve">Carlita Consuelo </t>
  </si>
  <si>
    <t>Saavedra Gómez</t>
  </si>
  <si>
    <t>00112584</t>
  </si>
  <si>
    <t>28/16/1975</t>
  </si>
  <si>
    <t>csaavedra@feyalegria.org.pe</t>
  </si>
  <si>
    <t>Prolongación Raymondi N° 512</t>
  </si>
  <si>
    <t xml:space="preserve">Eunice </t>
  </si>
  <si>
    <t>Saldaña Faquin</t>
  </si>
  <si>
    <t>21149189</t>
  </si>
  <si>
    <t>eusalfa1985@gmail.com</t>
  </si>
  <si>
    <t>Jr. La Selva Mz S Lte. 19 AA.HH Nueva Era</t>
  </si>
  <si>
    <t>64873 - B</t>
  </si>
  <si>
    <t xml:space="preserve">Lauriana </t>
  </si>
  <si>
    <t>Silvano Faustino</t>
  </si>
  <si>
    <t>45021729</t>
  </si>
  <si>
    <t>silvanolauriana@gmail.com</t>
  </si>
  <si>
    <t>Jr. Apocushi Lte. 1 AA.HH Roberto Ruiz Vargas</t>
  </si>
  <si>
    <t xml:space="preserve">Gloria Esilda </t>
  </si>
  <si>
    <t>Ynca Tananta</t>
  </si>
  <si>
    <t>00045841</t>
  </si>
  <si>
    <t>gloriaynca2017@gmail.com</t>
  </si>
  <si>
    <t>Jr. Salaverry N° 480</t>
  </si>
  <si>
    <t>64346</t>
  </si>
  <si>
    <t xml:space="preserve">Cinthya Yurisa </t>
  </si>
  <si>
    <t>Zambrano Muena</t>
  </si>
  <si>
    <t>46604124</t>
  </si>
  <si>
    <t>Cinthyazambrano25@gmail.com</t>
  </si>
  <si>
    <t>Jr. Cenepo Mz 70 Lte. 4</t>
  </si>
  <si>
    <t xml:space="preserve">Jorge Wilson </t>
  </si>
  <si>
    <t>Antezana Arroyo</t>
  </si>
  <si>
    <t>40720232</t>
  </si>
  <si>
    <t>Antezanayo29@gmail.com</t>
  </si>
  <si>
    <t>Jr. Lima s/n</t>
  </si>
  <si>
    <t>Acobamba</t>
  </si>
  <si>
    <t>Huancavelica</t>
  </si>
  <si>
    <t>Matemática y Física</t>
  </si>
  <si>
    <t>Nuestra Señora de la Candelaria</t>
  </si>
  <si>
    <t>Secundaria</t>
  </si>
  <si>
    <t xml:space="preserve">Edith Leonord </t>
  </si>
  <si>
    <t>Callupe Quispe</t>
  </si>
  <si>
    <t>09370348</t>
  </si>
  <si>
    <t>edithleonord@gmail.com</t>
  </si>
  <si>
    <t xml:space="preserve">Asoc. Santa Cruz Mz C Lt 3 </t>
  </si>
  <si>
    <t>Santa Anita</t>
  </si>
  <si>
    <t>Mary Elena</t>
  </si>
  <si>
    <t>Canaza Coaguila</t>
  </si>
  <si>
    <t>40780409</t>
  </si>
  <si>
    <t>sormaryelehc@gmail.com</t>
  </si>
  <si>
    <t>Plaza Principal S/N</t>
  </si>
  <si>
    <t>Caja</t>
  </si>
  <si>
    <t>RER 79</t>
  </si>
  <si>
    <t xml:space="preserve">Melvy Nora </t>
  </si>
  <si>
    <t>Casqui Garcia</t>
  </si>
  <si>
    <t>43468223</t>
  </si>
  <si>
    <t>melvynora24@gmail.com</t>
  </si>
  <si>
    <t>Matemática</t>
  </si>
  <si>
    <t>Jacqueline Susy</t>
  </si>
  <si>
    <t>Castro Franco</t>
  </si>
  <si>
    <t>20111305</t>
  </si>
  <si>
    <t>jacsu183@gmail.com</t>
  </si>
  <si>
    <t>Psje. San Luis 196 Huancayo</t>
  </si>
  <si>
    <t>Huancayo</t>
  </si>
  <si>
    <t>Bruno</t>
  </si>
  <si>
    <t>Ccahuaya Navarro</t>
  </si>
  <si>
    <t>brunojamescct@gmail.com</t>
  </si>
  <si>
    <t>Jr. Proceres S/N</t>
  </si>
  <si>
    <t xml:space="preserve">Computación e informática </t>
  </si>
  <si>
    <t xml:space="preserve">Ida </t>
  </si>
  <si>
    <t xml:space="preserve">Curasma Ramos </t>
  </si>
  <si>
    <t>Ida25_06@ hotmail.com</t>
  </si>
  <si>
    <t>Jr. Carmen  Larrauri Mendoza</t>
  </si>
  <si>
    <t>Ascención</t>
  </si>
  <si>
    <t xml:space="preserve">Lina Rosalin </t>
  </si>
  <si>
    <t xml:space="preserve">Dávila Pérez </t>
  </si>
  <si>
    <t>linadavilaperez@gmail.com</t>
  </si>
  <si>
    <t>Av Leoncio Prado S/N</t>
  </si>
  <si>
    <t>Inglés</t>
  </si>
  <si>
    <t xml:space="preserve">Miriam Fabia </t>
  </si>
  <si>
    <t>Diaz Villantoy</t>
  </si>
  <si>
    <t>miriamf2017@hotmail.com</t>
  </si>
  <si>
    <t>955 Yanacocha</t>
  </si>
  <si>
    <t xml:space="preserve">Mariluz </t>
  </si>
  <si>
    <t>Flores Ortiz</t>
  </si>
  <si>
    <t>71791669</t>
  </si>
  <si>
    <t>floresortizm945@gmail.com</t>
  </si>
  <si>
    <t>Anexo Huanupata</t>
  </si>
  <si>
    <t>Acoria</t>
  </si>
  <si>
    <t xml:space="preserve">Esteban </t>
  </si>
  <si>
    <t>Gavilán Yura.</t>
  </si>
  <si>
    <t>23368797</t>
  </si>
  <si>
    <t>egavilanyura@gmail.com</t>
  </si>
  <si>
    <t>Centro Poblado de Pomacancha</t>
  </si>
  <si>
    <t xml:space="preserve">Margarita </t>
  </si>
  <si>
    <t>Girón Landeo</t>
  </si>
  <si>
    <t>mgironlandeo@gmail.com</t>
  </si>
  <si>
    <t>Av. Leoncio prado 449</t>
  </si>
  <si>
    <t>Néstor José</t>
  </si>
  <si>
    <t>Inga Quiñones</t>
  </si>
  <si>
    <t>40345951</t>
  </si>
  <si>
    <t>ingaquinonesnestorjose@gmail.com</t>
  </si>
  <si>
    <t xml:space="preserve">Acobamba </t>
  </si>
  <si>
    <t>Profesor de arte</t>
  </si>
  <si>
    <t xml:space="preserve">Fanny Gladys </t>
  </si>
  <si>
    <t>Jorge Guillen</t>
  </si>
  <si>
    <t>28251340</t>
  </si>
  <si>
    <t>fjorge@feyalegria.org.pe</t>
  </si>
  <si>
    <t>Av. Manco Capac N° 368</t>
  </si>
  <si>
    <t xml:space="preserve">Rosío del Carmen </t>
  </si>
  <si>
    <t xml:space="preserve">Landeo Yauyo </t>
  </si>
  <si>
    <t>20079513</t>
  </si>
  <si>
    <t>rosiolandeo2023@gmail.com. com</t>
  </si>
  <si>
    <t>Jr. Lims</t>
  </si>
  <si>
    <t>Docente Comunicación</t>
  </si>
  <si>
    <t xml:space="preserve">María Alicia </t>
  </si>
  <si>
    <t>Lazo Altez</t>
  </si>
  <si>
    <t>lazoaltezmaria@gmail.com</t>
  </si>
  <si>
    <t>Jr. Los Alamos 202</t>
  </si>
  <si>
    <t>Junín</t>
  </si>
  <si>
    <t xml:space="preserve">Joel </t>
  </si>
  <si>
    <t>Llihua Esteban</t>
  </si>
  <si>
    <t>joelllihuaperu@gmail.com</t>
  </si>
  <si>
    <t>Jr. Lima s/n Acobamba</t>
  </si>
  <si>
    <t xml:space="preserve">José </t>
  </si>
  <si>
    <t>Mauri Onofre</t>
  </si>
  <si>
    <t>23558729</t>
  </si>
  <si>
    <t>joselmo@gmail.com</t>
  </si>
  <si>
    <t>Centro Poblado de Huanccallaco</t>
  </si>
  <si>
    <t xml:space="preserve">María Elvira </t>
  </si>
  <si>
    <t xml:space="preserve">Medina Cáceres </t>
  </si>
  <si>
    <t>virgomarile@hotmail.com</t>
  </si>
  <si>
    <t>Jr. Cahuide S/N</t>
  </si>
  <si>
    <t>Elena</t>
  </si>
  <si>
    <t>Medrano Bendezu</t>
  </si>
  <si>
    <t>45400438</t>
  </si>
  <si>
    <t>helenabendezu@gmai.com</t>
  </si>
  <si>
    <t>AV. Manuel Candamo N° 620</t>
  </si>
  <si>
    <t>Administradora</t>
  </si>
  <si>
    <t>Administración</t>
  </si>
  <si>
    <t>Neisser</t>
  </si>
  <si>
    <t>Mesa Villanueva</t>
  </si>
  <si>
    <t>42007421</t>
  </si>
  <si>
    <t>neissermv30@hotmail.com</t>
  </si>
  <si>
    <t xml:space="preserve">Ninfa </t>
  </si>
  <si>
    <t>Moore Auccapiña</t>
  </si>
  <si>
    <t>ninfamoore@gmail.com</t>
  </si>
  <si>
    <t>Choclococha</t>
  </si>
  <si>
    <t xml:space="preserve">Silvio </t>
  </si>
  <si>
    <t>Ochoa Ore</t>
  </si>
  <si>
    <t>Quechua Chanka Sureño</t>
  </si>
  <si>
    <t>23561346</t>
  </si>
  <si>
    <t>pichkalo64@gmail.com</t>
  </si>
  <si>
    <t>calle choquehuanca s/n Cercado de Acobamba Hvca.</t>
  </si>
  <si>
    <t>36173 SANTIAGO ANTUNEZ DE MAYOLO</t>
  </si>
  <si>
    <t xml:space="preserve">Nelly Gulnara </t>
  </si>
  <si>
    <t>Oré Retamozo</t>
  </si>
  <si>
    <t>orenelly550@gmail.com</t>
  </si>
  <si>
    <t>Jr. Armando Revoredo</t>
  </si>
  <si>
    <t xml:space="preserve">Alejandra Dionicia </t>
  </si>
  <si>
    <t>Palomino Aguilar</t>
  </si>
  <si>
    <t>23365503</t>
  </si>
  <si>
    <t>palomino261630@gmail.com</t>
  </si>
  <si>
    <t>Av. Jorge Chavez s/n Choclococha</t>
  </si>
  <si>
    <t>Pomacocha</t>
  </si>
  <si>
    <t>Cristina Angela</t>
  </si>
  <si>
    <t>Papuico Patricio</t>
  </si>
  <si>
    <t>74289407</t>
  </si>
  <si>
    <t>cristinaPapuicop@gmail.com</t>
  </si>
  <si>
    <t xml:space="preserve">Av. Víctor Castro Iglesia 988 MzO Lt 13 </t>
  </si>
  <si>
    <t>San Juan de Miraflores</t>
  </si>
  <si>
    <t>Lengua y Literatura</t>
  </si>
  <si>
    <t>Coras</t>
  </si>
  <si>
    <t xml:space="preserve">Pilar Zaragosa </t>
  </si>
  <si>
    <t>Pucllas Tito</t>
  </si>
  <si>
    <t>23378731</t>
  </si>
  <si>
    <t>pilarzaragoza@gmail.com</t>
  </si>
  <si>
    <t xml:space="preserve">Graciela </t>
  </si>
  <si>
    <t>Quiñones Garcia</t>
  </si>
  <si>
    <t>23563558</t>
  </si>
  <si>
    <t>gracielachelag@gmail.com</t>
  </si>
  <si>
    <t>Av. Manuel Cándamo  # 613</t>
  </si>
  <si>
    <t>36153 SAYRI TUPAC</t>
  </si>
  <si>
    <t xml:space="preserve">Jean Alexis </t>
  </si>
  <si>
    <t>Salome Barroz</t>
  </si>
  <si>
    <t>alexissalome98@gmail.com</t>
  </si>
  <si>
    <t>Av. Jose Antonio de Sucre 1070 dpto 801</t>
  </si>
  <si>
    <t>Magdalena del Mar</t>
  </si>
  <si>
    <t>Tito Huáman</t>
  </si>
  <si>
    <t>70769815</t>
  </si>
  <si>
    <t>jtitohuaman7@gmail.com</t>
  </si>
  <si>
    <t>Anexo 2 de mayo</t>
  </si>
  <si>
    <t xml:space="preserve"> Pomacocha</t>
  </si>
  <si>
    <t>TICS</t>
  </si>
  <si>
    <t xml:space="preserve">Maria Del Rosario </t>
  </si>
  <si>
    <t>Torres Crispin</t>
  </si>
  <si>
    <t>10013886</t>
  </si>
  <si>
    <t xml:space="preserve">mrtc220907@gmail.com </t>
  </si>
  <si>
    <t>Escalinata calvario s/n</t>
  </si>
  <si>
    <t xml:space="preserve"> C y T y Matemática</t>
  </si>
  <si>
    <t xml:space="preserve">Sabino </t>
  </si>
  <si>
    <t xml:space="preserve">Ulloa Janampa </t>
  </si>
  <si>
    <t xml:space="preserve">sabinoulloajanampa@gmail.com </t>
  </si>
  <si>
    <t xml:space="preserve">Calle Los tunales Sin número Villa Rica </t>
  </si>
  <si>
    <t>Ruth Liliana</t>
  </si>
  <si>
    <t>Urribarri Ortiz</t>
  </si>
  <si>
    <t>23270191</t>
  </si>
  <si>
    <t>ruthlilianaurribarriortiz@gmail.com</t>
  </si>
  <si>
    <t>Jr. La paz s/n Acobamba - Hvca.</t>
  </si>
  <si>
    <t xml:space="preserve">Luz Marina </t>
  </si>
  <si>
    <t xml:space="preserve">Vargas Centeno </t>
  </si>
  <si>
    <t>7535470</t>
  </si>
  <si>
    <t xml:space="preserve">vargascentenoluzmarina@gmail.com </t>
  </si>
  <si>
    <t xml:space="preserve">Av. Manuel Candamo </t>
  </si>
  <si>
    <t>Filosofia y Ciencias Histórico Sociales</t>
  </si>
  <si>
    <t xml:space="preserve">Ketty </t>
  </si>
  <si>
    <t xml:space="preserve">Vargas Izarra </t>
  </si>
  <si>
    <t>42090933</t>
  </si>
  <si>
    <t>vargasizarraketty@gmail.com</t>
  </si>
  <si>
    <t>Jr lima s/n</t>
  </si>
  <si>
    <t xml:space="preserve">Fidela </t>
  </si>
  <si>
    <t xml:space="preserve">Yancce Mallcco </t>
  </si>
  <si>
    <t>70922730</t>
  </si>
  <si>
    <t>fidela992612184@gmail.com</t>
  </si>
  <si>
    <t>Anexo tonso S/N</t>
  </si>
  <si>
    <t>Congalla</t>
  </si>
  <si>
    <t>Angaraes</t>
  </si>
  <si>
    <t>EIP</t>
  </si>
  <si>
    <t>Jorge Chavez</t>
  </si>
  <si>
    <t>N°</t>
  </si>
  <si>
    <t>DOCENTES PARTICIPANTES</t>
  </si>
  <si>
    <t>CONTINÚA EN LA RER (SI/NO)</t>
  </si>
  <si>
    <t>MATEMÁTICA</t>
  </si>
  <si>
    <t>DIGITAL</t>
  </si>
  <si>
    <t>GÉNERO</t>
  </si>
  <si>
    <t>ÁLVAREZ SANTOYO Ernesto</t>
  </si>
  <si>
    <t xml:space="preserve">50552 Tupac Amaru II - Huacatinco </t>
  </si>
  <si>
    <t>50552 Tupac Amaru II - Huacatinco</t>
  </si>
  <si>
    <t>AQUINO CUEVA Russbel Alex</t>
  </si>
  <si>
    <t xml:space="preserve">50558 parccocalla </t>
  </si>
  <si>
    <t>50558 parccocalla</t>
  </si>
  <si>
    <t>AUCCAPURE MAMANI Pilar</t>
  </si>
  <si>
    <t xml:space="preserve">50550 Pampacancha </t>
  </si>
  <si>
    <t>BARRIOS QUISPE Celinda</t>
  </si>
  <si>
    <t xml:space="preserve">50492 "Corazón de Jesús" Ocongate </t>
  </si>
  <si>
    <t>BELLOTA PABÓN Dennisse</t>
  </si>
  <si>
    <t>BONET GUTIÉRREZ Hugo</t>
  </si>
  <si>
    <t>CCOYORI MAMANI Yolanda</t>
  </si>
  <si>
    <t>50719 Virgen del Carmen de Tinke</t>
  </si>
  <si>
    <t>CORAHUA GARCÍA Hilda</t>
  </si>
  <si>
    <t>CORONEL SANTOS Priscila</t>
  </si>
  <si>
    <t xml:space="preserve">50854 Patapallpa Alta </t>
  </si>
  <si>
    <t>CUEBAS CCORAHUA Anain</t>
  </si>
  <si>
    <t xml:space="preserve">50719 Virgen del Carmen de Tinke </t>
  </si>
  <si>
    <t>DELGADO HUAMÁN Victoria</t>
  </si>
  <si>
    <t>GONZÁLES CONDEÑA Orlando</t>
  </si>
  <si>
    <t>HORQQUE LA TORRE Elizabeth</t>
  </si>
  <si>
    <t>50558 Parccocalla</t>
  </si>
  <si>
    <t>HUALLPA LAIME Delfina</t>
  </si>
  <si>
    <t>HUAMÁN CONDORI Luz Marina</t>
  </si>
  <si>
    <t>HUILLCA CCORI Marcial</t>
  </si>
  <si>
    <t xml:space="preserve">501344 Kumuncancha </t>
  </si>
  <si>
    <t>LUNA SOTO Graciela Victoria</t>
  </si>
  <si>
    <t>50854 Patapallpa Alta</t>
  </si>
  <si>
    <t>MAMANI BAUTISTA Robert</t>
  </si>
  <si>
    <t>MAMANI QUISPE Edgar</t>
  </si>
  <si>
    <t>50765 sallicancha</t>
  </si>
  <si>
    <t>MAMANI ROCCA Martha Beatriz</t>
  </si>
  <si>
    <t>50550 Pampacancha</t>
  </si>
  <si>
    <t>MASCO CCUNO Jorge</t>
  </si>
  <si>
    <t xml:space="preserve">501455 Cristo Rey Ttikariy- Pacchanta Baja </t>
  </si>
  <si>
    <t>501455 Cristo Rey Ttikariy- Pacchanta Baja</t>
  </si>
  <si>
    <t>MEJÍA CONDORI María Isabel</t>
  </si>
  <si>
    <t>NIETO DURAN Elisa</t>
  </si>
  <si>
    <t>50492 "Corazón de Jesús" Ocongate</t>
  </si>
  <si>
    <t>QUISPE BERMÚDEZ Naydy Sofía</t>
  </si>
  <si>
    <t>QUISPE GUZMÁN Eufemia</t>
  </si>
  <si>
    <t>QUISPE GUZMÁN Lina</t>
  </si>
  <si>
    <t>QUISPE SONCCO Froilán</t>
  </si>
  <si>
    <t>QUISPE YUCRA Ada Luz</t>
  </si>
  <si>
    <t xml:space="preserve">50558 Parccocalla </t>
  </si>
  <si>
    <t>SAMANEZ QUISPE Melvin Yaneth</t>
  </si>
  <si>
    <t>SOLÍS SALAS Juan José</t>
  </si>
  <si>
    <t>50720 Virgen del Carmen de Tinke</t>
  </si>
  <si>
    <t>USCA CONDEÑA Nidia</t>
  </si>
  <si>
    <t xml:space="preserve">501344 - Ccasapata </t>
  </si>
  <si>
    <t>VARGAS FERNÁNDEZ Nancy</t>
  </si>
  <si>
    <t>ZAPATA QUISPE Edgard</t>
  </si>
  <si>
    <t>ZEGARRA CASTILLO Rina Elizabeth</t>
  </si>
  <si>
    <t>ZEVALLOS VALLENAS Katerin</t>
  </si>
  <si>
    <t>ZVIETCOVICH PARAVECINO Yanet</t>
  </si>
  <si>
    <t xml:space="preserve">501244- Ccasapata </t>
  </si>
  <si>
    <t>ORÉ MEJÍA Lenin</t>
  </si>
  <si>
    <t>AMAYO FERREYRA Francy Nayu</t>
  </si>
  <si>
    <t>AMPUERO MAZUCA Anita Jany</t>
  </si>
  <si>
    <t>AREVALO CORTEGANO Tomy Franco</t>
  </si>
  <si>
    <t>CABUDIVA ACUÑA Maritza</t>
  </si>
  <si>
    <t>CALDERON PANDURO Bitalia</t>
  </si>
  <si>
    <t>FLORES JESÚS Luis</t>
  </si>
  <si>
    <t>GARATE DE CUMANDÁ Lourdes Natalia</t>
  </si>
  <si>
    <t>GARCIA ACOSTA Roció Del Carmen</t>
  </si>
  <si>
    <t>GOMEZ RIOS Tania Simith</t>
  </si>
  <si>
    <t>GRANDEZ FLORES DE CASTILLO Janeth</t>
  </si>
  <si>
    <t>LIMA AHUANACURI Ambar Elisa</t>
  </si>
  <si>
    <t>MARIN LAULATE Rosario</t>
  </si>
  <si>
    <t>PANDURO DEL ÁGUILA Ana María De Los Ángeles</t>
  </si>
  <si>
    <t>PAREDES ALVAN María De Los Ángeles</t>
  </si>
  <si>
    <t>PEÑA OCAÑA Luis Alberto</t>
  </si>
  <si>
    <t>PUA SANTANA Hilmer</t>
  </si>
  <si>
    <t>REATEGUI TRAUCO Doris Inés</t>
  </si>
  <si>
    <t>RIOS BABILONIA Cenith Esther</t>
  </si>
  <si>
    <t>RIOS MANGUINURI Eliana Melissa</t>
  </si>
  <si>
    <t>RUIZ INUMA Linley Margot</t>
  </si>
  <si>
    <t>SANCHEZ RODRIGUEZ José Carlos</t>
  </si>
  <si>
    <t>SANDOVAL Pilco Tania</t>
  </si>
  <si>
    <t>SHILLING Yepez Tania</t>
  </si>
  <si>
    <t>SUAREZ GONGORA Jessica</t>
  </si>
  <si>
    <t>TELLO RIOS Margarita</t>
  </si>
  <si>
    <t>TORRES FLORES Verónica</t>
  </si>
  <si>
    <t>URQUIA PEÑAHERRERA Marina Del Pilar</t>
  </si>
  <si>
    <t>USHIÑAHUA SILVA Edson</t>
  </si>
  <si>
    <t>VASQUEZ RAMIREZ Juan James</t>
  </si>
  <si>
    <t>VILLACORTA ASAYAC Kattia Sarita</t>
  </si>
  <si>
    <t>VILLALOBOS JABO Rosa Esther</t>
  </si>
  <si>
    <t>ZAGACETA SÁNCHEZ Ana Carola</t>
  </si>
  <si>
    <t>YUDICHI ORTIZ Sonia</t>
  </si>
  <si>
    <t>´03650913</t>
  </si>
  <si>
    <t>ALBURQUEQUE JIMÉNEZ Ana Isabel</t>
  </si>
  <si>
    <t>732 VIRGEN DE MONSERRAT - PALOMINOS</t>
  </si>
  <si>
    <t>1559 - MANCO CÁPAC</t>
  </si>
  <si>
    <t>´02868586</t>
  </si>
  <si>
    <t>ALZAMORA ENCALADA Clarisa Carolina</t>
  </si>
  <si>
    <t>´02745645</t>
  </si>
  <si>
    <t>ANCAJIMA SILUPU Gladys</t>
  </si>
  <si>
    <t>731 - EL CARBÓN</t>
  </si>
  <si>
    <t>APONTE CONDOLO Karina De Los Milagros</t>
  </si>
  <si>
    <t>14924 - DANIEL ALCIDES CARRIÓN</t>
  </si>
  <si>
    <t>ARTEAGA CARMEN Milagros Del Rocio</t>
  </si>
  <si>
    <t>1341 - CP8</t>
  </si>
  <si>
    <t>1417 - TOTORAL BAJO</t>
  </si>
  <si>
    <t>CALLE PATIÑO Yuliana Del Rosario</t>
  </si>
  <si>
    <t>1419 - CRUCE DE VEGA</t>
  </si>
  <si>
    <t>´03651403</t>
  </si>
  <si>
    <t>CASTRO CASTRO Soledad</t>
  </si>
  <si>
    <t>058 - PUEBLO LIBRE</t>
  </si>
  <si>
    <t>02825427</t>
  </si>
  <si>
    <t>CELI FARFAN Noelia</t>
  </si>
  <si>
    <t>469 - TEJEDORES BAJO</t>
  </si>
  <si>
    <t>CHINCHAY PANTA Mary Brysset</t>
  </si>
  <si>
    <t>909 - BELLO HORIZONTE</t>
  </si>
  <si>
    <t>´03343864</t>
  </si>
  <si>
    <t>CHUMACERO SANTOYO Oliva</t>
  </si>
  <si>
    <t>910 LOS ZAPATAS</t>
  </si>
  <si>
    <t>´03659444</t>
  </si>
  <si>
    <t>CRISANTO RUGEL Luz Elisa</t>
  </si>
  <si>
    <t>DOMINGUEZ ANCAJIMA Lisbeth Abigail</t>
  </si>
  <si>
    <t>467 - PUEBLO NUEVO</t>
  </si>
  <si>
    <t>´02889417</t>
  </si>
  <si>
    <t>FARFAN PULACHE Albertita</t>
  </si>
  <si>
    <t>FLORES PAZO Viviana Rosmary</t>
  </si>
  <si>
    <t>´02897029</t>
  </si>
  <si>
    <t>FLORES ROGEL Milagros</t>
  </si>
  <si>
    <t>GARCIA SEMINARIO Egadith Magaly</t>
  </si>
  <si>
    <t>14894 - TOTORAL ALTO</t>
  </si>
  <si>
    <t>GUARNIZO RUGEL Karen María Patricia</t>
  </si>
  <si>
    <t>HERNANDEZ RONDOY Johana Del Socorro</t>
  </si>
  <si>
    <t>JUAREZ ALVARADO Jessica Paola</t>
  </si>
  <si>
    <t>JUAREZ BAYONA Eva Lorena</t>
  </si>
  <si>
    <t>´02829226</t>
  </si>
  <si>
    <t>JUAREZ PANTA Milagros</t>
  </si>
  <si>
    <t>489 - JOSÉ MARÍA VELAZ - GUARAGUAOS BAJO</t>
  </si>
  <si>
    <t>LAZO TALLEDO Shirley</t>
  </si>
  <si>
    <t>LUDEÑA HILARIO Rosy Tathiana</t>
  </si>
  <si>
    <t>MADRID ROJAS Fátima Victoria</t>
  </si>
  <si>
    <t>MARQUEZ CRUZ Luz Victoria</t>
  </si>
  <si>
    <t>´03644196</t>
  </si>
  <si>
    <t>MAURICIO PALACIOS María Del Socorro</t>
  </si>
  <si>
    <t>MAZA CORDOVA Ana Liz</t>
  </si>
  <si>
    <t>NAVARRO YPANAQUE María Del Pilar</t>
  </si>
  <si>
    <t>NIMA BERECHE María Magdalena</t>
  </si>
  <si>
    <t>QUIROZ PINZON Rosmeri Araceli</t>
  </si>
  <si>
    <t>RIVAS OROZCO Jessica Lisseth</t>
  </si>
  <si>
    <t>ROJAS CAJA Diana María</t>
  </si>
  <si>
    <t>ROJAS CARMEN Melina Ebethzaly</t>
  </si>
  <si>
    <t>1416 - CERRO DE LEONES</t>
  </si>
  <si>
    <t>RUFINO CAÑOLA Leslie Detadira</t>
  </si>
  <si>
    <t>1558 - MONTEVERDE ALTO</t>
  </si>
  <si>
    <t>RUFINO ROMAN Martina Isabel</t>
  </si>
  <si>
    <t>´02891017</t>
  </si>
  <si>
    <t>SEMINARIO HERRERA Clorinda</t>
  </si>
  <si>
    <t>SEMINARIO HERRERA María Ysabel</t>
  </si>
  <si>
    <t>15314 - MONTEVERDE ALTO</t>
  </si>
  <si>
    <t>SILVA ACARO Katarina Elizabeth</t>
  </si>
  <si>
    <t>TORRES SALAZAR Gina Vanesa</t>
  </si>
  <si>
    <t>´02829261</t>
  </si>
  <si>
    <t>VEGA SILUPU María Gladys</t>
  </si>
  <si>
    <t>03102660</t>
  </si>
  <si>
    <t>ZAVALA CASTILLO Gloria Marleny</t>
  </si>
  <si>
    <t>´02839278</t>
  </si>
  <si>
    <t>CRISANTO MORA Elba Iliana</t>
  </si>
  <si>
    <t>ALEGRE SAAVEDRA Gumercinda Teolinda</t>
  </si>
  <si>
    <t>CÁNTARO GREGORIO Yanet Ana</t>
  </si>
  <si>
    <t>86769 "Abraham Valdelomar" Huáscar</t>
  </si>
  <si>
    <t>COLONIA PISCOCHI Adela Natividad</t>
  </si>
  <si>
    <t>FLORES CUEVA Vilma Dalila</t>
  </si>
  <si>
    <t>FLORES CELESTINO Carlos Fidel</t>
  </si>
  <si>
    <t>FRUCTUOSO MILLA German Hugo</t>
  </si>
  <si>
    <t>86548 "José María Velaz" Pichiu</t>
  </si>
  <si>
    <t>GAMARRA SALAZAR Reyna Zenobia</t>
  </si>
  <si>
    <t>86731 Carachuco</t>
  </si>
  <si>
    <t>GRANADOS WINCHO Gilmer Ricardo</t>
  </si>
  <si>
    <t>HENOSTROZA RIVERA Rosa Adelaida</t>
  </si>
  <si>
    <t>MACHCO TORRES Alfredo Manuel</t>
  </si>
  <si>
    <t>MÁRQUEZ CONSOLACIÓN Nancy Marisol</t>
  </si>
  <si>
    <t>88247 San Enrique de Capan</t>
  </si>
  <si>
    <t>MORENO MIGUEL John</t>
  </si>
  <si>
    <t>PAREDES CUMPA Raquel Noemi</t>
  </si>
  <si>
    <t>86783 "Carlos Eduardo Zavaleta"</t>
  </si>
  <si>
    <t>PICHI HUERTA Verónica Pilar</t>
  </si>
  <si>
    <t>PINEDA COLONIA Fernando Agripino</t>
  </si>
  <si>
    <t>QUIÑONES OLIVERA Delia Anavel</t>
  </si>
  <si>
    <t>QUISPE MAMANI Karina</t>
  </si>
  <si>
    <t>RAMÍREZ REYES Lidia Yamile</t>
  </si>
  <si>
    <t>ROJAS ROSALES Rocío Verónica</t>
  </si>
  <si>
    <t>ROJAS ROSAS Delfina Rosalía</t>
  </si>
  <si>
    <t>ROMERO TAMARA Gilberto Jhonny</t>
  </si>
  <si>
    <t>ROSALES GUTIÉRREZ Liliana Marlene</t>
  </si>
  <si>
    <t>TORRES CASTILLO Jaime Jorge</t>
  </si>
  <si>
    <t>VALVERDE BLAS Richard Marco</t>
  </si>
  <si>
    <t>VÁSQUEZ MENDOZA Floriana Delfina</t>
  </si>
  <si>
    <t>LUCIANO URBANO Raúl Ángel</t>
  </si>
  <si>
    <t>88327 Carap</t>
  </si>
  <si>
    <t>ROBLES PAUCAR Sachi Marisol</t>
  </si>
  <si>
    <t>692 - Cajay</t>
  </si>
  <si>
    <t>TARAZONA FIGUEROA Javier Enrique</t>
  </si>
  <si>
    <t>ACOSTA RODRÍGUEZ Luz Enith</t>
  </si>
  <si>
    <t>64028 Mazaray</t>
  </si>
  <si>
    <t>AGUSTÍN FERNÁNDEZ Humberto</t>
  </si>
  <si>
    <t>64508-B Santa Isabel</t>
  </si>
  <si>
    <t>BONZANO SALAS Sandra</t>
  </si>
  <si>
    <t>CENEPO ACHO Waldemar</t>
  </si>
  <si>
    <t>CÓRDOVA DAVILA Margarita</t>
  </si>
  <si>
    <t>64949 Isla Primavera</t>
  </si>
  <si>
    <t>FASABI MONTELUISA Mery Elida</t>
  </si>
  <si>
    <t>64871-B Santa Martha</t>
  </si>
  <si>
    <t>LIMAS SÁNCHEZ María</t>
  </si>
  <si>
    <t>64873-B Santa Elisa</t>
  </si>
  <si>
    <t>LINARES ROJAS Delicia</t>
  </si>
  <si>
    <t>MALDONADO MAHUA Percy</t>
  </si>
  <si>
    <t>MARÍN LÓPEZ Marcos</t>
  </si>
  <si>
    <t>64545-B Puerto Consuelo</t>
  </si>
  <si>
    <t>MARINA BARBOZA Tatiana</t>
  </si>
  <si>
    <t>MORI TORRES Creterio</t>
  </si>
  <si>
    <t>RAMÍREZ CÓRDOVA Rosario</t>
  </si>
  <si>
    <t>64829 Villa Esther</t>
  </si>
  <si>
    <t>RAMOS ASCA Andrés Ricardo</t>
  </si>
  <si>
    <t>64048 Nueva Barranca</t>
  </si>
  <si>
    <t>SÁNCHEZ MACEDO Darío</t>
  </si>
  <si>
    <t>TARICUARIMA PÉREZ Melba Luz</t>
  </si>
  <si>
    <t>URQUÍA CAIRUNA Jackeline</t>
  </si>
  <si>
    <t>CURIMOZÓN VELA Miranda</t>
  </si>
  <si>
    <t>65199 3 de Mayo</t>
  </si>
  <si>
    <t>ACEVEDO ORÉ Fabiola Ninoshka</t>
  </si>
  <si>
    <t>ALTEZ LLAVE Judith Melina</t>
  </si>
  <si>
    <t>156</t>
  </si>
  <si>
    <t>ANTEZANA CHAVEZ Willian</t>
  </si>
  <si>
    <t>ANYOSA ESCOBAR Vilma</t>
  </si>
  <si>
    <t>ARANA ESCOBAR Yurfa</t>
  </si>
  <si>
    <t>ARANA LEIVA Oscar</t>
  </si>
  <si>
    <t>ARAUJO ARECHE Santa Soledad</t>
  </si>
  <si>
    <t>BAUTISTA AGUILAR Pedro</t>
  </si>
  <si>
    <t>36789</t>
  </si>
  <si>
    <t>CAMARENA FLORES Sandro</t>
  </si>
  <si>
    <t>CCENTE TICLLA Alejandro</t>
  </si>
  <si>
    <t>CCORA MOLLEHUARA Yanina Vilma</t>
  </si>
  <si>
    <t>CELESTINO SANTOS Eli Caleb</t>
  </si>
  <si>
    <t>DAVILA BUENDIA Melva Margot</t>
  </si>
  <si>
    <t>DE LA CRUZ PEÑA Katty Bianeth</t>
  </si>
  <si>
    <t>36207</t>
  </si>
  <si>
    <t>FLORES ARANZAMENDI Cira Luz</t>
  </si>
  <si>
    <t>36173</t>
  </si>
  <si>
    <t>HUAMANCAYO ORE Vilma</t>
  </si>
  <si>
    <t>ICHPAS OCHOA Idahina</t>
  </si>
  <si>
    <t>LANDEO ORE Javier</t>
  </si>
  <si>
    <t>MAYHUA CASTRO Esteban</t>
  </si>
  <si>
    <t>MOORE AUCAPIÑA Ninfa</t>
  </si>
  <si>
    <t>ÑAÑA CAPCHA Mary Quasar</t>
  </si>
  <si>
    <t>PAITAN DE LA CRUZ Santosa</t>
  </si>
  <si>
    <t>130</t>
  </si>
  <si>
    <t>PAREDES MALLQUI Pamela</t>
  </si>
  <si>
    <t>PILLPA PALANTE Rodil Rotilio</t>
  </si>
  <si>
    <t>RAMOS SANTOS Aimé Maricela</t>
  </si>
  <si>
    <t>SOTO QUISPE Carlos</t>
  </si>
  <si>
    <t>TITO HUAMÁN José</t>
  </si>
  <si>
    <t>TITO PEREZ Teodoro Leonidas</t>
  </si>
  <si>
    <t>TORRE TAIPE Mary Sonia</t>
  </si>
  <si>
    <t>VARGAS MAMANI Jesús Henry</t>
  </si>
  <si>
    <t>VICTORIA MENDOZA Fredy</t>
  </si>
  <si>
    <t>HUAMAN HUARIHUACHI Neptali</t>
  </si>
  <si>
    <t>MACHUCA SACHA Rider</t>
  </si>
  <si>
    <t>MEDRANO AQUINO Irma</t>
  </si>
  <si>
    <t>MOORE AUCAPIÑA Marisa</t>
  </si>
  <si>
    <t>843</t>
  </si>
  <si>
    <t>SUCATICONA VILCA Nolberto</t>
  </si>
  <si>
    <t>36831</t>
  </si>
  <si>
    <t>ROJAS ESCOBAR Alcibíades Reynaldo</t>
  </si>
  <si>
    <t>36167</t>
  </si>
  <si>
    <t>VALENZUELA BELLIDO Oscar</t>
  </si>
  <si>
    <t xml:space="preserve">Logrado </t>
  </si>
  <si>
    <t xml:space="preserve">Proceso </t>
  </si>
  <si>
    <t>Proceso</t>
  </si>
  <si>
    <t xml:space="preserve">Inicio </t>
  </si>
  <si>
    <t>Logrado</t>
  </si>
  <si>
    <t>Inicio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</si>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</sst>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38" x14ac:knownFonts="1">
    <font>
      <sz val="10"/>
      <color rgb="FF000000"/>
      <name val="Arial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color rgb="FF000000"/>
      <name val="Arial"/>
      <family val="2"/>
    </font>
    <font>
      <u/>
      <sz val="10"/>
      <color rgb="FF0000FF"/>
      <name val="Calibri"/>
      <family val="2"/>
    </font>
    <font>
      <sz val="11"/>
      <color theme="1"/>
      <name val="Calibri"/>
      <family val="2"/>
    </font>
    <font>
      <u/>
      <sz val="10"/>
      <color theme="10"/>
      <name val="Calibri"/>
      <family val="2"/>
    </font>
    <font>
      <sz val="10"/>
      <color rgb="FF000000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Arial"/>
      <family val="2"/>
    </font>
    <font>
      <u/>
      <sz val="10"/>
      <color theme="10"/>
      <name val="Calibri"/>
      <family val="2"/>
    </font>
    <font>
      <b/>
      <sz val="10"/>
      <color rgb="FF000000"/>
      <name val="Calibri"/>
      <family val="2"/>
    </font>
    <font>
      <u/>
      <sz val="10"/>
      <color theme="10"/>
      <name val="Arial"/>
      <family val="2"/>
    </font>
    <font>
      <u/>
      <sz val="10"/>
      <color rgb="FF0000FF"/>
      <name val="Calibri"/>
      <family val="2"/>
    </font>
    <font>
      <u/>
      <sz val="10"/>
      <color rgb="FF0000FF"/>
      <name val="Calibri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1"/>
      <color theme="1"/>
      <name val="Arial"/>
      <family val="2"/>
      <scheme val="minor"/>
    </font>
    <font>
      <sz val="11"/>
      <color rgb="FFFF0000"/>
      <name val="Calibri"/>
      <family val="2"/>
    </font>
    <font>
      <sz val="10"/>
      <color theme="1"/>
      <name val="Arial"/>
      <family val="2"/>
      <scheme val="minor"/>
    </font>
    <font>
      <sz val="10"/>
      <color rgb="FF1E4E79"/>
      <name val="Calibri"/>
      <family val="2"/>
    </font>
    <font>
      <sz val="10"/>
      <color rgb="FFED0000"/>
      <name val="Calibri"/>
      <family val="2"/>
    </font>
    <font>
      <sz val="9"/>
      <color rgb="FF1F1F1F"/>
      <name val="Arial"/>
      <family val="2"/>
    </font>
    <font>
      <sz val="9"/>
      <color theme="1"/>
      <name val="Calibri"/>
      <family val="2"/>
    </font>
    <font>
      <sz val="11"/>
      <color rgb="FF7030A0"/>
      <name val="Calibri"/>
      <family val="2"/>
    </font>
    <font>
      <b/>
      <sz val="10"/>
      <color rgb="FF7030A0"/>
      <name val="Calibri"/>
      <family val="2"/>
    </font>
    <font>
      <sz val="9"/>
      <color rgb="FFFF0000"/>
      <name val="Arial"/>
      <family val="2"/>
    </font>
    <font>
      <sz val="10"/>
      <color rgb="FF000000"/>
      <name val="Arial"/>
      <family val="2"/>
    </font>
    <font>
      <sz val="10"/>
      <color theme="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FEF1CC"/>
        <bgColor rgb="FFFEF1CC"/>
      </patternFill>
    </fill>
    <fill>
      <patternFill patternType="solid">
        <fgColor rgb="FFFEE1CC"/>
        <bgColor rgb="FFFEE1CC"/>
      </patternFill>
    </fill>
    <fill>
      <patternFill patternType="solid">
        <fgColor rgb="FFD2F1DA"/>
        <bgColor rgb="FFD2F1DA"/>
      </patternFill>
    </fill>
    <fill>
      <patternFill patternType="solid">
        <fgColor rgb="FFF6B3AE"/>
        <bgColor rgb="FFF6B3AE"/>
      </patternFill>
    </fill>
    <fill>
      <patternFill patternType="solid">
        <fgColor rgb="FFFFFF00"/>
        <bgColor rgb="FFFFFF00"/>
      </patternFill>
    </fill>
    <fill>
      <patternFill patternType="solid">
        <fgColor rgb="FFFAD9D6"/>
        <bgColor rgb="FFFAD9D6"/>
      </patternFill>
    </fill>
    <fill>
      <patternFill patternType="solid">
        <fgColor rgb="FFD9E6FC"/>
        <bgColor rgb="FFD9E6FC"/>
      </patternFill>
    </fill>
    <fill>
      <patternFill patternType="solid">
        <fgColor rgb="FFD9F1F3"/>
        <bgColor rgb="FFD9F1F3"/>
      </patternFill>
    </fill>
    <fill>
      <patternFill patternType="solid">
        <fgColor rgb="FFE7E6E6"/>
        <bgColor rgb="FFE7E6E6"/>
      </patternFill>
    </fill>
    <fill>
      <patternFill patternType="solid">
        <fgColor rgb="FFFFFFCC"/>
        <bgColor rgb="FFFFFFCC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2B2B2"/>
        <bgColor rgb="FFB2B2B2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2F1DA"/>
      </patternFill>
    </fill>
    <fill>
      <patternFill patternType="solid">
        <fgColor theme="8" tint="-0.249977111117893"/>
        <bgColor rgb="FFD2F1DA"/>
      </patternFill>
    </fill>
    <fill>
      <patternFill patternType="solid">
        <fgColor rgb="FFFFFF00"/>
        <bgColor rgb="FFD9E6FC"/>
      </patternFill>
    </fill>
    <fill>
      <patternFill patternType="solid">
        <fgColor rgb="FFFFFF00"/>
        <bgColor rgb="FFD9F1F3"/>
      </patternFill>
    </fill>
    <fill>
      <patternFill patternType="solid">
        <fgColor theme="1"/>
        <bgColor rgb="FFFEE1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3" borderId="1" xfId="0" applyFont="1" applyFill="1" applyBorder="1"/>
    <xf numFmtId="49" fontId="5" fillId="3" borderId="1" xfId="0" applyNumberFormat="1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5" fillId="3" borderId="1" xfId="0" applyFont="1" applyFill="1" applyBorder="1" applyAlignment="1">
      <alignment horizontal="left" wrapText="1"/>
    </xf>
    <xf numFmtId="0" fontId="5" fillId="3" borderId="1" xfId="0" applyFont="1" applyFill="1" applyBorder="1" applyAlignment="1">
      <alignment horizontal="center"/>
    </xf>
    <xf numFmtId="0" fontId="7" fillId="3" borderId="1" xfId="0" applyFont="1" applyFill="1" applyBorder="1"/>
    <xf numFmtId="0" fontId="7" fillId="0" borderId="1" xfId="0" applyFont="1" applyBorder="1"/>
    <xf numFmtId="0" fontId="7" fillId="4" borderId="1" xfId="0" applyFont="1" applyFill="1" applyBorder="1"/>
    <xf numFmtId="10" fontId="7" fillId="0" borderId="1" xfId="0" applyNumberFormat="1" applyFont="1" applyBorder="1"/>
    <xf numFmtId="0" fontId="7" fillId="5" borderId="1" xfId="0" applyFont="1" applyFill="1" applyBorder="1"/>
    <xf numFmtId="14" fontId="5" fillId="3" borderId="1" xfId="0" applyNumberFormat="1" applyFont="1" applyFill="1" applyBorder="1" applyAlignment="1">
      <alignment horizontal="left"/>
    </xf>
    <xf numFmtId="0" fontId="7" fillId="6" borderId="1" xfId="0" applyFont="1" applyFill="1" applyBorder="1"/>
    <xf numFmtId="0" fontId="5" fillId="3" borderId="1" xfId="0" applyFont="1" applyFill="1" applyBorder="1" applyAlignment="1">
      <alignment wrapText="1"/>
    </xf>
    <xf numFmtId="49" fontId="5" fillId="3" borderId="1" xfId="0" applyNumberFormat="1" applyFont="1" applyFill="1" applyBorder="1" applyAlignment="1">
      <alignment wrapText="1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49" fontId="5" fillId="4" borderId="1" xfId="0" quotePrefix="1" applyNumberFormat="1" applyFont="1" applyFill="1" applyBorder="1" applyAlignment="1">
      <alignment horizontal="center" vertical="center"/>
    </xf>
    <xf numFmtId="14" fontId="5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 wrapText="1"/>
    </xf>
    <xf numFmtId="14" fontId="5" fillId="4" borderId="1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horizontal="center" vertical="center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1" xfId="0" quotePrefix="1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vertical="center"/>
    </xf>
    <xf numFmtId="0" fontId="9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49" fontId="5" fillId="4" borderId="6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vertical="center" wrapText="1"/>
    </xf>
    <xf numFmtId="49" fontId="5" fillId="4" borderId="1" xfId="0" quotePrefix="1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 wrapText="1"/>
    </xf>
    <xf numFmtId="49" fontId="5" fillId="4" borderId="4" xfId="0" quotePrefix="1" applyNumberFormat="1" applyFont="1" applyFill="1" applyBorder="1" applyAlignment="1">
      <alignment horizontal="center" vertical="center"/>
    </xf>
    <xf numFmtId="14" fontId="5" fillId="4" borderId="4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  <xf numFmtId="49" fontId="5" fillId="4" borderId="4" xfId="0" quotePrefix="1" applyNumberFormat="1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vertical="center" wrapText="1"/>
    </xf>
    <xf numFmtId="0" fontId="14" fillId="4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/>
    </xf>
    <xf numFmtId="49" fontId="5" fillId="2" borderId="1" xfId="0" applyNumberFormat="1" applyFont="1" applyFill="1" applyBorder="1" applyAlignment="1">
      <alignment horizontal="center"/>
    </xf>
    <xf numFmtId="14" fontId="5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7" fillId="2" borderId="1" xfId="0" applyFont="1" applyFill="1" applyBorder="1"/>
    <xf numFmtId="0" fontId="3" fillId="2" borderId="1" xfId="0" applyFont="1" applyFill="1" applyBorder="1" applyAlignment="1">
      <alignment horizontal="left"/>
    </xf>
    <xf numFmtId="49" fontId="3" fillId="2" borderId="1" xfId="0" quotePrefix="1" applyNumberFormat="1" applyFont="1" applyFill="1" applyBorder="1" applyAlignment="1">
      <alignment horizontal="center"/>
    </xf>
    <xf numFmtId="49" fontId="5" fillId="2" borderId="1" xfId="0" quotePrefix="1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5" fillId="2" borderId="1" xfId="0" applyFont="1" applyFill="1" applyBorder="1"/>
    <xf numFmtId="14" fontId="5" fillId="2" borderId="1" xfId="0" applyNumberFormat="1" applyFont="1" applyFill="1" applyBorder="1"/>
    <xf numFmtId="0" fontId="5" fillId="2" borderId="1" xfId="0" applyFont="1" applyFill="1" applyBorder="1" applyAlignment="1">
      <alignment wrapText="1"/>
    </xf>
    <xf numFmtId="49" fontId="3" fillId="2" borderId="1" xfId="0" applyNumberFormat="1" applyFont="1" applyFill="1" applyBorder="1" applyAlignment="1">
      <alignment horizontal="center"/>
    </xf>
    <xf numFmtId="0" fontId="3" fillId="2" borderId="8" xfId="0" applyFont="1" applyFill="1" applyBorder="1" applyAlignment="1">
      <alignment horizontal="left"/>
    </xf>
    <xf numFmtId="49" fontId="3" fillId="2" borderId="8" xfId="0" quotePrefix="1" applyNumberFormat="1" applyFont="1" applyFill="1" applyBorder="1" applyAlignment="1">
      <alignment horizontal="center"/>
    </xf>
    <xf numFmtId="49" fontId="5" fillId="2" borderId="8" xfId="0" quotePrefix="1" applyNumberFormat="1" applyFont="1" applyFill="1" applyBorder="1" applyAlignment="1">
      <alignment horizontal="center"/>
    </xf>
    <xf numFmtId="14" fontId="5" fillId="2" borderId="8" xfId="0" applyNumberFormat="1" applyFont="1" applyFill="1" applyBorder="1" applyAlignment="1">
      <alignment horizontal="left"/>
    </xf>
    <xf numFmtId="0" fontId="5" fillId="2" borderId="8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5" fillId="2" borderId="1" xfId="0" quotePrefix="1" applyFont="1" applyFill="1" applyBorder="1" applyAlignment="1">
      <alignment horizontal="left"/>
    </xf>
    <xf numFmtId="49" fontId="3" fillId="2" borderId="8" xfId="0" applyNumberFormat="1" applyFont="1" applyFill="1" applyBorder="1" applyAlignment="1">
      <alignment horizontal="center"/>
    </xf>
    <xf numFmtId="49" fontId="5" fillId="2" borderId="8" xfId="0" applyNumberFormat="1" applyFont="1" applyFill="1" applyBorder="1" applyAlignment="1">
      <alignment horizont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4" fontId="5" fillId="7" borderId="1" xfId="0" applyNumberFormat="1" applyFont="1" applyFill="1" applyBorder="1"/>
    <xf numFmtId="0" fontId="5" fillId="7" borderId="1" xfId="0" applyFont="1" applyFill="1" applyBorder="1"/>
    <xf numFmtId="0" fontId="2" fillId="7" borderId="1" xfId="0" applyFont="1" applyFill="1" applyBorder="1"/>
    <xf numFmtId="0" fontId="5" fillId="7" borderId="1" xfId="0" applyFont="1" applyFill="1" applyBorder="1" applyAlignment="1">
      <alignment wrapText="1"/>
    </xf>
    <xf numFmtId="0" fontId="5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/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wrapText="1"/>
    </xf>
    <xf numFmtId="0" fontId="3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5" fillId="7" borderId="1" xfId="0" applyFont="1" applyFill="1" applyBorder="1" applyAlignment="1">
      <alignment vertical="center" wrapText="1"/>
    </xf>
    <xf numFmtId="0" fontId="16" fillId="7" borderId="1" xfId="0" applyFont="1" applyFill="1" applyBorder="1"/>
    <xf numFmtId="0" fontId="16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14" fontId="2" fillId="7" borderId="1" xfId="0" applyNumberFormat="1" applyFont="1" applyFill="1" applyBorder="1"/>
    <xf numFmtId="0" fontId="17" fillId="7" borderId="1" xfId="0" applyFont="1" applyFill="1" applyBorder="1"/>
    <xf numFmtId="0" fontId="2" fillId="7" borderId="1" xfId="0" applyFont="1" applyFill="1" applyBorder="1" applyAlignment="1">
      <alignment wrapText="1"/>
    </xf>
    <xf numFmtId="0" fontId="5" fillId="8" borderId="1" xfId="0" applyFont="1" applyFill="1" applyBorder="1"/>
    <xf numFmtId="49" fontId="5" fillId="8" borderId="1" xfId="0" quotePrefix="1" applyNumberFormat="1" applyFont="1" applyFill="1" applyBorder="1" applyAlignment="1">
      <alignment horizontal="center"/>
    </xf>
    <xf numFmtId="14" fontId="5" fillId="8" borderId="1" xfId="0" applyNumberFormat="1" applyFont="1" applyFill="1" applyBorder="1"/>
    <xf numFmtId="0" fontId="18" fillId="8" borderId="1" xfId="0" applyFont="1" applyFill="1" applyBorder="1"/>
    <xf numFmtId="49" fontId="5" fillId="8" borderId="1" xfId="0" applyNumberFormat="1" applyFont="1" applyFill="1" applyBorder="1" applyAlignment="1">
      <alignment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wrapText="1"/>
    </xf>
    <xf numFmtId="49" fontId="5" fillId="8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7" fillId="8" borderId="1" xfId="0" applyFont="1" applyFill="1" applyBorder="1"/>
    <xf numFmtId="14" fontId="5" fillId="8" borderId="1" xfId="0" applyNumberFormat="1" applyFont="1" applyFill="1" applyBorder="1" applyAlignment="1">
      <alignment horizontal="right"/>
    </xf>
    <xf numFmtId="0" fontId="9" fillId="8" borderId="1" xfId="0" applyFont="1" applyFill="1" applyBorder="1" applyAlignment="1">
      <alignment horizontal="center"/>
    </xf>
    <xf numFmtId="49" fontId="5" fillId="8" borderId="1" xfId="0" applyNumberFormat="1" applyFont="1" applyFill="1" applyBorder="1" applyAlignment="1">
      <alignment horizontal="left" wrapText="1"/>
    </xf>
    <xf numFmtId="0" fontId="5" fillId="8" borderId="1" xfId="0" applyFont="1" applyFill="1" applyBorder="1" applyAlignment="1">
      <alignment horizontal="left" wrapText="1"/>
    </xf>
    <xf numFmtId="0" fontId="3" fillId="0" borderId="0" xfId="0" applyFont="1" applyAlignment="1">
      <alignment horizontal="left"/>
    </xf>
    <xf numFmtId="0" fontId="5" fillId="8" borderId="1" xfId="0" applyFont="1" applyFill="1" applyBorder="1" applyAlignment="1">
      <alignment horizontal="right"/>
    </xf>
    <xf numFmtId="49" fontId="3" fillId="0" borderId="0" xfId="0" applyNumberFormat="1" applyFont="1" applyAlignment="1">
      <alignment horizontal="center"/>
    </xf>
    <xf numFmtId="0" fontId="3" fillId="9" borderId="1" xfId="0" applyFont="1" applyFill="1" applyBorder="1"/>
    <xf numFmtId="49" fontId="3" fillId="9" borderId="1" xfId="0" applyNumberFormat="1" applyFont="1" applyFill="1" applyBorder="1" applyAlignment="1">
      <alignment horizontal="center"/>
    </xf>
    <xf numFmtId="49" fontId="5" fillId="9" borderId="1" xfId="0" applyNumberFormat="1" applyFont="1" applyFill="1" applyBorder="1" applyAlignment="1">
      <alignment horizontal="center"/>
    </xf>
    <xf numFmtId="14" fontId="5" fillId="9" borderId="1" xfId="0" applyNumberFormat="1" applyFont="1" applyFill="1" applyBorder="1"/>
    <xf numFmtId="0" fontId="5" fillId="9" borderId="1" xfId="0" applyFont="1" applyFill="1" applyBorder="1"/>
    <xf numFmtId="0" fontId="5" fillId="9" borderId="1" xfId="0" applyFont="1" applyFill="1" applyBorder="1" applyAlignment="1">
      <alignment horizontal="left" wrapText="1"/>
    </xf>
    <xf numFmtId="0" fontId="5" fillId="9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wrapText="1"/>
    </xf>
    <xf numFmtId="0" fontId="5" fillId="9" borderId="1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left"/>
    </xf>
    <xf numFmtId="49" fontId="3" fillId="9" borderId="1" xfId="0" quotePrefix="1" applyNumberFormat="1" applyFont="1" applyFill="1" applyBorder="1" applyAlignment="1">
      <alignment horizontal="center"/>
    </xf>
    <xf numFmtId="49" fontId="5" fillId="9" borderId="1" xfId="0" quotePrefix="1" applyNumberFormat="1" applyFont="1" applyFill="1" applyBorder="1" applyAlignment="1">
      <alignment horizontal="center"/>
    </xf>
    <xf numFmtId="0" fontId="19" fillId="9" borderId="1" xfId="0" applyFont="1" applyFill="1" applyBorder="1"/>
    <xf numFmtId="0" fontId="20" fillId="9" borderId="1" xfId="0" applyFont="1" applyFill="1" applyBorder="1"/>
    <xf numFmtId="0" fontId="16" fillId="0" borderId="1" xfId="0" applyFont="1" applyBorder="1" applyAlignment="1">
      <alignment horizontal="center"/>
    </xf>
    <xf numFmtId="0" fontId="3" fillId="9" borderId="1" xfId="0" applyFont="1" applyFill="1" applyBorder="1" applyAlignment="1">
      <alignment wrapText="1"/>
    </xf>
    <xf numFmtId="0" fontId="5" fillId="9" borderId="1" xfId="0" applyFont="1" applyFill="1" applyBorder="1" applyAlignment="1">
      <alignment vertical="center"/>
    </xf>
    <xf numFmtId="49" fontId="5" fillId="9" borderId="1" xfId="0" applyNumberFormat="1" applyFont="1" applyFill="1" applyBorder="1" applyAlignment="1">
      <alignment horizontal="center" vertical="center"/>
    </xf>
    <xf numFmtId="14" fontId="5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vertical="center" wrapText="1"/>
    </xf>
    <xf numFmtId="49" fontId="7" fillId="0" borderId="0" xfId="0" applyNumberFormat="1" applyFont="1" applyAlignment="1">
      <alignment horizontal="center"/>
    </xf>
    <xf numFmtId="0" fontId="21" fillId="0" borderId="0" xfId="0" applyFont="1" applyAlignment="1">
      <alignment horizontal="center"/>
    </xf>
    <xf numFmtId="0" fontId="22" fillId="10" borderId="1" xfId="0" applyFont="1" applyFill="1" applyBorder="1" applyAlignment="1">
      <alignment horizontal="center" wrapText="1"/>
    </xf>
    <xf numFmtId="0" fontId="22" fillId="10" borderId="1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 wrapText="1"/>
    </xf>
    <xf numFmtId="0" fontId="22" fillId="2" borderId="2" xfId="0" applyFont="1" applyFill="1" applyBorder="1" applyAlignment="1">
      <alignment horizontal="center" wrapText="1"/>
    </xf>
    <xf numFmtId="0" fontId="22" fillId="11" borderId="1" xfId="0" applyFont="1" applyFill="1" applyBorder="1" applyAlignment="1">
      <alignment horizontal="center" wrapText="1"/>
    </xf>
    <xf numFmtId="0" fontId="22" fillId="11" borderId="8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 vertical="top" wrapText="1"/>
    </xf>
    <xf numFmtId="0" fontId="24" fillId="0" borderId="1" xfId="0" applyFont="1" applyBorder="1"/>
    <xf numFmtId="0" fontId="2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wrapText="1"/>
    </xf>
    <xf numFmtId="2" fontId="9" fillId="0" borderId="1" xfId="0" applyNumberFormat="1" applyFont="1" applyBorder="1" applyAlignment="1">
      <alignment horizontal="center"/>
    </xf>
    <xf numFmtId="0" fontId="21" fillId="0" borderId="1" xfId="0" applyFont="1" applyBorder="1"/>
    <xf numFmtId="0" fontId="5" fillId="0" borderId="1" xfId="0" applyFont="1" applyBorder="1" applyAlignment="1">
      <alignment horizontal="left" wrapText="1"/>
    </xf>
    <xf numFmtId="0" fontId="9" fillId="0" borderId="1" xfId="0" applyFont="1" applyBorder="1"/>
    <xf numFmtId="0" fontId="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top" wrapText="1"/>
    </xf>
    <xf numFmtId="0" fontId="25" fillId="0" borderId="1" xfId="0" applyFont="1" applyBorder="1"/>
    <xf numFmtId="0" fontId="25" fillId="0" borderId="1" xfId="0" applyFont="1" applyBorder="1" applyAlignment="1">
      <alignment horizontal="center" vertical="center"/>
    </xf>
    <xf numFmtId="2" fontId="9" fillId="12" borderId="1" xfId="0" applyNumberFormat="1" applyFont="1" applyFill="1" applyBorder="1"/>
    <xf numFmtId="2" fontId="9" fillId="13" borderId="1" xfId="0" applyNumberFormat="1" applyFont="1" applyFill="1" applyBorder="1"/>
    <xf numFmtId="0" fontId="26" fillId="0" borderId="1" xfId="0" applyFont="1" applyBorder="1"/>
    <xf numFmtId="2" fontId="9" fillId="0" borderId="1" xfId="0" applyNumberFormat="1" applyFont="1" applyBorder="1" applyAlignment="1">
      <alignment horizontal="right"/>
    </xf>
    <xf numFmtId="0" fontId="24" fillId="0" borderId="1" xfId="0" applyFont="1" applyBorder="1" applyAlignment="1">
      <alignment horizontal="center"/>
    </xf>
    <xf numFmtId="0" fontId="24" fillId="14" borderId="1" xfId="0" applyFont="1" applyFill="1" applyBorder="1" applyAlignment="1">
      <alignment horizontal="center"/>
    </xf>
    <xf numFmtId="0" fontId="24" fillId="14" borderId="1" xfId="0" applyFont="1" applyFill="1" applyBorder="1" applyAlignment="1">
      <alignment horizontal="center" wrapText="1"/>
    </xf>
    <xf numFmtId="0" fontId="24" fillId="14" borderId="1" xfId="0" applyFont="1" applyFill="1" applyBorder="1"/>
    <xf numFmtId="0" fontId="24" fillId="0" borderId="1" xfId="0" applyFont="1" applyBorder="1" applyAlignment="1">
      <alignment horizontal="center" wrapText="1"/>
    </xf>
    <xf numFmtId="0" fontId="25" fillId="14" borderId="1" xfId="0" applyFont="1" applyFill="1" applyBorder="1" applyAlignment="1">
      <alignment horizontal="center"/>
    </xf>
    <xf numFmtId="0" fontId="25" fillId="14" borderId="1" xfId="0" applyFont="1" applyFill="1" applyBorder="1"/>
    <xf numFmtId="2" fontId="27" fillId="15" borderId="1" xfId="0" applyNumberFormat="1" applyFont="1" applyFill="1" applyBorder="1" applyAlignment="1">
      <alignment horizontal="right"/>
    </xf>
    <xf numFmtId="2" fontId="27" fillId="16" borderId="1" xfId="0" applyNumberFormat="1" applyFont="1" applyFill="1" applyBorder="1" applyAlignment="1">
      <alignment horizontal="center"/>
    </xf>
    <xf numFmtId="0" fontId="28" fillId="0" borderId="1" xfId="0" applyFont="1" applyBorder="1"/>
    <xf numFmtId="0" fontId="24" fillId="0" borderId="1" xfId="0" applyFont="1" applyBorder="1" applyAlignment="1">
      <alignment vertical="top"/>
    </xf>
    <xf numFmtId="0" fontId="24" fillId="0" borderId="1" xfId="0" quotePrefix="1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1" xfId="0" applyFont="1" applyBorder="1" applyAlignment="1">
      <alignment vertical="top"/>
    </xf>
    <xf numFmtId="0" fontId="9" fillId="13" borderId="1" xfId="0" applyFont="1" applyFill="1" applyBorder="1"/>
    <xf numFmtId="0" fontId="9" fillId="12" borderId="1" xfId="0" applyFont="1" applyFill="1" applyBorder="1"/>
    <xf numFmtId="0" fontId="29" fillId="14" borderId="1" xfId="0" applyFont="1" applyFill="1" applyBorder="1"/>
    <xf numFmtId="164" fontId="24" fillId="14" borderId="1" xfId="0" applyNumberFormat="1" applyFont="1" applyFill="1" applyBorder="1" applyAlignment="1">
      <alignment horizontal="center"/>
    </xf>
    <xf numFmtId="2" fontId="9" fillId="0" borderId="9" xfId="0" applyNumberFormat="1" applyFont="1" applyBorder="1" applyAlignment="1">
      <alignment horizontal="center"/>
    </xf>
    <xf numFmtId="164" fontId="25" fillId="14" borderId="1" xfId="0" applyNumberFormat="1" applyFont="1" applyFill="1" applyBorder="1" applyAlignment="1">
      <alignment horizontal="center"/>
    </xf>
    <xf numFmtId="0" fontId="30" fillId="0" borderId="1" xfId="0" applyFont="1" applyBorder="1"/>
    <xf numFmtId="2" fontId="9" fillId="13" borderId="1" xfId="0" applyNumberFormat="1" applyFont="1" applyFill="1" applyBorder="1" applyAlignment="1">
      <alignment horizontal="center"/>
    </xf>
    <xf numFmtId="49" fontId="24" fillId="0" borderId="1" xfId="0" applyNumberFormat="1" applyFont="1" applyBorder="1"/>
    <xf numFmtId="0" fontId="31" fillId="14" borderId="1" xfId="0" applyFont="1" applyFill="1" applyBorder="1" applyAlignment="1">
      <alignment horizontal="center"/>
    </xf>
    <xf numFmtId="49" fontId="9" fillId="0" borderId="1" xfId="0" applyNumberFormat="1" applyFont="1" applyBorder="1"/>
    <xf numFmtId="0" fontId="31" fillId="14" borderId="1" xfId="0" applyFont="1" applyFill="1" applyBorder="1"/>
    <xf numFmtId="0" fontId="32" fillId="0" borderId="1" xfId="0" applyFont="1" applyBorder="1" applyAlignment="1">
      <alignment horizontal="center"/>
    </xf>
    <xf numFmtId="0" fontId="32" fillId="0" borderId="1" xfId="0" applyFont="1" applyBorder="1"/>
    <xf numFmtId="49" fontId="32" fillId="0" borderId="1" xfId="0" applyNumberFormat="1" applyFont="1" applyBorder="1"/>
    <xf numFmtId="164" fontId="24" fillId="0" borderId="1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4" fillId="0" borderId="1" xfId="0" applyFont="1" applyBorder="1"/>
    <xf numFmtId="49" fontId="34" fillId="0" borderId="1" xfId="0" applyNumberFormat="1" applyFont="1" applyBorder="1"/>
    <xf numFmtId="49" fontId="25" fillId="0" borderId="1" xfId="0" applyNumberFormat="1" applyFont="1" applyBorder="1"/>
    <xf numFmtId="0" fontId="35" fillId="14" borderId="1" xfId="0" applyFont="1" applyFill="1" applyBorder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7" fillId="3" borderId="10" xfId="0" applyFont="1" applyFill="1" applyBorder="1"/>
    <xf numFmtId="2" fontId="0" fillId="0" borderId="0" xfId="0" applyNumberFormat="1"/>
    <xf numFmtId="0" fontId="22" fillId="11" borderId="9" xfId="0" applyFont="1" applyFill="1" applyBorder="1" applyAlignment="1">
      <alignment horizontal="center" wrapText="1"/>
    </xf>
    <xf numFmtId="0" fontId="36" fillId="0" borderId="1" xfId="0" applyFont="1" applyBorder="1" applyAlignment="1">
      <alignment horizontal="left"/>
    </xf>
    <xf numFmtId="0" fontId="36" fillId="9" borderId="1" xfId="0" applyFont="1" applyFill="1" applyBorder="1" applyAlignment="1">
      <alignment horizontal="left"/>
    </xf>
    <xf numFmtId="0" fontId="7" fillId="17" borderId="1" xfId="0" applyFont="1" applyFill="1" applyBorder="1"/>
    <xf numFmtId="0" fontId="7" fillId="18" borderId="1" xfId="0" applyFont="1" applyFill="1" applyBorder="1"/>
    <xf numFmtId="0" fontId="7" fillId="19" borderId="1" xfId="0" applyFont="1" applyFill="1" applyBorder="1"/>
    <xf numFmtId="0" fontId="7" fillId="20" borderId="1" xfId="0" applyFont="1" applyFill="1" applyBorder="1"/>
    <xf numFmtId="0" fontId="7" fillId="21" borderId="1" xfId="0" applyFont="1" applyFill="1" applyBorder="1" applyAlignment="1">
      <alignment horizontal="left"/>
    </xf>
    <xf numFmtId="0" fontId="37" fillId="22" borderId="1" xfId="0" applyFont="1" applyFill="1" applyBorder="1"/>
    <xf numFmtId="0" fontId="5" fillId="0" borderId="1" xfId="0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ont>
        <color theme="0"/>
      </font>
      <fill>
        <patternFill patternType="solid">
          <fgColor rgb="FF000000"/>
          <bgColor rgb="FF00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solid">
          <fgColor theme="1"/>
          <bgColor theme="1"/>
        </patternFill>
      </fill>
    </dxf>
    <dxf>
      <font>
        <color theme="1"/>
      </font>
      <fill>
        <patternFill patternType="solid">
          <fgColor theme="0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jparedes@feyalegria.org.pe" TargetMode="External"/><Relationship Id="rId18" Type="http://schemas.openxmlformats.org/officeDocument/2006/relationships/hyperlink" Target="mailto:jtorresflores@gmail.com" TargetMode="External"/><Relationship Id="rId26" Type="http://schemas.openxmlformats.org/officeDocument/2006/relationships/hyperlink" Target="mailto:afrancisca20182@gmail.com" TargetMode="External"/><Relationship Id="rId39" Type="http://schemas.openxmlformats.org/officeDocument/2006/relationships/hyperlink" Target="mailto:edithleonord@gmail.com" TargetMode="External"/><Relationship Id="rId3" Type="http://schemas.openxmlformats.org/officeDocument/2006/relationships/hyperlink" Target="mailto:salascruzvictoria@gmail.com" TargetMode="External"/><Relationship Id="rId21" Type="http://schemas.openxmlformats.org/officeDocument/2006/relationships/hyperlink" Target="mailto:chiteaguilar@hotmail.com" TargetMode="External"/><Relationship Id="rId34" Type="http://schemas.openxmlformats.org/officeDocument/2006/relationships/hyperlink" Target="mailto:loysiromaina_4@gmail.com" TargetMode="External"/><Relationship Id="rId42" Type="http://schemas.openxmlformats.org/officeDocument/2006/relationships/hyperlink" Target="mailto:floresortizm945@gmail.com" TargetMode="External"/><Relationship Id="rId47" Type="http://schemas.openxmlformats.org/officeDocument/2006/relationships/hyperlink" Target="mailto:ninfamoore@gmail.com" TargetMode="External"/><Relationship Id="rId50" Type="http://schemas.openxmlformats.org/officeDocument/2006/relationships/hyperlink" Target="mailto:jtitohuaman7@gmail.com" TargetMode="External"/><Relationship Id="rId7" Type="http://schemas.openxmlformats.org/officeDocument/2006/relationships/hyperlink" Target="mailto:pabloftorres1977@gmail.com" TargetMode="External"/><Relationship Id="rId12" Type="http://schemas.openxmlformats.org/officeDocument/2006/relationships/hyperlink" Target="mailto:evamariapanaifo@gmail.com" TargetMode="External"/><Relationship Id="rId17" Type="http://schemas.openxmlformats.org/officeDocument/2006/relationships/hyperlink" Target="mailto:gloriamarinasintiperez@gmail.com" TargetMode="External"/><Relationship Id="rId25" Type="http://schemas.openxmlformats.org/officeDocument/2006/relationships/hyperlink" Target="mailto:nhe221265@gmail.com" TargetMode="External"/><Relationship Id="rId33" Type="http://schemas.openxmlformats.org/officeDocument/2006/relationships/hyperlink" Target="mailto:andersonrojasvasquez12@gmail.com" TargetMode="External"/><Relationship Id="rId38" Type="http://schemas.openxmlformats.org/officeDocument/2006/relationships/hyperlink" Target="mailto:Cinthyazambrano25@gmail.com" TargetMode="External"/><Relationship Id="rId46" Type="http://schemas.openxmlformats.org/officeDocument/2006/relationships/hyperlink" Target="mailto:neissermv30@hotmail.com" TargetMode="External"/><Relationship Id="rId2" Type="http://schemas.openxmlformats.org/officeDocument/2006/relationships/hyperlink" Target="mailto:rosbella135@gmail.com" TargetMode="External"/><Relationship Id="rId16" Type="http://schemas.openxmlformats.org/officeDocument/2006/relationships/hyperlink" Target="mailto:yacarofe2018@gmail.com" TargetMode="External"/><Relationship Id="rId20" Type="http://schemas.openxmlformats.org/officeDocument/2006/relationships/hyperlink" Target="mailto:edita_04_2018@hotmail.com" TargetMode="External"/><Relationship Id="rId29" Type="http://schemas.openxmlformats.org/officeDocument/2006/relationships/hyperlink" Target="mailto:betsymozano@gmail.com" TargetMode="External"/><Relationship Id="rId41" Type="http://schemas.openxmlformats.org/officeDocument/2006/relationships/hyperlink" Target="mailto:miriamf2017@hotmail.com" TargetMode="External"/><Relationship Id="rId1" Type="http://schemas.openxmlformats.org/officeDocument/2006/relationships/hyperlink" Target="mailto:ediflavia20@gmail.com" TargetMode="External"/><Relationship Id="rId6" Type="http://schemas.openxmlformats.org/officeDocument/2006/relationships/hyperlink" Target="mailto:delili14cruz@gmail.com" TargetMode="External"/><Relationship Id="rId11" Type="http://schemas.openxmlformats.org/officeDocument/2006/relationships/hyperlink" Target="mailto:lozano42oscar@gmail.com" TargetMode="External"/><Relationship Id="rId24" Type="http://schemas.openxmlformats.org/officeDocument/2006/relationships/hyperlink" Target="mailto:patsyjhanetd@gmail.com" TargetMode="External"/><Relationship Id="rId32" Type="http://schemas.openxmlformats.org/officeDocument/2006/relationships/hyperlink" Target="mailto:riosrodriguezteo@gmail.com" TargetMode="External"/><Relationship Id="rId37" Type="http://schemas.openxmlformats.org/officeDocument/2006/relationships/hyperlink" Target="mailto:gloriaynca2017@gmail.com" TargetMode="External"/><Relationship Id="rId40" Type="http://schemas.openxmlformats.org/officeDocument/2006/relationships/hyperlink" Target="mailto:sormaryelehc@gmail.com" TargetMode="External"/><Relationship Id="rId45" Type="http://schemas.openxmlformats.org/officeDocument/2006/relationships/hyperlink" Target="mailto:helenabendezu@gmai.com" TargetMode="External"/><Relationship Id="rId5" Type="http://schemas.openxmlformats.org/officeDocument/2006/relationships/hyperlink" Target="mailto:mbravo@feyalegria.org.pe" TargetMode="External"/><Relationship Id="rId15" Type="http://schemas.openxmlformats.org/officeDocument/2006/relationships/hyperlink" Target="mailto:Mataquente78@hotmail.com" TargetMode="External"/><Relationship Id="rId23" Type="http://schemas.openxmlformats.org/officeDocument/2006/relationships/hyperlink" Target="mailto:sadithchavezramirez@gmail.com" TargetMode="External"/><Relationship Id="rId28" Type="http://schemas.openxmlformats.org/officeDocument/2006/relationships/hyperlink" Target="mailto:leidismori@gmail.com" TargetMode="External"/><Relationship Id="rId36" Type="http://schemas.openxmlformats.org/officeDocument/2006/relationships/hyperlink" Target="mailto:eusalfa1985@gmail.com" TargetMode="External"/><Relationship Id="rId49" Type="http://schemas.openxmlformats.org/officeDocument/2006/relationships/hyperlink" Target="mailto:gracielachelag@gmail.com" TargetMode="External"/><Relationship Id="rId10" Type="http://schemas.openxmlformats.org/officeDocument/2006/relationships/hyperlink" Target="mailto:huamanmonzonmilagrosdelcarmen@gmail.com" TargetMode="External"/><Relationship Id="rId19" Type="http://schemas.openxmlformats.org/officeDocument/2006/relationships/hyperlink" Target="mailto:juliecar2995@gmail.com" TargetMode="External"/><Relationship Id="rId31" Type="http://schemas.openxmlformats.org/officeDocument/2006/relationships/hyperlink" Target="mailto:oncevaydamianjessenia@gmail.com" TargetMode="External"/><Relationship Id="rId44" Type="http://schemas.openxmlformats.org/officeDocument/2006/relationships/hyperlink" Target="mailto:joselmo@gmail.com" TargetMode="External"/><Relationship Id="rId52" Type="http://schemas.openxmlformats.org/officeDocument/2006/relationships/printerSettings" Target="../printerSettings/printerSettings1.bin"/><Relationship Id="rId4" Type="http://schemas.openxmlformats.org/officeDocument/2006/relationships/hyperlink" Target="mailto:mandrade@feyalegria.org.pe" TargetMode="External"/><Relationship Id="rId9" Type="http://schemas.openxmlformats.org/officeDocument/2006/relationships/hyperlink" Target="mailto:dgaviria@feyalegria.org.pe" TargetMode="External"/><Relationship Id="rId14" Type="http://schemas.openxmlformats.org/officeDocument/2006/relationships/hyperlink" Target="mailto:ynecitap@hotmail.com" TargetMode="External"/><Relationship Id="rId22" Type="http://schemas.openxmlformats.org/officeDocument/2006/relationships/hyperlink" Target="mailto:wilderchafernandez@gmail.com" TargetMode="External"/><Relationship Id="rId27" Type="http://schemas.openxmlformats.org/officeDocument/2006/relationships/hyperlink" Target="mailto:lomas76miche@gmail.com" TargetMode="External"/><Relationship Id="rId30" Type="http://schemas.openxmlformats.org/officeDocument/2006/relationships/hyperlink" Target="mailto:tmuzinga@feyalegria.org.pe" TargetMode="External"/><Relationship Id="rId35" Type="http://schemas.openxmlformats.org/officeDocument/2006/relationships/hyperlink" Target="mailto:nelidaluzromainarodriguez@gmail.com" TargetMode="External"/><Relationship Id="rId43" Type="http://schemas.openxmlformats.org/officeDocument/2006/relationships/hyperlink" Target="mailto:egavilanyura@gmail.com" TargetMode="External"/><Relationship Id="rId48" Type="http://schemas.openxmlformats.org/officeDocument/2006/relationships/hyperlink" Target="mailto:pilarzaragoza@gmail.com" TargetMode="External"/><Relationship Id="rId8" Type="http://schemas.openxmlformats.org/officeDocument/2006/relationships/hyperlink" Target="mailto:sgarcia@feyalegria.org.pe" TargetMode="External"/><Relationship Id="rId51" Type="http://schemas.openxmlformats.org/officeDocument/2006/relationships/hyperlink" Target="mailto:fidela99261218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T991"/>
  <sheetViews>
    <sheetView topLeftCell="P1" workbookViewId="0">
      <pane ySplit="1" topLeftCell="A102" activePane="bottomLeft" state="frozen"/>
      <selection pane="bottomLeft" activeCell="A117" sqref="A117"/>
    </sheetView>
  </sheetViews>
  <sheetFormatPr baseColWidth="10" defaultColWidth="12.5703125" defaultRowHeight="15" customHeight="1" x14ac:dyDescent="0.2"/>
  <cols>
    <col min="1" max="1" width="5.5703125" bestFit="1" customWidth="1"/>
    <col min="2" max="2" width="7.42578125" bestFit="1" customWidth="1"/>
    <col min="3" max="3" width="13.7109375" customWidth="1"/>
    <col min="4" max="4" width="36.7109375" customWidth="1"/>
    <col min="5" max="5" width="30.140625" customWidth="1"/>
    <col min="6" max="6" width="41" customWidth="1"/>
    <col min="7" max="7" width="10.28515625" bestFit="1" customWidth="1"/>
    <col min="8" max="8" width="11.28515625" bestFit="1" customWidth="1"/>
    <col min="9" max="9" width="20" bestFit="1" customWidth="1"/>
    <col min="10" max="10" width="16.28515625" bestFit="1" customWidth="1"/>
    <col min="11" max="11" width="19.5703125" bestFit="1" customWidth="1"/>
    <col min="12" max="12" width="14.140625" bestFit="1" customWidth="1"/>
    <col min="13" max="13" width="17.140625" bestFit="1" customWidth="1"/>
    <col min="14" max="14" width="20.28515625" bestFit="1" customWidth="1"/>
    <col min="15" max="15" width="52.42578125" bestFit="1" customWidth="1"/>
    <col min="16" max="16" width="62.42578125" bestFit="1" customWidth="1"/>
    <col min="17" max="17" width="19.140625" bestFit="1" customWidth="1"/>
    <col min="18" max="18" width="13.5703125" bestFit="1" customWidth="1"/>
    <col min="19" max="19" width="11.7109375" bestFit="1" customWidth="1"/>
    <col min="20" max="20" width="27.42578125" bestFit="1" customWidth="1"/>
    <col min="21" max="21" width="64.5703125" bestFit="1" customWidth="1"/>
    <col min="22" max="22" width="39" bestFit="1" customWidth="1"/>
    <col min="23" max="23" width="20.5703125" bestFit="1" customWidth="1"/>
    <col min="24" max="24" width="26" bestFit="1" customWidth="1"/>
    <col min="25" max="25" width="38.5703125" bestFit="1" customWidth="1"/>
    <col min="26" max="26" width="39.42578125" bestFit="1" customWidth="1"/>
    <col min="27" max="27" width="10.7109375" bestFit="1" customWidth="1"/>
    <col min="28" max="28" width="16.140625" bestFit="1" customWidth="1"/>
    <col min="29" max="29" width="16.140625" customWidth="1"/>
    <col min="30" max="30" width="18.42578125" bestFit="1" customWidth="1"/>
    <col min="31" max="31" width="18.28515625" customWidth="1"/>
    <col min="32" max="33" width="11.5703125" hidden="1" customWidth="1"/>
    <col min="34" max="34" width="12" bestFit="1" customWidth="1"/>
    <col min="35" max="35" width="8.42578125" bestFit="1" customWidth="1"/>
    <col min="36" max="36" width="38.5703125" customWidth="1"/>
    <col min="37" max="37" width="33.140625" customWidth="1"/>
    <col min="38" max="38" width="10.5703125" customWidth="1"/>
    <col min="39" max="39" width="15.5703125" customWidth="1"/>
    <col min="40" max="40" width="10.5703125" customWidth="1"/>
    <col min="41" max="41" width="7.7109375" customWidth="1"/>
    <col min="42" max="46" width="10.5703125" customWidth="1"/>
  </cols>
  <sheetData>
    <row r="1" spans="1:41" ht="24" customHeight="1" x14ac:dyDescent="0.2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8" t="s">
        <v>26</v>
      </c>
      <c r="AB1" s="3" t="s">
        <v>27</v>
      </c>
      <c r="AC1" s="3"/>
      <c r="AD1" s="3" t="s">
        <v>28</v>
      </c>
      <c r="AE1" s="3"/>
      <c r="AF1" s="3" t="s">
        <v>29</v>
      </c>
      <c r="AG1" s="3"/>
      <c r="AH1" s="3" t="s">
        <v>30</v>
      </c>
      <c r="AI1" s="3"/>
      <c r="AJ1" s="3" t="s">
        <v>31</v>
      </c>
    </row>
    <row r="2" spans="1:41" ht="15" hidden="1" customHeight="1" x14ac:dyDescent="0.2">
      <c r="A2" s="9">
        <v>44</v>
      </c>
      <c r="B2" s="10">
        <v>43</v>
      </c>
      <c r="C2" s="10">
        <v>1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2" t="s">
        <v>39</v>
      </c>
      <c r="L2" s="12" t="s">
        <v>40</v>
      </c>
      <c r="M2" s="13">
        <v>24131</v>
      </c>
      <c r="N2" s="14">
        <v>969707147</v>
      </c>
      <c r="O2" s="15" t="s">
        <v>41</v>
      </c>
      <c r="P2" s="11" t="s">
        <v>42</v>
      </c>
      <c r="Q2" s="11" t="s">
        <v>43</v>
      </c>
      <c r="R2" s="11" t="s">
        <v>44</v>
      </c>
      <c r="S2" s="11" t="s">
        <v>44</v>
      </c>
      <c r="T2" s="11" t="s">
        <v>45</v>
      </c>
      <c r="U2" s="11" t="s">
        <v>46</v>
      </c>
      <c r="V2" s="16" t="s">
        <v>47</v>
      </c>
      <c r="W2" s="16">
        <v>592543</v>
      </c>
      <c r="X2" s="16" t="s">
        <v>48</v>
      </c>
      <c r="Y2" s="17" t="s">
        <v>47</v>
      </c>
      <c r="Z2" s="17">
        <v>592543</v>
      </c>
      <c r="AA2" s="18" t="s">
        <v>49</v>
      </c>
      <c r="AB2" s="18">
        <v>18</v>
      </c>
      <c r="AC2" s="18" t="s">
        <v>1767</v>
      </c>
      <c r="AD2" s="18">
        <v>17</v>
      </c>
      <c r="AE2" s="18" t="s">
        <v>1771</v>
      </c>
      <c r="AF2" s="18">
        <v>17</v>
      </c>
      <c r="AG2" s="18" t="s">
        <v>1771</v>
      </c>
      <c r="AH2" s="18">
        <v>16</v>
      </c>
      <c r="AI2" s="18" t="s">
        <v>1767</v>
      </c>
      <c r="AJ2" s="19" t="str">
        <f t="shared" ref="AJ2:AJ4" si="0">IF(AND(AB2&gt;=11,AD2&gt;=11,AF2&gt;=11,AH2&gt;=11),"APROBADO","DESAPROBADO")</f>
        <v>APROBADO</v>
      </c>
      <c r="AM2" s="20" t="s">
        <v>50</v>
      </c>
      <c r="AN2" s="19">
        <f>COUNTIF(AJ2:AJ240,AJ238)</f>
        <v>204</v>
      </c>
      <c r="AO2" s="21">
        <v>0.85355648535564854</v>
      </c>
    </row>
    <row r="3" spans="1:41" ht="15" hidden="1" customHeight="1" x14ac:dyDescent="0.2">
      <c r="A3" s="9">
        <v>44</v>
      </c>
      <c r="B3" s="10">
        <v>45</v>
      </c>
      <c r="C3" s="10">
        <v>2</v>
      </c>
      <c r="D3" s="11" t="s">
        <v>51</v>
      </c>
      <c r="E3" s="11" t="s">
        <v>52</v>
      </c>
      <c r="F3" s="11" t="s">
        <v>34</v>
      </c>
      <c r="G3" s="11" t="s">
        <v>35</v>
      </c>
      <c r="H3" s="11" t="s">
        <v>36</v>
      </c>
      <c r="I3" s="11" t="s">
        <v>37</v>
      </c>
      <c r="J3" s="11" t="s">
        <v>38</v>
      </c>
      <c r="K3" s="12">
        <v>25062209</v>
      </c>
      <c r="L3" s="12" t="s">
        <v>40</v>
      </c>
      <c r="M3" s="13">
        <v>28441</v>
      </c>
      <c r="N3" s="14">
        <v>992779824</v>
      </c>
      <c r="O3" s="15" t="s">
        <v>53</v>
      </c>
      <c r="P3" s="11" t="s">
        <v>54</v>
      </c>
      <c r="Q3" s="11" t="s">
        <v>43</v>
      </c>
      <c r="R3" s="11" t="s">
        <v>44</v>
      </c>
      <c r="S3" s="11" t="s">
        <v>44</v>
      </c>
      <c r="T3" s="11" t="s">
        <v>45</v>
      </c>
      <c r="U3" s="11" t="s">
        <v>55</v>
      </c>
      <c r="V3" s="16" t="s">
        <v>56</v>
      </c>
      <c r="W3" s="16">
        <v>410266</v>
      </c>
      <c r="X3" s="16" t="s">
        <v>48</v>
      </c>
      <c r="Y3" s="17" t="s">
        <v>56</v>
      </c>
      <c r="Z3" s="17">
        <v>410266</v>
      </c>
      <c r="AA3" s="18" t="s">
        <v>49</v>
      </c>
      <c r="AB3" s="18">
        <v>16</v>
      </c>
      <c r="AC3" s="18" t="s">
        <v>1767</v>
      </c>
      <c r="AD3" s="18">
        <v>16</v>
      </c>
      <c r="AE3" s="18" t="s">
        <v>1771</v>
      </c>
      <c r="AF3" s="18">
        <v>16</v>
      </c>
      <c r="AG3" s="18" t="s">
        <v>1771</v>
      </c>
      <c r="AH3" s="18">
        <v>13</v>
      </c>
      <c r="AI3" s="18" t="s">
        <v>1767</v>
      </c>
      <c r="AJ3" s="19" t="str">
        <f t="shared" si="0"/>
        <v>APROBADO</v>
      </c>
      <c r="AM3" s="22" t="s">
        <v>57</v>
      </c>
      <c r="AN3" s="19">
        <f>COUNTIF(AJ2:AJ240,AM3)</f>
        <v>14</v>
      </c>
      <c r="AO3" s="21">
        <v>5.8577405857740586E-2</v>
      </c>
    </row>
    <row r="4" spans="1:41" ht="15" hidden="1" customHeight="1" x14ac:dyDescent="0.2">
      <c r="A4" s="9">
        <v>44</v>
      </c>
      <c r="B4" s="10">
        <v>11</v>
      </c>
      <c r="C4" s="10">
        <v>3</v>
      </c>
      <c r="D4" s="11" t="s">
        <v>58</v>
      </c>
      <c r="E4" s="11" t="s">
        <v>59</v>
      </c>
      <c r="F4" s="11" t="s">
        <v>60</v>
      </c>
      <c r="G4" s="11" t="s">
        <v>61</v>
      </c>
      <c r="H4" s="11" t="s">
        <v>62</v>
      </c>
      <c r="I4" s="11" t="s">
        <v>63</v>
      </c>
      <c r="J4" s="11" t="s">
        <v>38</v>
      </c>
      <c r="K4" s="12" t="s">
        <v>64</v>
      </c>
      <c r="L4" s="12" t="s">
        <v>40</v>
      </c>
      <c r="M4" s="23">
        <v>25692</v>
      </c>
      <c r="N4" s="14">
        <v>984849220</v>
      </c>
      <c r="O4" s="11" t="s">
        <v>65</v>
      </c>
      <c r="P4" s="11" t="s">
        <v>66</v>
      </c>
      <c r="Q4" s="11" t="s">
        <v>67</v>
      </c>
      <c r="R4" s="11" t="s">
        <v>44</v>
      </c>
      <c r="S4" s="11" t="s">
        <v>44</v>
      </c>
      <c r="T4" s="11" t="s">
        <v>55</v>
      </c>
      <c r="U4" s="11" t="s">
        <v>68</v>
      </c>
      <c r="V4" s="16" t="s">
        <v>69</v>
      </c>
      <c r="W4" s="16">
        <v>409672</v>
      </c>
      <c r="X4" s="16" t="s">
        <v>48</v>
      </c>
      <c r="Y4" s="17" t="s">
        <v>69</v>
      </c>
      <c r="Z4" s="17">
        <v>409672</v>
      </c>
      <c r="AA4" s="18" t="s">
        <v>49</v>
      </c>
      <c r="AB4" s="18">
        <v>16</v>
      </c>
      <c r="AC4" s="18" t="s">
        <v>1767</v>
      </c>
      <c r="AD4" s="18">
        <v>11</v>
      </c>
      <c r="AE4" s="18" t="s">
        <v>1769</v>
      </c>
      <c r="AF4" s="18">
        <v>15</v>
      </c>
      <c r="AG4" s="18" t="s">
        <v>1771</v>
      </c>
      <c r="AH4" s="18">
        <v>14</v>
      </c>
      <c r="AI4" s="18" t="s">
        <v>1767</v>
      </c>
      <c r="AJ4" s="19" t="str">
        <f t="shared" si="0"/>
        <v>APROBADO</v>
      </c>
      <c r="AM4" s="24" t="s">
        <v>70</v>
      </c>
      <c r="AN4" s="19">
        <f>COUNTIF(AJ2:AJ240,AM4)</f>
        <v>21</v>
      </c>
      <c r="AO4" s="21">
        <v>8.7866108786610872E-2</v>
      </c>
    </row>
    <row r="5" spans="1:41" ht="15" hidden="1" customHeight="1" x14ac:dyDescent="0.2">
      <c r="A5" s="9">
        <v>44</v>
      </c>
      <c r="B5" s="10">
        <v>42</v>
      </c>
      <c r="C5" s="10">
        <v>4</v>
      </c>
      <c r="D5" s="11" t="s">
        <v>71</v>
      </c>
      <c r="E5" s="11" t="s">
        <v>72</v>
      </c>
      <c r="F5" s="11" t="s">
        <v>34</v>
      </c>
      <c r="G5" s="11" t="s">
        <v>35</v>
      </c>
      <c r="H5" s="11" t="s">
        <v>73</v>
      </c>
      <c r="I5" s="11" t="s">
        <v>37</v>
      </c>
      <c r="J5" s="11" t="s">
        <v>38</v>
      </c>
      <c r="K5" s="12" t="s">
        <v>74</v>
      </c>
      <c r="L5" s="12" t="s">
        <v>40</v>
      </c>
      <c r="M5" s="23">
        <v>24951</v>
      </c>
      <c r="N5" s="14">
        <v>958726134</v>
      </c>
      <c r="O5" s="11" t="s">
        <v>75</v>
      </c>
      <c r="P5" s="11" t="s">
        <v>76</v>
      </c>
      <c r="Q5" s="11" t="s">
        <v>43</v>
      </c>
      <c r="R5" s="11" t="s">
        <v>44</v>
      </c>
      <c r="S5" s="11" t="s">
        <v>44</v>
      </c>
      <c r="T5" s="11" t="s">
        <v>45</v>
      </c>
      <c r="U5" s="11" t="s">
        <v>77</v>
      </c>
      <c r="V5" s="16" t="s">
        <v>78</v>
      </c>
      <c r="W5" s="16">
        <v>205401</v>
      </c>
      <c r="X5" s="16" t="s">
        <v>48</v>
      </c>
      <c r="Y5" s="17" t="s">
        <v>78</v>
      </c>
      <c r="Z5" s="17">
        <v>205401</v>
      </c>
      <c r="AA5" s="18" t="s">
        <v>49</v>
      </c>
      <c r="AB5" s="18">
        <v>16</v>
      </c>
      <c r="AC5" s="18" t="s">
        <v>1767</v>
      </c>
      <c r="AD5" s="18">
        <v>12</v>
      </c>
      <c r="AE5" s="18" t="s">
        <v>1771</v>
      </c>
      <c r="AF5" s="18">
        <v>11</v>
      </c>
      <c r="AG5" s="18" t="s">
        <v>1768</v>
      </c>
      <c r="AH5" s="18">
        <v>13</v>
      </c>
      <c r="AI5" s="18" t="s">
        <v>1767</v>
      </c>
      <c r="AJ5" s="19" t="str">
        <f t="shared" ref="AJ5:AJ19" si="1">IF(AND(AB5&gt;=11,AD5&gt;=11,AF5&gt;=11,AH5&gt;=11),"APROBADO","DESAPROBADO")</f>
        <v>APROBADO</v>
      </c>
    </row>
    <row r="6" spans="1:41" ht="15" hidden="1" customHeight="1" x14ac:dyDescent="0.2">
      <c r="A6" s="9">
        <v>44</v>
      </c>
      <c r="B6" s="10">
        <v>36</v>
      </c>
      <c r="C6" s="10">
        <v>5</v>
      </c>
      <c r="D6" s="11" t="s">
        <v>79</v>
      </c>
      <c r="E6" s="11" t="s">
        <v>80</v>
      </c>
      <c r="F6" s="11" t="s">
        <v>34</v>
      </c>
      <c r="G6" s="11" t="s">
        <v>35</v>
      </c>
      <c r="H6" s="11" t="s">
        <v>73</v>
      </c>
      <c r="I6" s="11" t="s">
        <v>37</v>
      </c>
      <c r="J6" s="11" t="s">
        <v>38</v>
      </c>
      <c r="K6" s="12" t="s">
        <v>81</v>
      </c>
      <c r="L6" s="12" t="s">
        <v>40</v>
      </c>
      <c r="M6" s="23">
        <v>27085</v>
      </c>
      <c r="N6" s="14">
        <v>954113240</v>
      </c>
      <c r="O6" s="11" t="s">
        <v>82</v>
      </c>
      <c r="P6" s="11" t="s">
        <v>83</v>
      </c>
      <c r="Q6" s="11" t="s">
        <v>84</v>
      </c>
      <c r="R6" s="11" t="s">
        <v>44</v>
      </c>
      <c r="S6" s="11" t="s">
        <v>44</v>
      </c>
      <c r="T6" s="11" t="s">
        <v>45</v>
      </c>
      <c r="U6" s="11" t="s">
        <v>77</v>
      </c>
      <c r="V6" s="16" t="s">
        <v>69</v>
      </c>
      <c r="W6" s="16">
        <v>409672</v>
      </c>
      <c r="X6" s="16" t="s">
        <v>85</v>
      </c>
      <c r="Y6" s="17" t="str">
        <f>IF(X6="NO","NO APLICA","ESCRIBA EL NOMBRE DEL IIEE")</f>
        <v>NO APLICA</v>
      </c>
      <c r="Z6" s="17" t="str">
        <f>IF(Y6="NO APLICA","NO APLICA","ESCRIBA EL CÓDIGO MODULAR")</f>
        <v>NO APLICA</v>
      </c>
      <c r="AA6" s="17" t="str">
        <f>IF(Z6="NO APLICA","NO APLICA","ESCRIBA EL CÓDIGO MODULAR")</f>
        <v>NO APLICA</v>
      </c>
      <c r="AB6" s="18">
        <v>13</v>
      </c>
      <c r="AC6" s="18" t="s">
        <v>1767</v>
      </c>
      <c r="AD6" s="18">
        <v>12</v>
      </c>
      <c r="AE6" s="18" t="s">
        <v>1771</v>
      </c>
      <c r="AF6" s="18">
        <v>13</v>
      </c>
      <c r="AG6" s="18" t="s">
        <v>1771</v>
      </c>
      <c r="AH6" s="18">
        <v>13</v>
      </c>
      <c r="AI6" s="18" t="s">
        <v>1767</v>
      </c>
      <c r="AJ6" s="19" t="str">
        <f t="shared" si="1"/>
        <v>APROBADO</v>
      </c>
    </row>
    <row r="7" spans="1:41" ht="15" hidden="1" customHeight="1" x14ac:dyDescent="0.2">
      <c r="A7" s="9">
        <v>44</v>
      </c>
      <c r="B7" s="10">
        <v>22</v>
      </c>
      <c r="C7" s="10">
        <v>6</v>
      </c>
      <c r="D7" s="11" t="s">
        <v>86</v>
      </c>
      <c r="E7" s="11" t="s">
        <v>87</v>
      </c>
      <c r="F7" s="11" t="s">
        <v>60</v>
      </c>
      <c r="G7" s="11" t="s">
        <v>61</v>
      </c>
      <c r="H7" s="11" t="s">
        <v>88</v>
      </c>
      <c r="I7" s="11" t="s">
        <v>89</v>
      </c>
      <c r="J7" s="11" t="s">
        <v>38</v>
      </c>
      <c r="K7" s="12" t="s">
        <v>90</v>
      </c>
      <c r="L7" s="12" t="s">
        <v>40</v>
      </c>
      <c r="M7" s="23">
        <v>31512</v>
      </c>
      <c r="N7" s="14">
        <v>958398209</v>
      </c>
      <c r="O7" s="11" t="s">
        <v>91</v>
      </c>
      <c r="P7" s="11" t="s">
        <v>92</v>
      </c>
      <c r="Q7" s="11" t="s">
        <v>93</v>
      </c>
      <c r="R7" s="11" t="s">
        <v>94</v>
      </c>
      <c r="S7" s="11" t="s">
        <v>44</v>
      </c>
      <c r="T7" s="11" t="s">
        <v>95</v>
      </c>
      <c r="U7" s="11" t="s">
        <v>96</v>
      </c>
      <c r="V7" s="16" t="s">
        <v>97</v>
      </c>
      <c r="W7" s="16">
        <v>410225</v>
      </c>
      <c r="X7" s="16" t="s">
        <v>48</v>
      </c>
      <c r="Y7" s="17" t="s">
        <v>98</v>
      </c>
      <c r="Z7" s="17">
        <v>410316</v>
      </c>
      <c r="AA7" s="18" t="s">
        <v>49</v>
      </c>
      <c r="AB7" s="18">
        <v>17</v>
      </c>
      <c r="AC7" s="18" t="s">
        <v>1767</v>
      </c>
      <c r="AD7" s="18">
        <v>16</v>
      </c>
      <c r="AE7" s="18" t="s">
        <v>1771</v>
      </c>
      <c r="AF7" s="18">
        <v>16</v>
      </c>
      <c r="AG7" s="18" t="s">
        <v>1767</v>
      </c>
      <c r="AH7" s="18">
        <v>15</v>
      </c>
      <c r="AI7" s="18" t="s">
        <v>1767</v>
      </c>
      <c r="AJ7" s="19" t="str">
        <f t="shared" si="1"/>
        <v>APROBADO</v>
      </c>
    </row>
    <row r="8" spans="1:41" ht="15" hidden="1" customHeight="1" x14ac:dyDescent="0.2">
      <c r="A8" s="9">
        <v>44</v>
      </c>
      <c r="B8" s="10">
        <v>26</v>
      </c>
      <c r="C8" s="10">
        <v>7</v>
      </c>
      <c r="D8" s="11" t="s">
        <v>99</v>
      </c>
      <c r="E8" s="11" t="s">
        <v>100</v>
      </c>
      <c r="F8" s="11" t="s">
        <v>60</v>
      </c>
      <c r="G8" s="11" t="s">
        <v>61</v>
      </c>
      <c r="H8" s="11" t="s">
        <v>101</v>
      </c>
      <c r="I8" s="11" t="s">
        <v>102</v>
      </c>
      <c r="J8" s="11" t="s">
        <v>38</v>
      </c>
      <c r="K8" s="12" t="s">
        <v>103</v>
      </c>
      <c r="L8" s="12" t="s">
        <v>40</v>
      </c>
      <c r="M8" s="23">
        <v>29985</v>
      </c>
      <c r="N8" s="14">
        <v>956909023</v>
      </c>
      <c r="O8" s="11" t="s">
        <v>104</v>
      </c>
      <c r="P8" s="11" t="s">
        <v>105</v>
      </c>
      <c r="Q8" s="11" t="s">
        <v>106</v>
      </c>
      <c r="R8" s="11" t="s">
        <v>107</v>
      </c>
      <c r="S8" s="11" t="s">
        <v>44</v>
      </c>
      <c r="T8" s="11" t="s">
        <v>55</v>
      </c>
      <c r="U8" s="11" t="s">
        <v>108</v>
      </c>
      <c r="V8" s="16" t="s">
        <v>109</v>
      </c>
      <c r="W8" s="16" t="s">
        <v>109</v>
      </c>
      <c r="X8" s="16" t="s">
        <v>48</v>
      </c>
      <c r="Y8" s="17" t="s">
        <v>109</v>
      </c>
      <c r="Z8" s="17" t="s">
        <v>109</v>
      </c>
      <c r="AA8" s="224" t="s">
        <v>1773</v>
      </c>
      <c r="AB8" s="18">
        <v>18</v>
      </c>
      <c r="AC8" s="18" t="s">
        <v>1767</v>
      </c>
      <c r="AD8" s="18">
        <v>14</v>
      </c>
      <c r="AE8" s="18" t="s">
        <v>1771</v>
      </c>
      <c r="AF8" s="18">
        <v>15</v>
      </c>
      <c r="AG8" s="18" t="s">
        <v>1767</v>
      </c>
      <c r="AH8" s="18">
        <v>17</v>
      </c>
      <c r="AI8" s="18" t="s">
        <v>1767</v>
      </c>
      <c r="AJ8" s="19" t="str">
        <f t="shared" si="1"/>
        <v>APROBADO</v>
      </c>
    </row>
    <row r="9" spans="1:41" ht="15" hidden="1" customHeight="1" x14ac:dyDescent="0.2">
      <c r="A9" s="9">
        <v>44</v>
      </c>
      <c r="B9" s="10">
        <v>6</v>
      </c>
      <c r="C9" s="10">
        <v>8</v>
      </c>
      <c r="D9" s="11" t="s">
        <v>110</v>
      </c>
      <c r="E9" s="11" t="s">
        <v>111</v>
      </c>
      <c r="F9" s="11" t="s">
        <v>60</v>
      </c>
      <c r="G9" s="11" t="s">
        <v>35</v>
      </c>
      <c r="H9" s="11" t="s">
        <v>62</v>
      </c>
      <c r="I9" s="11" t="s">
        <v>112</v>
      </c>
      <c r="J9" s="11" t="s">
        <v>38</v>
      </c>
      <c r="K9" s="12">
        <v>23999859</v>
      </c>
      <c r="L9" s="12" t="s">
        <v>40</v>
      </c>
      <c r="M9" s="23">
        <v>27853</v>
      </c>
      <c r="N9" s="14">
        <v>968359393</v>
      </c>
      <c r="O9" s="11" t="s">
        <v>113</v>
      </c>
      <c r="P9" s="11" t="s">
        <v>114</v>
      </c>
      <c r="Q9" s="11" t="s">
        <v>115</v>
      </c>
      <c r="R9" s="11" t="s">
        <v>107</v>
      </c>
      <c r="S9" s="11" t="s">
        <v>44</v>
      </c>
      <c r="T9" s="11" t="s">
        <v>116</v>
      </c>
      <c r="U9" s="11" t="s">
        <v>117</v>
      </c>
      <c r="V9" s="16" t="s">
        <v>118</v>
      </c>
      <c r="W9" s="16">
        <v>205716</v>
      </c>
      <c r="X9" s="16" t="s">
        <v>48</v>
      </c>
      <c r="Y9" s="17" t="s">
        <v>119</v>
      </c>
      <c r="Z9" s="17">
        <v>410258</v>
      </c>
      <c r="AA9" s="18" t="s">
        <v>49</v>
      </c>
      <c r="AB9" s="18">
        <v>16</v>
      </c>
      <c r="AC9" s="18" t="s">
        <v>1767</v>
      </c>
      <c r="AD9" s="18">
        <v>12</v>
      </c>
      <c r="AE9" s="18" t="s">
        <v>1771</v>
      </c>
      <c r="AF9" s="18">
        <v>15</v>
      </c>
      <c r="AG9" s="18" t="s">
        <v>1767</v>
      </c>
      <c r="AH9" s="18">
        <v>13</v>
      </c>
      <c r="AI9" s="18" t="s">
        <v>1767</v>
      </c>
      <c r="AJ9" s="19" t="str">
        <f t="shared" si="1"/>
        <v>APROBADO</v>
      </c>
    </row>
    <row r="10" spans="1:41" ht="15" hidden="1" customHeight="1" x14ac:dyDescent="0.2">
      <c r="A10" s="9">
        <v>44</v>
      </c>
      <c r="B10" s="10">
        <v>27</v>
      </c>
      <c r="C10" s="10">
        <v>9</v>
      </c>
      <c r="D10" s="11" t="s">
        <v>120</v>
      </c>
      <c r="E10" s="11" t="s">
        <v>121</v>
      </c>
      <c r="F10" s="11" t="s">
        <v>34</v>
      </c>
      <c r="G10" s="11" t="s">
        <v>35</v>
      </c>
      <c r="H10" s="11" t="s">
        <v>122</v>
      </c>
      <c r="I10" s="11" t="s">
        <v>123</v>
      </c>
      <c r="J10" s="11" t="s">
        <v>38</v>
      </c>
      <c r="K10" s="12" t="s">
        <v>124</v>
      </c>
      <c r="L10" s="12" t="s">
        <v>40</v>
      </c>
      <c r="M10" s="23">
        <v>30501</v>
      </c>
      <c r="N10" s="14">
        <v>956259868</v>
      </c>
      <c r="O10" s="11" t="s">
        <v>125</v>
      </c>
      <c r="P10" s="11" t="s">
        <v>126</v>
      </c>
      <c r="Q10" s="11" t="s">
        <v>127</v>
      </c>
      <c r="R10" s="11" t="s">
        <v>107</v>
      </c>
      <c r="S10" s="11" t="s">
        <v>44</v>
      </c>
      <c r="T10" s="11" t="s">
        <v>128</v>
      </c>
      <c r="U10" s="11" t="s">
        <v>129</v>
      </c>
      <c r="V10" s="16" t="s">
        <v>109</v>
      </c>
      <c r="W10" s="16" t="s">
        <v>109</v>
      </c>
      <c r="X10" s="16" t="s">
        <v>48</v>
      </c>
      <c r="Y10" s="17" t="s">
        <v>109</v>
      </c>
      <c r="Z10" s="17" t="s">
        <v>109</v>
      </c>
      <c r="AA10" s="18" t="s">
        <v>49</v>
      </c>
      <c r="AB10" s="18">
        <v>16</v>
      </c>
      <c r="AC10" s="18" t="s">
        <v>1767</v>
      </c>
      <c r="AD10" s="18">
        <v>12</v>
      </c>
      <c r="AE10" s="18" t="s">
        <v>1771</v>
      </c>
      <c r="AF10" s="18">
        <v>15</v>
      </c>
      <c r="AG10" s="18" t="s">
        <v>1767</v>
      </c>
      <c r="AH10" s="18">
        <v>14</v>
      </c>
      <c r="AI10" s="18" t="s">
        <v>1767</v>
      </c>
      <c r="AJ10" s="19" t="str">
        <f t="shared" si="1"/>
        <v>APROBADO</v>
      </c>
    </row>
    <row r="11" spans="1:41" ht="15" hidden="1" customHeight="1" x14ac:dyDescent="0.2">
      <c r="A11" s="9">
        <v>44</v>
      </c>
      <c r="B11" s="10">
        <v>12</v>
      </c>
      <c r="C11" s="10">
        <v>10</v>
      </c>
      <c r="D11" s="11" t="s">
        <v>130</v>
      </c>
      <c r="E11" s="11" t="s">
        <v>131</v>
      </c>
      <c r="F11" s="11" t="s">
        <v>34</v>
      </c>
      <c r="G11" s="11" t="s">
        <v>35</v>
      </c>
      <c r="H11" s="11" t="s">
        <v>73</v>
      </c>
      <c r="I11" s="11" t="s">
        <v>132</v>
      </c>
      <c r="J11" s="11" t="s">
        <v>38</v>
      </c>
      <c r="K11" s="12" t="s">
        <v>133</v>
      </c>
      <c r="L11" s="12" t="s">
        <v>40</v>
      </c>
      <c r="M11" s="23" t="s">
        <v>134</v>
      </c>
      <c r="N11" s="14">
        <v>941776926</v>
      </c>
      <c r="O11" s="11" t="s">
        <v>135</v>
      </c>
      <c r="P11" s="11" t="s">
        <v>136</v>
      </c>
      <c r="Q11" s="11" t="s">
        <v>137</v>
      </c>
      <c r="R11" s="11" t="s">
        <v>107</v>
      </c>
      <c r="S11" s="11" t="s">
        <v>44</v>
      </c>
      <c r="T11" s="11" t="s">
        <v>55</v>
      </c>
      <c r="U11" s="11" t="s">
        <v>138</v>
      </c>
      <c r="V11" s="16" t="s">
        <v>97</v>
      </c>
      <c r="W11" s="16">
        <v>410225</v>
      </c>
      <c r="X11" s="16" t="s">
        <v>85</v>
      </c>
      <c r="Y11" s="17" t="str">
        <f t="shared" ref="Y11:Y13" si="2">IF(X11="NO","NO APLICA","ESCRIBA EL NOMBRE DEL IIEE")</f>
        <v>NO APLICA</v>
      </c>
      <c r="Z11" s="17" t="str">
        <f t="shared" ref="Z11:Z13" si="3">IF(Y11="NO APLICA","NO APLICA","ESCRIBA EL CÓDIGO MODULAR")</f>
        <v>NO APLICA</v>
      </c>
      <c r="AA11" s="18" t="s">
        <v>49</v>
      </c>
      <c r="AB11" s="18">
        <v>18</v>
      </c>
      <c r="AC11" s="18" t="s">
        <v>1767</v>
      </c>
      <c r="AD11" s="18">
        <v>17</v>
      </c>
      <c r="AE11" s="18" t="s">
        <v>1771</v>
      </c>
      <c r="AF11" s="18">
        <v>17</v>
      </c>
      <c r="AG11" s="18" t="s">
        <v>1767</v>
      </c>
      <c r="AH11" s="18">
        <v>16</v>
      </c>
      <c r="AI11" s="18" t="s">
        <v>1767</v>
      </c>
      <c r="AJ11" s="19" t="str">
        <f t="shared" si="1"/>
        <v>APROBADO</v>
      </c>
    </row>
    <row r="12" spans="1:41" ht="15" hidden="1" customHeight="1" x14ac:dyDescent="0.2">
      <c r="A12" s="9">
        <v>44</v>
      </c>
      <c r="B12" s="10">
        <v>18</v>
      </c>
      <c r="C12" s="10">
        <v>11</v>
      </c>
      <c r="D12" s="11" t="s">
        <v>139</v>
      </c>
      <c r="E12" s="11" t="s">
        <v>140</v>
      </c>
      <c r="F12" s="11" t="s">
        <v>34</v>
      </c>
      <c r="G12" s="11" t="s">
        <v>35</v>
      </c>
      <c r="H12" s="11" t="s">
        <v>141</v>
      </c>
      <c r="I12" s="11" t="s">
        <v>102</v>
      </c>
      <c r="J12" s="11" t="s">
        <v>38</v>
      </c>
      <c r="K12" s="12">
        <v>43058839</v>
      </c>
      <c r="L12" s="12" t="s">
        <v>40</v>
      </c>
      <c r="M12" s="23">
        <v>31160</v>
      </c>
      <c r="N12" s="14">
        <v>929190976</v>
      </c>
      <c r="O12" s="11" t="s">
        <v>142</v>
      </c>
      <c r="P12" s="11" t="s">
        <v>143</v>
      </c>
      <c r="Q12" s="11" t="s">
        <v>44</v>
      </c>
      <c r="R12" s="11" t="s">
        <v>44</v>
      </c>
      <c r="S12" s="11" t="s">
        <v>44</v>
      </c>
      <c r="T12" s="11" t="s">
        <v>45</v>
      </c>
      <c r="U12" s="11" t="s">
        <v>144</v>
      </c>
      <c r="V12" s="16" t="s">
        <v>69</v>
      </c>
      <c r="W12" s="16">
        <v>409672</v>
      </c>
      <c r="X12" s="16" t="s">
        <v>85</v>
      </c>
      <c r="Y12" s="17" t="str">
        <f t="shared" si="2"/>
        <v>NO APLICA</v>
      </c>
      <c r="Z12" s="17" t="str">
        <f t="shared" si="3"/>
        <v>NO APLICA</v>
      </c>
      <c r="AA12" s="18"/>
      <c r="AB12" s="18">
        <v>12</v>
      </c>
      <c r="AC12" s="18" t="s">
        <v>1767</v>
      </c>
      <c r="AD12" s="18">
        <v>11</v>
      </c>
      <c r="AE12" s="18" t="s">
        <v>1769</v>
      </c>
      <c r="AF12" s="18">
        <v>16</v>
      </c>
      <c r="AG12" s="18" t="s">
        <v>1767</v>
      </c>
      <c r="AH12" s="18">
        <v>12</v>
      </c>
      <c r="AI12" s="18" t="s">
        <v>1767</v>
      </c>
      <c r="AJ12" s="19" t="str">
        <f t="shared" si="1"/>
        <v>APROBADO</v>
      </c>
    </row>
    <row r="13" spans="1:41" ht="15" hidden="1" customHeight="1" x14ac:dyDescent="0.2">
      <c r="A13" s="9">
        <v>44</v>
      </c>
      <c r="B13" s="10">
        <v>46</v>
      </c>
      <c r="C13" s="10">
        <v>12</v>
      </c>
      <c r="D13" s="11" t="s">
        <v>145</v>
      </c>
      <c r="E13" s="11" t="s">
        <v>146</v>
      </c>
      <c r="F13" s="11" t="s">
        <v>34</v>
      </c>
      <c r="G13" s="11" t="s">
        <v>35</v>
      </c>
      <c r="H13" s="11" t="s">
        <v>101</v>
      </c>
      <c r="I13" s="11" t="s">
        <v>132</v>
      </c>
      <c r="J13" s="11" t="s">
        <v>38</v>
      </c>
      <c r="K13" s="12" t="s">
        <v>147</v>
      </c>
      <c r="L13" s="12" t="s">
        <v>40</v>
      </c>
      <c r="M13" s="23">
        <v>28394</v>
      </c>
      <c r="N13" s="14">
        <v>910872681</v>
      </c>
      <c r="O13" s="11" t="s">
        <v>148</v>
      </c>
      <c r="P13" s="11" t="s">
        <v>149</v>
      </c>
      <c r="Q13" s="11" t="s">
        <v>115</v>
      </c>
      <c r="R13" s="11" t="s">
        <v>107</v>
      </c>
      <c r="S13" s="11" t="s">
        <v>44</v>
      </c>
      <c r="T13" s="11" t="s">
        <v>45</v>
      </c>
      <c r="U13" s="11" t="s">
        <v>150</v>
      </c>
      <c r="V13" s="25" t="s">
        <v>151</v>
      </c>
      <c r="W13" s="26" t="s">
        <v>152</v>
      </c>
      <c r="X13" s="25" t="s">
        <v>85</v>
      </c>
      <c r="Y13" s="17" t="str">
        <f t="shared" si="2"/>
        <v>NO APLICA</v>
      </c>
      <c r="Z13" s="17" t="str">
        <f t="shared" si="3"/>
        <v>NO APLICA</v>
      </c>
      <c r="AA13" s="18"/>
      <c r="AB13" s="18">
        <v>16</v>
      </c>
      <c r="AC13" s="18" t="s">
        <v>1767</v>
      </c>
      <c r="AD13" s="18">
        <v>13</v>
      </c>
      <c r="AE13" s="18" t="s">
        <v>1771</v>
      </c>
      <c r="AF13" s="18">
        <v>11</v>
      </c>
      <c r="AG13" s="18" t="s">
        <v>1768</v>
      </c>
      <c r="AH13" s="18">
        <v>14</v>
      </c>
      <c r="AI13" s="18" t="s">
        <v>1767</v>
      </c>
      <c r="AJ13" s="19" t="str">
        <f t="shared" si="1"/>
        <v>APROBADO</v>
      </c>
    </row>
    <row r="14" spans="1:41" ht="15" hidden="1" customHeight="1" x14ac:dyDescent="0.2">
      <c r="A14" s="9">
        <v>44</v>
      </c>
      <c r="B14" s="10">
        <v>40</v>
      </c>
      <c r="C14" s="10">
        <v>13</v>
      </c>
      <c r="D14" s="11" t="s">
        <v>153</v>
      </c>
      <c r="E14" s="11" t="s">
        <v>154</v>
      </c>
      <c r="F14" s="11" t="s">
        <v>155</v>
      </c>
      <c r="G14" s="11" t="s">
        <v>35</v>
      </c>
      <c r="H14" s="11" t="s">
        <v>36</v>
      </c>
      <c r="I14" s="11" t="s">
        <v>37</v>
      </c>
      <c r="J14" s="11" t="s">
        <v>38</v>
      </c>
      <c r="K14" s="12" t="s">
        <v>156</v>
      </c>
      <c r="L14" s="12" t="s">
        <v>40</v>
      </c>
      <c r="M14" s="23">
        <v>27153</v>
      </c>
      <c r="N14" s="14">
        <v>989578958</v>
      </c>
      <c r="O14" s="11" t="s">
        <v>157</v>
      </c>
      <c r="P14" s="11" t="s">
        <v>158</v>
      </c>
      <c r="Q14" s="11" t="s">
        <v>159</v>
      </c>
      <c r="R14" s="11" t="s">
        <v>44</v>
      </c>
      <c r="S14" s="11" t="s">
        <v>44</v>
      </c>
      <c r="T14" s="11" t="s">
        <v>55</v>
      </c>
      <c r="U14" s="11" t="s">
        <v>77</v>
      </c>
      <c r="V14" s="16" t="s">
        <v>160</v>
      </c>
      <c r="W14" s="16">
        <v>1457605</v>
      </c>
      <c r="X14" s="16" t="s">
        <v>48</v>
      </c>
      <c r="Y14" s="17" t="s">
        <v>160</v>
      </c>
      <c r="Z14" s="17">
        <v>1457605</v>
      </c>
      <c r="AA14" s="18"/>
      <c r="AB14" s="18">
        <v>17</v>
      </c>
      <c r="AC14" s="18" t="s">
        <v>1767</v>
      </c>
      <c r="AD14" s="18">
        <v>15</v>
      </c>
      <c r="AE14" s="18" t="s">
        <v>1771</v>
      </c>
      <c r="AF14" s="18">
        <v>18</v>
      </c>
      <c r="AG14" s="18" t="s">
        <v>1767</v>
      </c>
      <c r="AH14" s="18">
        <v>15</v>
      </c>
      <c r="AI14" s="18" t="s">
        <v>1767</v>
      </c>
      <c r="AJ14" s="19" t="str">
        <f t="shared" si="1"/>
        <v>APROBADO</v>
      </c>
    </row>
    <row r="15" spans="1:41" ht="15" hidden="1" customHeight="1" x14ac:dyDescent="0.2">
      <c r="A15" s="9">
        <v>44</v>
      </c>
      <c r="B15" s="10">
        <v>37</v>
      </c>
      <c r="C15" s="10">
        <v>14</v>
      </c>
      <c r="D15" s="11" t="s">
        <v>161</v>
      </c>
      <c r="E15" s="11" t="s">
        <v>162</v>
      </c>
      <c r="F15" s="11" t="s">
        <v>60</v>
      </c>
      <c r="G15" s="11" t="s">
        <v>61</v>
      </c>
      <c r="H15" s="11" t="s">
        <v>101</v>
      </c>
      <c r="I15" s="11" t="s">
        <v>123</v>
      </c>
      <c r="J15" s="11" t="s">
        <v>38</v>
      </c>
      <c r="K15" s="12">
        <v>43870449</v>
      </c>
      <c r="L15" s="12" t="s">
        <v>40</v>
      </c>
      <c r="M15" s="23">
        <v>31649</v>
      </c>
      <c r="N15" s="14">
        <v>950154630</v>
      </c>
      <c r="O15" s="11" t="s">
        <v>163</v>
      </c>
      <c r="P15" s="11" t="s">
        <v>164</v>
      </c>
      <c r="Q15" s="11" t="s">
        <v>165</v>
      </c>
      <c r="R15" s="11" t="s">
        <v>107</v>
      </c>
      <c r="S15" s="11" t="s">
        <v>44</v>
      </c>
      <c r="T15" s="11" t="s">
        <v>55</v>
      </c>
      <c r="U15" s="11" t="s">
        <v>68</v>
      </c>
      <c r="V15" s="16" t="s">
        <v>69</v>
      </c>
      <c r="W15" s="16">
        <v>409672</v>
      </c>
      <c r="X15" s="16" t="s">
        <v>85</v>
      </c>
      <c r="Y15" s="17" t="str">
        <f>IF(X15="NO","NO APLICA","ESCRIBA EL NOMBRE DEL IIEE")</f>
        <v>NO APLICA</v>
      </c>
      <c r="Z15" s="17" t="str">
        <f>IF(Y15="NO APLICA","NO APLICA","ESCRIBA EL CÓDIGO MODULAR")</f>
        <v>NO APLICA</v>
      </c>
      <c r="AA15" s="18"/>
      <c r="AB15" s="18">
        <v>16</v>
      </c>
      <c r="AC15" s="18" t="s">
        <v>1767</v>
      </c>
      <c r="AD15" s="18">
        <v>12</v>
      </c>
      <c r="AE15" s="18" t="s">
        <v>1771</v>
      </c>
      <c r="AF15" s="18">
        <v>16</v>
      </c>
      <c r="AG15" s="18" t="s">
        <v>1767</v>
      </c>
      <c r="AH15" s="18">
        <v>14</v>
      </c>
      <c r="AI15" s="18" t="s">
        <v>1767</v>
      </c>
      <c r="AJ15" s="19" t="str">
        <f t="shared" si="1"/>
        <v>APROBADO</v>
      </c>
    </row>
    <row r="16" spans="1:41" ht="15" hidden="1" customHeight="1" x14ac:dyDescent="0.2">
      <c r="A16" s="9">
        <v>44</v>
      </c>
      <c r="B16" s="10">
        <v>8</v>
      </c>
      <c r="C16" s="10">
        <v>15</v>
      </c>
      <c r="D16" s="11" t="s">
        <v>166</v>
      </c>
      <c r="E16" s="11" t="s">
        <v>167</v>
      </c>
      <c r="F16" s="11" t="s">
        <v>34</v>
      </c>
      <c r="G16" s="11" t="s">
        <v>35</v>
      </c>
      <c r="H16" s="11" t="s">
        <v>168</v>
      </c>
      <c r="I16" s="11" t="s">
        <v>169</v>
      </c>
      <c r="J16" s="11" t="s">
        <v>38</v>
      </c>
      <c r="K16" s="12" t="s">
        <v>170</v>
      </c>
      <c r="L16" s="12" t="s">
        <v>40</v>
      </c>
      <c r="M16" s="23">
        <v>28864</v>
      </c>
      <c r="N16" s="14">
        <v>987604108</v>
      </c>
      <c r="O16" s="11" t="s">
        <v>171</v>
      </c>
      <c r="P16" s="11" t="s">
        <v>172</v>
      </c>
      <c r="Q16" s="11" t="s">
        <v>173</v>
      </c>
      <c r="R16" s="11" t="s">
        <v>107</v>
      </c>
      <c r="S16" s="11" t="s">
        <v>44</v>
      </c>
      <c r="T16" s="11" t="s">
        <v>95</v>
      </c>
      <c r="U16" s="11" t="s">
        <v>174</v>
      </c>
      <c r="V16" s="16" t="s">
        <v>175</v>
      </c>
      <c r="W16" s="16">
        <v>409706</v>
      </c>
      <c r="X16" s="16" t="s">
        <v>48</v>
      </c>
      <c r="Y16" s="17" t="s">
        <v>175</v>
      </c>
      <c r="Z16" s="17">
        <v>409706</v>
      </c>
      <c r="AA16" s="224" t="s">
        <v>1773</v>
      </c>
      <c r="AB16" s="18">
        <v>16</v>
      </c>
      <c r="AC16" s="18" t="s">
        <v>1767</v>
      </c>
      <c r="AD16" s="18">
        <v>14</v>
      </c>
      <c r="AE16" s="18" t="s">
        <v>1771</v>
      </c>
      <c r="AF16" s="18">
        <v>15</v>
      </c>
      <c r="AG16" s="18" t="s">
        <v>1767</v>
      </c>
      <c r="AH16" s="18">
        <v>13</v>
      </c>
      <c r="AI16" s="18" t="s">
        <v>1767</v>
      </c>
      <c r="AJ16" s="19" t="str">
        <f t="shared" si="1"/>
        <v>APROBADO</v>
      </c>
    </row>
    <row r="17" spans="1:36" ht="15" hidden="1" customHeight="1" x14ac:dyDescent="0.2">
      <c r="A17" s="9">
        <v>44</v>
      </c>
      <c r="B17" s="10">
        <v>17</v>
      </c>
      <c r="C17" s="10">
        <v>16</v>
      </c>
      <c r="D17" s="11" t="s">
        <v>176</v>
      </c>
      <c r="E17" s="11" t="s">
        <v>177</v>
      </c>
      <c r="F17" s="11" t="s">
        <v>34</v>
      </c>
      <c r="G17" s="11" t="s">
        <v>35</v>
      </c>
      <c r="H17" s="11" t="s">
        <v>36</v>
      </c>
      <c r="I17" s="11" t="s">
        <v>178</v>
      </c>
      <c r="J17" s="11" t="s">
        <v>38</v>
      </c>
      <c r="K17" s="12" t="s">
        <v>179</v>
      </c>
      <c r="L17" s="12" t="s">
        <v>40</v>
      </c>
      <c r="M17" s="23">
        <v>30402</v>
      </c>
      <c r="N17" s="14">
        <v>980418277</v>
      </c>
      <c r="O17" s="11" t="s">
        <v>180</v>
      </c>
      <c r="P17" s="11" t="s">
        <v>181</v>
      </c>
      <c r="Q17" s="11" t="s">
        <v>137</v>
      </c>
      <c r="R17" s="11" t="s">
        <v>44</v>
      </c>
      <c r="S17" s="11" t="s">
        <v>44</v>
      </c>
      <c r="T17" s="11" t="s">
        <v>45</v>
      </c>
      <c r="U17" s="11" t="s">
        <v>182</v>
      </c>
      <c r="V17" s="16" t="s">
        <v>69</v>
      </c>
      <c r="W17" s="16">
        <v>409672</v>
      </c>
      <c r="X17" s="16" t="s">
        <v>48</v>
      </c>
      <c r="Y17" s="17" t="s">
        <v>69</v>
      </c>
      <c r="Z17" s="17">
        <v>409672</v>
      </c>
      <c r="AA17" s="18"/>
      <c r="AB17" s="18">
        <v>16</v>
      </c>
      <c r="AC17" s="18" t="s">
        <v>1767</v>
      </c>
      <c r="AD17" s="18">
        <v>12</v>
      </c>
      <c r="AE17" s="18" t="s">
        <v>1771</v>
      </c>
      <c r="AF17" s="18">
        <v>14</v>
      </c>
      <c r="AG17" s="18" t="s">
        <v>1767</v>
      </c>
      <c r="AH17" s="18">
        <v>12</v>
      </c>
      <c r="AI17" s="18" t="s">
        <v>1767</v>
      </c>
      <c r="AJ17" s="19" t="str">
        <f t="shared" si="1"/>
        <v>APROBADO</v>
      </c>
    </row>
    <row r="18" spans="1:36" ht="15" hidden="1" customHeight="1" x14ac:dyDescent="0.2">
      <c r="A18" s="9">
        <v>44</v>
      </c>
      <c r="B18" s="10">
        <v>1</v>
      </c>
      <c r="C18" s="10">
        <v>17</v>
      </c>
      <c r="D18" s="11" t="s">
        <v>183</v>
      </c>
      <c r="E18" s="11" t="s">
        <v>184</v>
      </c>
      <c r="F18" s="11" t="s">
        <v>34</v>
      </c>
      <c r="G18" s="11" t="s">
        <v>35</v>
      </c>
      <c r="H18" s="11" t="s">
        <v>36</v>
      </c>
      <c r="I18" s="11" t="s">
        <v>132</v>
      </c>
      <c r="J18" s="11" t="s">
        <v>38</v>
      </c>
      <c r="K18" s="12" t="s">
        <v>185</v>
      </c>
      <c r="L18" s="12" t="s">
        <v>40</v>
      </c>
      <c r="M18" s="23">
        <v>28917</v>
      </c>
      <c r="N18" s="14">
        <v>984322813</v>
      </c>
      <c r="O18" s="11" t="s">
        <v>186</v>
      </c>
      <c r="P18" s="11" t="s">
        <v>187</v>
      </c>
      <c r="Q18" s="11" t="s">
        <v>106</v>
      </c>
      <c r="R18" s="11" t="s">
        <v>107</v>
      </c>
      <c r="S18" s="11" t="s">
        <v>44</v>
      </c>
      <c r="T18" s="11" t="s">
        <v>55</v>
      </c>
      <c r="U18" s="11" t="s">
        <v>188</v>
      </c>
      <c r="V18" s="16" t="s">
        <v>189</v>
      </c>
      <c r="W18" s="16">
        <v>1636455</v>
      </c>
      <c r="X18" s="16" t="s">
        <v>48</v>
      </c>
      <c r="Y18" s="17" t="s">
        <v>189</v>
      </c>
      <c r="Z18" s="17">
        <v>1636455</v>
      </c>
      <c r="AA18" s="18" t="s">
        <v>190</v>
      </c>
      <c r="AB18" s="18">
        <v>16</v>
      </c>
      <c r="AC18" s="18" t="s">
        <v>1767</v>
      </c>
      <c r="AD18" s="18">
        <v>13</v>
      </c>
      <c r="AE18" s="18" t="s">
        <v>1771</v>
      </c>
      <c r="AF18" s="18">
        <v>16</v>
      </c>
      <c r="AG18" s="18" t="s">
        <v>1767</v>
      </c>
      <c r="AH18" s="18">
        <v>12</v>
      </c>
      <c r="AI18" s="18" t="s">
        <v>1767</v>
      </c>
      <c r="AJ18" s="19" t="str">
        <f t="shared" si="1"/>
        <v>APROBADO</v>
      </c>
    </row>
    <row r="19" spans="1:36" ht="15" hidden="1" customHeight="1" x14ac:dyDescent="0.2">
      <c r="A19" s="9">
        <v>44</v>
      </c>
      <c r="B19" s="10">
        <v>39</v>
      </c>
      <c r="C19" s="10">
        <v>18</v>
      </c>
      <c r="D19" s="11" t="s">
        <v>191</v>
      </c>
      <c r="E19" s="11" t="s">
        <v>192</v>
      </c>
      <c r="F19" s="11" t="s">
        <v>34</v>
      </c>
      <c r="G19" s="11" t="s">
        <v>61</v>
      </c>
      <c r="H19" s="11" t="s">
        <v>193</v>
      </c>
      <c r="I19" s="11" t="s">
        <v>132</v>
      </c>
      <c r="J19" s="11" t="s">
        <v>38</v>
      </c>
      <c r="K19" s="12">
        <v>43560208</v>
      </c>
      <c r="L19" s="12" t="s">
        <v>40</v>
      </c>
      <c r="M19" s="23">
        <v>31506</v>
      </c>
      <c r="N19" s="14">
        <v>972006030</v>
      </c>
      <c r="O19" s="11" t="s">
        <v>194</v>
      </c>
      <c r="P19" s="11" t="s">
        <v>195</v>
      </c>
      <c r="Q19" s="11" t="s">
        <v>196</v>
      </c>
      <c r="R19" s="11" t="s">
        <v>94</v>
      </c>
      <c r="S19" s="11" t="s">
        <v>44</v>
      </c>
      <c r="T19" s="11" t="s">
        <v>197</v>
      </c>
      <c r="U19" s="11" t="s">
        <v>68</v>
      </c>
      <c r="V19" s="16" t="s">
        <v>47</v>
      </c>
      <c r="W19" s="16">
        <v>592543</v>
      </c>
      <c r="X19" s="16" t="s">
        <v>48</v>
      </c>
      <c r="Y19" s="17" t="s">
        <v>198</v>
      </c>
      <c r="Z19" s="17">
        <v>410100</v>
      </c>
      <c r="AA19" s="18" t="s">
        <v>49</v>
      </c>
      <c r="AB19" s="18">
        <v>17</v>
      </c>
      <c r="AC19" s="18" t="s">
        <v>1767</v>
      </c>
      <c r="AD19" s="18">
        <v>16</v>
      </c>
      <c r="AE19" s="18" t="s">
        <v>1771</v>
      </c>
      <c r="AF19" s="18">
        <v>17</v>
      </c>
      <c r="AG19" s="18" t="s">
        <v>1767</v>
      </c>
      <c r="AH19" s="18">
        <v>16</v>
      </c>
      <c r="AI19" s="18" t="s">
        <v>1767</v>
      </c>
      <c r="AJ19" s="19" t="str">
        <f t="shared" si="1"/>
        <v>APROBADO</v>
      </c>
    </row>
    <row r="20" spans="1:36" ht="15" hidden="1" customHeight="1" x14ac:dyDescent="0.2">
      <c r="A20" s="9">
        <v>44</v>
      </c>
      <c r="B20" s="10">
        <v>23</v>
      </c>
      <c r="C20" s="10">
        <v>19</v>
      </c>
      <c r="D20" s="11" t="s">
        <v>199</v>
      </c>
      <c r="E20" s="11" t="s">
        <v>200</v>
      </c>
      <c r="F20" s="11" t="s">
        <v>60</v>
      </c>
      <c r="G20" s="11" t="s">
        <v>61</v>
      </c>
      <c r="H20" s="11" t="s">
        <v>101</v>
      </c>
      <c r="I20" s="11" t="s">
        <v>132</v>
      </c>
      <c r="J20" s="11" t="s">
        <v>38</v>
      </c>
      <c r="K20" s="12">
        <v>24705844</v>
      </c>
      <c r="L20" s="12" t="s">
        <v>40</v>
      </c>
      <c r="M20" s="23">
        <v>26357</v>
      </c>
      <c r="N20" s="14">
        <v>983877423</v>
      </c>
      <c r="O20" s="11" t="s">
        <v>201</v>
      </c>
      <c r="P20" s="11" t="s">
        <v>202</v>
      </c>
      <c r="Q20" s="11" t="s">
        <v>196</v>
      </c>
      <c r="R20" s="11" t="s">
        <v>94</v>
      </c>
      <c r="S20" s="11" t="s">
        <v>44</v>
      </c>
      <c r="T20" s="11" t="s">
        <v>55</v>
      </c>
      <c r="U20" s="11" t="s">
        <v>68</v>
      </c>
      <c r="V20" s="16" t="s">
        <v>160</v>
      </c>
      <c r="W20" s="16">
        <v>1457605</v>
      </c>
      <c r="X20" s="16" t="s">
        <v>48</v>
      </c>
      <c r="Y20" s="17" t="s">
        <v>118</v>
      </c>
      <c r="Z20" s="17">
        <v>205716</v>
      </c>
      <c r="AA20" s="18" t="s">
        <v>49</v>
      </c>
      <c r="AB20" s="18">
        <v>16</v>
      </c>
      <c r="AC20" s="18" t="s">
        <v>1767</v>
      </c>
      <c r="AD20" s="18">
        <v>12</v>
      </c>
      <c r="AE20" s="18" t="s">
        <v>1771</v>
      </c>
      <c r="AF20" s="18">
        <v>16</v>
      </c>
      <c r="AG20" s="18" t="s">
        <v>1767</v>
      </c>
      <c r="AH20" s="18">
        <v>13</v>
      </c>
      <c r="AI20" s="18" t="s">
        <v>1767</v>
      </c>
      <c r="AJ20" s="19" t="str">
        <f>IF(AND(AB20&gt;=11,AD20&gt;=11,AF20&gt;=11,AH20&gt;=11),"APROBADO","DESAPROBADO")</f>
        <v>APROBADO</v>
      </c>
    </row>
    <row r="21" spans="1:36" ht="15" hidden="1" customHeight="1" x14ac:dyDescent="0.2">
      <c r="A21" s="9">
        <v>44</v>
      </c>
      <c r="B21" s="10">
        <v>41</v>
      </c>
      <c r="C21" s="10">
        <v>20</v>
      </c>
      <c r="D21" s="11" t="s">
        <v>203</v>
      </c>
      <c r="E21" s="11" t="s">
        <v>204</v>
      </c>
      <c r="F21" s="11" t="s">
        <v>155</v>
      </c>
      <c r="G21" s="11" t="s">
        <v>61</v>
      </c>
      <c r="H21" s="11" t="s">
        <v>193</v>
      </c>
      <c r="I21" s="11" t="s">
        <v>89</v>
      </c>
      <c r="J21" s="11" t="s">
        <v>38</v>
      </c>
      <c r="K21" s="12">
        <v>43004120</v>
      </c>
      <c r="L21" s="12" t="s">
        <v>40</v>
      </c>
      <c r="M21" s="23">
        <v>31128</v>
      </c>
      <c r="N21" s="14">
        <v>956291580</v>
      </c>
      <c r="O21" s="11" t="s">
        <v>205</v>
      </c>
      <c r="P21" s="11" t="s">
        <v>206</v>
      </c>
      <c r="Q21" s="11" t="s">
        <v>43</v>
      </c>
      <c r="R21" s="11" t="s">
        <v>44</v>
      </c>
      <c r="S21" s="11" t="s">
        <v>44</v>
      </c>
      <c r="T21" s="11" t="s">
        <v>55</v>
      </c>
      <c r="U21" s="11" t="s">
        <v>207</v>
      </c>
      <c r="V21" s="16" t="s">
        <v>78</v>
      </c>
      <c r="W21" s="16">
        <v>205401</v>
      </c>
      <c r="X21" s="16" t="s">
        <v>48</v>
      </c>
      <c r="Y21" s="17" t="s">
        <v>119</v>
      </c>
      <c r="Z21" s="17">
        <v>410258</v>
      </c>
      <c r="AA21" s="18" t="s">
        <v>49</v>
      </c>
      <c r="AB21" s="18">
        <v>17</v>
      </c>
      <c r="AC21" s="18" t="s">
        <v>1767</v>
      </c>
      <c r="AD21" s="18">
        <v>12</v>
      </c>
      <c r="AE21" s="18" t="s">
        <v>1771</v>
      </c>
      <c r="AF21" s="18">
        <v>17</v>
      </c>
      <c r="AG21" s="18" t="s">
        <v>1767</v>
      </c>
      <c r="AH21" s="18">
        <v>15</v>
      </c>
      <c r="AI21" s="18" t="s">
        <v>1767</v>
      </c>
      <c r="AJ21" s="19" t="str">
        <f>IF(AND(AB21&gt;=11,AD21&gt;=11,AF21&gt;=11,AH21&gt;=11),"APROBADO","DESAPROBADO")</f>
        <v>APROBADO</v>
      </c>
    </row>
    <row r="22" spans="1:36" ht="15" hidden="1" customHeight="1" x14ac:dyDescent="0.2">
      <c r="A22" s="9">
        <v>44</v>
      </c>
      <c r="B22" s="10">
        <v>4</v>
      </c>
      <c r="C22" s="10">
        <v>21</v>
      </c>
      <c r="D22" s="11" t="s">
        <v>208</v>
      </c>
      <c r="E22" s="11" t="s">
        <v>209</v>
      </c>
      <c r="F22" s="11" t="s">
        <v>34</v>
      </c>
      <c r="G22" s="11" t="s">
        <v>35</v>
      </c>
      <c r="H22" s="11" t="s">
        <v>36</v>
      </c>
      <c r="I22" s="11" t="s">
        <v>132</v>
      </c>
      <c r="J22" s="11" t="s">
        <v>38</v>
      </c>
      <c r="K22" s="12">
        <v>70292932</v>
      </c>
      <c r="L22" s="12" t="s">
        <v>40</v>
      </c>
      <c r="M22" s="23">
        <v>34668</v>
      </c>
      <c r="N22" s="14">
        <v>931289458</v>
      </c>
      <c r="O22" s="11" t="s">
        <v>210</v>
      </c>
      <c r="P22" s="11" t="s">
        <v>211</v>
      </c>
      <c r="Q22" s="11" t="s">
        <v>212</v>
      </c>
      <c r="R22" s="11" t="s">
        <v>44</v>
      </c>
      <c r="S22" s="11" t="s">
        <v>44</v>
      </c>
      <c r="T22" s="11" t="s">
        <v>55</v>
      </c>
      <c r="U22" s="11" t="s">
        <v>213</v>
      </c>
      <c r="V22" s="16">
        <v>50550</v>
      </c>
      <c r="W22" s="16">
        <v>410233</v>
      </c>
      <c r="X22" s="16" t="s">
        <v>48</v>
      </c>
      <c r="Y22" s="17" t="s">
        <v>69</v>
      </c>
      <c r="Z22" s="17">
        <v>409672</v>
      </c>
      <c r="AA22" s="18" t="s">
        <v>49</v>
      </c>
      <c r="AB22" s="18">
        <v>17</v>
      </c>
      <c r="AC22" s="18" t="s">
        <v>1767</v>
      </c>
      <c r="AD22" s="18">
        <v>17</v>
      </c>
      <c r="AE22" s="18" t="s">
        <v>1771</v>
      </c>
      <c r="AF22" s="18">
        <v>18</v>
      </c>
      <c r="AG22" s="18" t="s">
        <v>1767</v>
      </c>
      <c r="AH22" s="18">
        <v>16</v>
      </c>
      <c r="AI22" s="18" t="s">
        <v>1767</v>
      </c>
      <c r="AJ22" s="19" t="str">
        <f>IF(AND(AB22&gt;=11,AD22&gt;=11,AF22&gt;=11,AH22&gt;=11),"APROBADO","DESAPROBADO")</f>
        <v>APROBADO</v>
      </c>
    </row>
    <row r="23" spans="1:36" ht="15" hidden="1" customHeight="1" x14ac:dyDescent="0.2">
      <c r="A23" s="9">
        <v>44</v>
      </c>
      <c r="B23" s="10">
        <v>31</v>
      </c>
      <c r="C23" s="10">
        <v>22</v>
      </c>
      <c r="D23" s="11" t="s">
        <v>214</v>
      </c>
      <c r="E23" s="11" t="s">
        <v>215</v>
      </c>
      <c r="F23" s="11" t="s">
        <v>34</v>
      </c>
      <c r="G23" s="11" t="s">
        <v>35</v>
      </c>
      <c r="H23" s="11" t="s">
        <v>216</v>
      </c>
      <c r="I23" s="11" t="s">
        <v>169</v>
      </c>
      <c r="J23" s="11" t="s">
        <v>38</v>
      </c>
      <c r="K23" s="12" t="s">
        <v>217</v>
      </c>
      <c r="L23" s="12" t="s">
        <v>40</v>
      </c>
      <c r="M23" s="23">
        <v>29972</v>
      </c>
      <c r="N23" s="14">
        <v>940230686</v>
      </c>
      <c r="O23" s="11" t="s">
        <v>218</v>
      </c>
      <c r="P23" s="11" t="s">
        <v>219</v>
      </c>
      <c r="Q23" s="11" t="s">
        <v>220</v>
      </c>
      <c r="R23" s="11" t="s">
        <v>107</v>
      </c>
      <c r="S23" s="11" t="s">
        <v>44</v>
      </c>
      <c r="T23" s="11" t="s">
        <v>221</v>
      </c>
      <c r="U23" s="11" t="s">
        <v>222</v>
      </c>
      <c r="V23" s="16" t="s">
        <v>69</v>
      </c>
      <c r="W23" s="16">
        <v>409672</v>
      </c>
      <c r="X23" s="16" t="s">
        <v>85</v>
      </c>
      <c r="Y23" s="17" t="str">
        <f t="shared" ref="Y23:Y26" si="4">IF(X23="NO","NO APLICA","ESCRIBA EL NOMBRE DEL IIEE")</f>
        <v>NO APLICA</v>
      </c>
      <c r="Z23" s="17" t="str">
        <f t="shared" ref="Z23:Z26" si="5">IF(Y23="NO APLICA","NO APLICA","ESCRIBA EL CÓDIGO MODULAR")</f>
        <v>NO APLICA</v>
      </c>
      <c r="AA23" s="18"/>
      <c r="AB23" s="18">
        <v>16</v>
      </c>
      <c r="AC23" s="18" t="s">
        <v>1767</v>
      </c>
      <c r="AD23" s="18">
        <v>13</v>
      </c>
      <c r="AE23" s="18" t="s">
        <v>1771</v>
      </c>
      <c r="AF23" s="18">
        <v>13</v>
      </c>
      <c r="AG23" s="18" t="s">
        <v>1767</v>
      </c>
      <c r="AH23" s="18">
        <v>14</v>
      </c>
      <c r="AI23" s="18" t="s">
        <v>1767</v>
      </c>
      <c r="AJ23" s="19" t="str">
        <f t="shared" ref="AJ23:AJ24" si="6">IF(AND(AB23&gt;=11,AD23&gt;=11,AF23&gt;=11,AH23&gt;=11),"APROBADO","DESAPROBADO")</f>
        <v>APROBADO</v>
      </c>
    </row>
    <row r="24" spans="1:36" ht="15" hidden="1" customHeight="1" x14ac:dyDescent="0.2">
      <c r="A24" s="9">
        <v>44</v>
      </c>
      <c r="B24" s="10">
        <v>38</v>
      </c>
      <c r="C24" s="10">
        <v>23</v>
      </c>
      <c r="D24" s="11" t="s">
        <v>223</v>
      </c>
      <c r="E24" s="11" t="s">
        <v>224</v>
      </c>
      <c r="F24" s="11" t="s">
        <v>34</v>
      </c>
      <c r="G24" s="11" t="s">
        <v>35</v>
      </c>
      <c r="H24" s="11" t="s">
        <v>101</v>
      </c>
      <c r="I24" s="11" t="s">
        <v>37</v>
      </c>
      <c r="J24" s="11" t="s">
        <v>38</v>
      </c>
      <c r="K24" s="12">
        <v>41066515</v>
      </c>
      <c r="L24" s="12" t="s">
        <v>40</v>
      </c>
      <c r="M24" s="23">
        <v>29846</v>
      </c>
      <c r="N24" s="14">
        <v>946727564</v>
      </c>
      <c r="O24" s="11" t="s">
        <v>225</v>
      </c>
      <c r="P24" s="11" t="s">
        <v>226</v>
      </c>
      <c r="Q24" s="11" t="s">
        <v>212</v>
      </c>
      <c r="R24" s="11" t="s">
        <v>44</v>
      </c>
      <c r="S24" s="11" t="s">
        <v>44</v>
      </c>
      <c r="T24" s="11" t="s">
        <v>45</v>
      </c>
      <c r="U24" s="11" t="s">
        <v>68</v>
      </c>
      <c r="V24" s="16" t="s">
        <v>69</v>
      </c>
      <c r="W24" s="16">
        <v>409672</v>
      </c>
      <c r="X24" s="16" t="s">
        <v>85</v>
      </c>
      <c r="Y24" s="17" t="str">
        <f t="shared" si="4"/>
        <v>NO APLICA</v>
      </c>
      <c r="Z24" s="17" t="str">
        <f t="shared" si="5"/>
        <v>NO APLICA</v>
      </c>
      <c r="AA24" s="18"/>
      <c r="AB24" s="18">
        <v>14</v>
      </c>
      <c r="AC24" s="18" t="s">
        <v>1767</v>
      </c>
      <c r="AD24" s="18">
        <v>14</v>
      </c>
      <c r="AE24" s="18" t="s">
        <v>1771</v>
      </c>
      <c r="AF24" s="18">
        <v>17</v>
      </c>
      <c r="AG24" s="18" t="s">
        <v>1767</v>
      </c>
      <c r="AH24" s="18">
        <v>15</v>
      </c>
      <c r="AI24" s="18" t="s">
        <v>1767</v>
      </c>
      <c r="AJ24" s="19" t="str">
        <f t="shared" si="6"/>
        <v>APROBADO</v>
      </c>
    </row>
    <row r="25" spans="1:36" ht="15" hidden="1" customHeight="1" x14ac:dyDescent="0.2">
      <c r="A25" s="9">
        <v>44</v>
      </c>
      <c r="B25" s="10">
        <v>24</v>
      </c>
      <c r="C25" s="10">
        <v>24</v>
      </c>
      <c r="D25" s="11" t="s">
        <v>227</v>
      </c>
      <c r="E25" s="11" t="s">
        <v>228</v>
      </c>
      <c r="F25" s="11" t="s">
        <v>34</v>
      </c>
      <c r="G25" s="11" t="s">
        <v>35</v>
      </c>
      <c r="H25" s="11" t="s">
        <v>36</v>
      </c>
      <c r="I25" s="11" t="s">
        <v>123</v>
      </c>
      <c r="J25" s="11" t="s">
        <v>38</v>
      </c>
      <c r="K25" s="12" t="s">
        <v>229</v>
      </c>
      <c r="L25" s="12" t="s">
        <v>40</v>
      </c>
      <c r="M25" s="23">
        <v>30356</v>
      </c>
      <c r="N25" s="14">
        <v>984902080</v>
      </c>
      <c r="O25" s="11" t="s">
        <v>230</v>
      </c>
      <c r="P25" s="11" t="s">
        <v>231</v>
      </c>
      <c r="Q25" s="11" t="s">
        <v>196</v>
      </c>
      <c r="R25" s="11" t="s">
        <v>94</v>
      </c>
      <c r="S25" s="11" t="s">
        <v>44</v>
      </c>
      <c r="T25" s="11" t="s">
        <v>55</v>
      </c>
      <c r="U25" s="11" t="s">
        <v>232</v>
      </c>
      <c r="V25" s="16" t="s">
        <v>109</v>
      </c>
      <c r="W25" s="16" t="s">
        <v>109</v>
      </c>
      <c r="X25" s="16" t="s">
        <v>85</v>
      </c>
      <c r="Y25" s="17" t="str">
        <f t="shared" si="4"/>
        <v>NO APLICA</v>
      </c>
      <c r="Z25" s="17" t="str">
        <f t="shared" si="5"/>
        <v>NO APLICA</v>
      </c>
      <c r="AA25" s="18"/>
      <c r="AB25" s="18">
        <v>19</v>
      </c>
      <c r="AC25" s="18" t="s">
        <v>1767</v>
      </c>
      <c r="AD25" s="18">
        <v>14</v>
      </c>
      <c r="AE25" s="18" t="s">
        <v>1771</v>
      </c>
      <c r="AF25" s="18">
        <v>15</v>
      </c>
      <c r="AG25" s="18" t="s">
        <v>1767</v>
      </c>
      <c r="AH25" s="18">
        <v>16</v>
      </c>
      <c r="AI25" s="18" t="s">
        <v>1767</v>
      </c>
      <c r="AJ25" s="19" t="str">
        <f t="shared" ref="AJ25:AJ91" si="7">IF(AND(AB25&gt;=11,AD25&gt;=11,AF25&gt;=11,AH25&gt;=11),"APROBADO","DESAPROBADO")</f>
        <v>APROBADO</v>
      </c>
    </row>
    <row r="26" spans="1:36" ht="15" hidden="1" customHeight="1" x14ac:dyDescent="0.2">
      <c r="A26" s="9">
        <v>44</v>
      </c>
      <c r="B26" s="10">
        <v>5</v>
      </c>
      <c r="C26" s="10">
        <v>25</v>
      </c>
      <c r="D26" s="11" t="s">
        <v>233</v>
      </c>
      <c r="E26" s="11" t="s">
        <v>234</v>
      </c>
      <c r="F26" s="11" t="s">
        <v>34</v>
      </c>
      <c r="G26" s="11" t="s">
        <v>35</v>
      </c>
      <c r="H26" s="11" t="s">
        <v>73</v>
      </c>
      <c r="I26" s="11" t="s">
        <v>123</v>
      </c>
      <c r="J26" s="11" t="s">
        <v>38</v>
      </c>
      <c r="K26" s="12" t="s">
        <v>235</v>
      </c>
      <c r="L26" s="12" t="s">
        <v>40</v>
      </c>
      <c r="M26" s="23">
        <v>28343</v>
      </c>
      <c r="N26" s="14">
        <v>973255561</v>
      </c>
      <c r="O26" s="11" t="s">
        <v>236</v>
      </c>
      <c r="P26" s="11" t="s">
        <v>237</v>
      </c>
      <c r="Q26" s="11" t="s">
        <v>238</v>
      </c>
      <c r="R26" s="11" t="s">
        <v>44</v>
      </c>
      <c r="S26" s="11" t="s">
        <v>44</v>
      </c>
      <c r="T26" s="11" t="s">
        <v>55</v>
      </c>
      <c r="U26" s="11" t="s">
        <v>239</v>
      </c>
      <c r="V26" s="16">
        <v>50550</v>
      </c>
      <c r="W26" s="16">
        <v>410233</v>
      </c>
      <c r="X26" s="16" t="s">
        <v>85</v>
      </c>
      <c r="Y26" s="17" t="str">
        <f t="shared" si="4"/>
        <v>NO APLICA</v>
      </c>
      <c r="Z26" s="17" t="str">
        <f t="shared" si="5"/>
        <v>NO APLICA</v>
      </c>
      <c r="AA26" s="18"/>
      <c r="AB26" s="18">
        <v>17</v>
      </c>
      <c r="AC26" s="18" t="s">
        <v>1767</v>
      </c>
      <c r="AD26" s="18">
        <v>12</v>
      </c>
      <c r="AE26" s="18" t="s">
        <v>1771</v>
      </c>
      <c r="AF26" s="18">
        <v>17</v>
      </c>
      <c r="AG26" s="18" t="s">
        <v>1767</v>
      </c>
      <c r="AH26" s="18">
        <v>16</v>
      </c>
      <c r="AI26" s="18" t="s">
        <v>1767</v>
      </c>
      <c r="AJ26" s="19" t="str">
        <f t="shared" si="7"/>
        <v>APROBADO</v>
      </c>
    </row>
    <row r="27" spans="1:36" ht="15" hidden="1" customHeight="1" x14ac:dyDescent="0.2">
      <c r="A27" s="9">
        <v>44</v>
      </c>
      <c r="B27" s="10">
        <v>7</v>
      </c>
      <c r="C27" s="10">
        <v>26</v>
      </c>
      <c r="D27" s="11" t="s">
        <v>240</v>
      </c>
      <c r="E27" s="11" t="s">
        <v>241</v>
      </c>
      <c r="F27" s="11" t="s">
        <v>242</v>
      </c>
      <c r="G27" s="11" t="s">
        <v>61</v>
      </c>
      <c r="H27" s="11" t="s">
        <v>141</v>
      </c>
      <c r="I27" s="11" t="s">
        <v>102</v>
      </c>
      <c r="J27" s="11" t="s">
        <v>38</v>
      </c>
      <c r="K27" s="12" t="s">
        <v>243</v>
      </c>
      <c r="L27" s="12" t="s">
        <v>40</v>
      </c>
      <c r="M27" s="23">
        <v>29112</v>
      </c>
      <c r="N27" s="14">
        <v>932668208</v>
      </c>
      <c r="O27" s="11" t="s">
        <v>244</v>
      </c>
      <c r="P27" s="11" t="s">
        <v>245</v>
      </c>
      <c r="Q27" s="11" t="s">
        <v>67</v>
      </c>
      <c r="R27" s="11" t="s">
        <v>44</v>
      </c>
      <c r="S27" s="11" t="s">
        <v>44</v>
      </c>
      <c r="T27" s="11" t="s">
        <v>45</v>
      </c>
      <c r="U27" s="11" t="s">
        <v>246</v>
      </c>
      <c r="V27" s="16" t="s">
        <v>160</v>
      </c>
      <c r="W27" s="16">
        <v>205401</v>
      </c>
      <c r="X27" s="16" t="s">
        <v>48</v>
      </c>
      <c r="Y27" s="17" t="s">
        <v>160</v>
      </c>
      <c r="Z27" s="17">
        <v>1457605</v>
      </c>
      <c r="AA27" s="18" t="s">
        <v>49</v>
      </c>
      <c r="AB27" s="18">
        <v>16</v>
      </c>
      <c r="AC27" s="18" t="s">
        <v>1767</v>
      </c>
      <c r="AD27" s="18">
        <v>16</v>
      </c>
      <c r="AE27" s="18" t="s">
        <v>1771</v>
      </c>
      <c r="AF27" s="18">
        <v>16</v>
      </c>
      <c r="AG27" s="18" t="s">
        <v>1767</v>
      </c>
      <c r="AH27" s="18">
        <v>15</v>
      </c>
      <c r="AI27" s="18" t="s">
        <v>1767</v>
      </c>
      <c r="AJ27" s="19" t="str">
        <f t="shared" si="7"/>
        <v>APROBADO</v>
      </c>
    </row>
    <row r="28" spans="1:36" ht="15" hidden="1" customHeight="1" x14ac:dyDescent="0.2">
      <c r="A28" s="9">
        <v>44</v>
      </c>
      <c r="B28" s="10">
        <v>28</v>
      </c>
      <c r="C28" s="10">
        <v>27</v>
      </c>
      <c r="D28" s="11" t="s">
        <v>247</v>
      </c>
      <c r="E28" s="11" t="s">
        <v>248</v>
      </c>
      <c r="F28" s="11" t="s">
        <v>60</v>
      </c>
      <c r="G28" s="11" t="s">
        <v>61</v>
      </c>
      <c r="H28" s="11" t="s">
        <v>62</v>
      </c>
      <c r="I28" s="11" t="s">
        <v>132</v>
      </c>
      <c r="J28" s="11" t="s">
        <v>38</v>
      </c>
      <c r="K28" s="12" t="s">
        <v>249</v>
      </c>
      <c r="L28" s="12" t="s">
        <v>40</v>
      </c>
      <c r="M28" s="23">
        <v>25299</v>
      </c>
      <c r="N28" s="14">
        <v>987312753</v>
      </c>
      <c r="O28" s="11" t="s">
        <v>250</v>
      </c>
      <c r="P28" s="11" t="s">
        <v>251</v>
      </c>
      <c r="Q28" s="11" t="s">
        <v>137</v>
      </c>
      <c r="R28" s="11" t="s">
        <v>107</v>
      </c>
      <c r="S28" s="11" t="s">
        <v>44</v>
      </c>
      <c r="T28" s="11" t="s">
        <v>45</v>
      </c>
      <c r="U28" s="11" t="s">
        <v>77</v>
      </c>
      <c r="V28" s="16" t="s">
        <v>69</v>
      </c>
      <c r="W28" s="16">
        <v>409672</v>
      </c>
      <c r="X28" s="16" t="s">
        <v>48</v>
      </c>
      <c r="Y28" s="17" t="s">
        <v>69</v>
      </c>
      <c r="Z28" s="17">
        <v>409672</v>
      </c>
      <c r="AA28" s="18" t="s">
        <v>49</v>
      </c>
      <c r="AB28" s="18">
        <v>14</v>
      </c>
      <c r="AC28" s="18" t="s">
        <v>1767</v>
      </c>
      <c r="AD28" s="18">
        <v>12</v>
      </c>
      <c r="AE28" s="18" t="s">
        <v>1771</v>
      </c>
      <c r="AF28" s="18">
        <v>16</v>
      </c>
      <c r="AG28" s="18" t="s">
        <v>1767</v>
      </c>
      <c r="AH28" s="18">
        <v>13</v>
      </c>
      <c r="AI28" s="18" t="s">
        <v>1767</v>
      </c>
      <c r="AJ28" s="19" t="str">
        <f t="shared" si="7"/>
        <v>APROBADO</v>
      </c>
    </row>
    <row r="29" spans="1:36" ht="15" hidden="1" customHeight="1" x14ac:dyDescent="0.2">
      <c r="A29" s="9">
        <v>44</v>
      </c>
      <c r="B29" s="10">
        <v>34</v>
      </c>
      <c r="C29" s="10">
        <v>28</v>
      </c>
      <c r="D29" s="11" t="s">
        <v>252</v>
      </c>
      <c r="E29" s="11" t="s">
        <v>253</v>
      </c>
      <c r="F29" s="11" t="s">
        <v>34</v>
      </c>
      <c r="G29" s="11" t="s">
        <v>35</v>
      </c>
      <c r="H29" s="11" t="s">
        <v>73</v>
      </c>
      <c r="I29" s="11" t="s">
        <v>132</v>
      </c>
      <c r="J29" s="11" t="s">
        <v>38</v>
      </c>
      <c r="K29" s="12">
        <v>23860310</v>
      </c>
      <c r="L29" s="12" t="s">
        <v>40</v>
      </c>
      <c r="M29" s="23">
        <v>25417</v>
      </c>
      <c r="N29" s="14">
        <v>984220518</v>
      </c>
      <c r="O29" s="11" t="s">
        <v>254</v>
      </c>
      <c r="P29" s="11" t="s">
        <v>255</v>
      </c>
      <c r="Q29" s="11" t="s">
        <v>256</v>
      </c>
      <c r="R29" s="11" t="s">
        <v>107</v>
      </c>
      <c r="S29" s="11" t="s">
        <v>44</v>
      </c>
      <c r="T29" s="11" t="s">
        <v>55</v>
      </c>
      <c r="U29" s="11" t="s">
        <v>257</v>
      </c>
      <c r="V29" s="16" t="s">
        <v>69</v>
      </c>
      <c r="W29" s="16">
        <v>409672</v>
      </c>
      <c r="X29" s="16" t="s">
        <v>48</v>
      </c>
      <c r="Y29" s="17" t="s">
        <v>69</v>
      </c>
      <c r="Z29" s="17">
        <v>409672</v>
      </c>
      <c r="AA29" s="18" t="s">
        <v>49</v>
      </c>
      <c r="AB29" s="18">
        <v>16</v>
      </c>
      <c r="AC29" s="18" t="s">
        <v>1767</v>
      </c>
      <c r="AD29" s="18">
        <v>12</v>
      </c>
      <c r="AE29" s="18" t="s">
        <v>1771</v>
      </c>
      <c r="AF29" s="18">
        <v>14</v>
      </c>
      <c r="AG29" s="18" t="s">
        <v>1767</v>
      </c>
      <c r="AH29" s="18">
        <v>13</v>
      </c>
      <c r="AI29" s="18" t="s">
        <v>1767</v>
      </c>
      <c r="AJ29" s="19" t="str">
        <f t="shared" si="7"/>
        <v>APROBADO</v>
      </c>
    </row>
    <row r="30" spans="1:36" ht="15" hidden="1" customHeight="1" x14ac:dyDescent="0.2">
      <c r="A30" s="9">
        <v>44</v>
      </c>
      <c r="B30" s="10">
        <v>3</v>
      </c>
      <c r="C30" s="10">
        <v>29</v>
      </c>
      <c r="D30" s="11" t="s">
        <v>258</v>
      </c>
      <c r="E30" s="11" t="s">
        <v>259</v>
      </c>
      <c r="F30" s="11" t="s">
        <v>34</v>
      </c>
      <c r="G30" s="11" t="s">
        <v>35</v>
      </c>
      <c r="H30" s="11" t="s">
        <v>168</v>
      </c>
      <c r="I30" s="11" t="s">
        <v>169</v>
      </c>
      <c r="J30" s="11" t="s">
        <v>38</v>
      </c>
      <c r="K30" s="12" t="s">
        <v>260</v>
      </c>
      <c r="L30" s="12" t="s">
        <v>40</v>
      </c>
      <c r="M30" s="23">
        <v>29139</v>
      </c>
      <c r="N30" s="14">
        <v>984754783</v>
      </c>
      <c r="O30" s="11" t="s">
        <v>261</v>
      </c>
      <c r="P30" s="11" t="s">
        <v>262</v>
      </c>
      <c r="Q30" s="11" t="s">
        <v>44</v>
      </c>
      <c r="R30" s="11" t="s">
        <v>44</v>
      </c>
      <c r="S30" s="11" t="s">
        <v>44</v>
      </c>
      <c r="T30" s="11" t="s">
        <v>95</v>
      </c>
      <c r="U30" s="11" t="s">
        <v>263</v>
      </c>
      <c r="V30" s="16" t="s">
        <v>118</v>
      </c>
      <c r="W30" s="16">
        <v>205716</v>
      </c>
      <c r="X30" s="16" t="s">
        <v>85</v>
      </c>
      <c r="Y30" s="17" t="str">
        <f t="shared" ref="Y30:Y31" si="8">IF(X30="NO","NO APLICA","ESCRIBA EL NOMBRE DEL IIEE")</f>
        <v>NO APLICA</v>
      </c>
      <c r="Z30" s="17" t="str">
        <f t="shared" ref="Z30:Z31" si="9">IF(Y30="NO APLICA","NO APLICA","ESCRIBA EL CÓDIGO MODULAR")</f>
        <v>NO APLICA</v>
      </c>
      <c r="AA30" s="18" t="s">
        <v>49</v>
      </c>
      <c r="AB30" s="18">
        <v>18</v>
      </c>
      <c r="AC30" s="18" t="s">
        <v>1767</v>
      </c>
      <c r="AD30" s="18">
        <v>15</v>
      </c>
      <c r="AE30" s="18" t="s">
        <v>1771</v>
      </c>
      <c r="AF30" s="18">
        <v>17</v>
      </c>
      <c r="AG30" s="18" t="s">
        <v>1767</v>
      </c>
      <c r="AH30" s="18">
        <v>15</v>
      </c>
      <c r="AI30" s="18" t="s">
        <v>1767</v>
      </c>
      <c r="AJ30" s="19" t="str">
        <f t="shared" si="7"/>
        <v>APROBADO</v>
      </c>
    </row>
    <row r="31" spans="1:36" ht="15" hidden="1" customHeight="1" x14ac:dyDescent="0.2">
      <c r="A31" s="9">
        <v>44</v>
      </c>
      <c r="B31" s="10">
        <v>2</v>
      </c>
      <c r="C31" s="10">
        <v>30</v>
      </c>
      <c r="D31" s="11" t="s">
        <v>264</v>
      </c>
      <c r="E31" s="11" t="s">
        <v>265</v>
      </c>
      <c r="F31" s="11" t="s">
        <v>34</v>
      </c>
      <c r="G31" s="11" t="s">
        <v>35</v>
      </c>
      <c r="H31" s="11" t="s">
        <v>73</v>
      </c>
      <c r="I31" s="11" t="s">
        <v>266</v>
      </c>
      <c r="J31" s="11" t="s">
        <v>38</v>
      </c>
      <c r="K31" s="12" t="s">
        <v>267</v>
      </c>
      <c r="L31" s="12" t="s">
        <v>40</v>
      </c>
      <c r="M31" s="23">
        <v>26278</v>
      </c>
      <c r="N31" s="14">
        <v>982520715</v>
      </c>
      <c r="O31" s="11" t="s">
        <v>268</v>
      </c>
      <c r="P31" s="11" t="s">
        <v>269</v>
      </c>
      <c r="Q31" s="11" t="s">
        <v>269</v>
      </c>
      <c r="R31" s="11" t="s">
        <v>107</v>
      </c>
      <c r="S31" s="11" t="s">
        <v>44</v>
      </c>
      <c r="T31" s="11" t="s">
        <v>270</v>
      </c>
      <c r="U31" s="11" t="s">
        <v>45</v>
      </c>
      <c r="V31" s="16" t="s">
        <v>189</v>
      </c>
      <c r="W31" s="16">
        <v>1636455</v>
      </c>
      <c r="X31" s="16" t="s">
        <v>85</v>
      </c>
      <c r="Y31" s="17" t="str">
        <f t="shared" si="8"/>
        <v>NO APLICA</v>
      </c>
      <c r="Z31" s="17" t="str">
        <f t="shared" si="9"/>
        <v>NO APLICA</v>
      </c>
      <c r="AA31" s="18" t="s">
        <v>190</v>
      </c>
      <c r="AB31" s="18">
        <v>16</v>
      </c>
      <c r="AC31" s="18" t="s">
        <v>1767</v>
      </c>
      <c r="AD31" s="18">
        <v>12</v>
      </c>
      <c r="AE31" s="18" t="s">
        <v>1771</v>
      </c>
      <c r="AF31" s="18">
        <v>16</v>
      </c>
      <c r="AG31" s="18" t="s">
        <v>1767</v>
      </c>
      <c r="AH31" s="18">
        <v>14</v>
      </c>
      <c r="AI31" s="18" t="s">
        <v>1767</v>
      </c>
      <c r="AJ31" s="19" t="str">
        <f t="shared" si="7"/>
        <v>APROBADO</v>
      </c>
    </row>
    <row r="32" spans="1:36" ht="15" hidden="1" customHeight="1" x14ac:dyDescent="0.2">
      <c r="A32" s="9">
        <v>44</v>
      </c>
      <c r="B32" s="10">
        <v>13</v>
      </c>
      <c r="C32" s="10">
        <v>31</v>
      </c>
      <c r="D32" s="11" t="s">
        <v>271</v>
      </c>
      <c r="E32" s="11" t="s">
        <v>272</v>
      </c>
      <c r="F32" s="11" t="s">
        <v>34</v>
      </c>
      <c r="G32" s="11" t="s">
        <v>35</v>
      </c>
      <c r="H32" s="11" t="s">
        <v>36</v>
      </c>
      <c r="I32" s="11" t="s">
        <v>123</v>
      </c>
      <c r="J32" s="11" t="s">
        <v>38</v>
      </c>
      <c r="K32" s="12">
        <v>46071768</v>
      </c>
      <c r="L32" s="12" t="s">
        <v>40</v>
      </c>
      <c r="M32" s="23">
        <v>32270</v>
      </c>
      <c r="N32" s="14">
        <v>993489693</v>
      </c>
      <c r="O32" s="11" t="s">
        <v>273</v>
      </c>
      <c r="P32" s="11" t="s">
        <v>274</v>
      </c>
      <c r="Q32" s="11" t="s">
        <v>238</v>
      </c>
      <c r="R32" s="11" t="s">
        <v>44</v>
      </c>
      <c r="S32" s="11" t="s">
        <v>44</v>
      </c>
      <c r="T32" s="11" t="s">
        <v>45</v>
      </c>
      <c r="U32" s="11" t="s">
        <v>45</v>
      </c>
      <c r="V32" s="16" t="s">
        <v>69</v>
      </c>
      <c r="W32" s="16">
        <v>409672</v>
      </c>
      <c r="X32" s="16" t="s">
        <v>48</v>
      </c>
      <c r="Y32" s="17" t="s">
        <v>69</v>
      </c>
      <c r="Z32" s="17">
        <v>409672</v>
      </c>
      <c r="AA32" s="18" t="s">
        <v>49</v>
      </c>
      <c r="AB32" s="18">
        <v>15</v>
      </c>
      <c r="AC32" s="18" t="s">
        <v>1767</v>
      </c>
      <c r="AD32" s="18">
        <v>13</v>
      </c>
      <c r="AE32" s="18" t="s">
        <v>1771</v>
      </c>
      <c r="AF32" s="18">
        <v>17</v>
      </c>
      <c r="AG32" s="18" t="s">
        <v>1767</v>
      </c>
      <c r="AH32" s="18">
        <v>15</v>
      </c>
      <c r="AI32" s="18" t="s">
        <v>1767</v>
      </c>
      <c r="AJ32" s="19" t="str">
        <f t="shared" si="7"/>
        <v>APROBADO</v>
      </c>
    </row>
    <row r="33" spans="1:37" ht="15" hidden="1" customHeight="1" x14ac:dyDescent="0.2">
      <c r="A33" s="9">
        <v>44</v>
      </c>
      <c r="B33" s="10">
        <v>20</v>
      </c>
      <c r="C33" s="10">
        <v>32</v>
      </c>
      <c r="D33" s="11" t="s">
        <v>275</v>
      </c>
      <c r="E33" s="11" t="s">
        <v>276</v>
      </c>
      <c r="F33" s="11" t="s">
        <v>60</v>
      </c>
      <c r="G33" s="11" t="s">
        <v>61</v>
      </c>
      <c r="H33" s="11" t="s">
        <v>88</v>
      </c>
      <c r="I33" s="11" t="s">
        <v>169</v>
      </c>
      <c r="J33" s="11" t="s">
        <v>38</v>
      </c>
      <c r="K33" s="12">
        <v>23999989</v>
      </c>
      <c r="L33" s="12" t="s">
        <v>40</v>
      </c>
      <c r="M33" s="23">
        <v>28560</v>
      </c>
      <c r="N33" s="14">
        <v>992728613</v>
      </c>
      <c r="O33" s="11" t="s">
        <v>277</v>
      </c>
      <c r="P33" s="11" t="s">
        <v>278</v>
      </c>
      <c r="Q33" s="11" t="s">
        <v>279</v>
      </c>
      <c r="R33" s="11" t="s">
        <v>44</v>
      </c>
      <c r="S33" s="11" t="s">
        <v>44</v>
      </c>
      <c r="T33" s="11" t="s">
        <v>280</v>
      </c>
      <c r="U33" s="11" t="s">
        <v>281</v>
      </c>
      <c r="V33" s="16" t="s">
        <v>69</v>
      </c>
      <c r="W33" s="16">
        <v>409672</v>
      </c>
      <c r="X33" s="16" t="s">
        <v>48</v>
      </c>
      <c r="Y33" s="17" t="s">
        <v>69</v>
      </c>
      <c r="Z33" s="17">
        <v>409672</v>
      </c>
      <c r="AA33" s="18" t="s">
        <v>49</v>
      </c>
      <c r="AB33" s="18">
        <v>16</v>
      </c>
      <c r="AC33" s="18" t="s">
        <v>1767</v>
      </c>
      <c r="AD33" s="18">
        <v>12</v>
      </c>
      <c r="AE33" s="18" t="s">
        <v>1771</v>
      </c>
      <c r="AF33" s="18">
        <v>14</v>
      </c>
      <c r="AG33" s="18" t="s">
        <v>1767</v>
      </c>
      <c r="AH33" s="18">
        <v>14</v>
      </c>
      <c r="AI33" s="18" t="s">
        <v>1767</v>
      </c>
      <c r="AJ33" s="19" t="str">
        <f t="shared" si="7"/>
        <v>APROBADO</v>
      </c>
    </row>
    <row r="34" spans="1:37" ht="15" hidden="1" customHeight="1" x14ac:dyDescent="0.2">
      <c r="A34" s="9">
        <v>44</v>
      </c>
      <c r="B34" s="10">
        <v>10</v>
      </c>
      <c r="C34" s="10">
        <v>33</v>
      </c>
      <c r="D34" s="11" t="s">
        <v>282</v>
      </c>
      <c r="E34" s="11" t="s">
        <v>283</v>
      </c>
      <c r="F34" s="11" t="s">
        <v>60</v>
      </c>
      <c r="G34" s="11" t="s">
        <v>61</v>
      </c>
      <c r="H34" s="11" t="s">
        <v>193</v>
      </c>
      <c r="I34" s="11" t="s">
        <v>284</v>
      </c>
      <c r="J34" s="11" t="s">
        <v>38</v>
      </c>
      <c r="K34" s="12" t="s">
        <v>285</v>
      </c>
      <c r="L34" s="12" t="s">
        <v>40</v>
      </c>
      <c r="M34" s="23">
        <v>30155</v>
      </c>
      <c r="N34" s="14">
        <v>928763032</v>
      </c>
      <c r="O34" s="11" t="s">
        <v>286</v>
      </c>
      <c r="P34" s="11" t="s">
        <v>287</v>
      </c>
      <c r="Q34" s="11" t="s">
        <v>238</v>
      </c>
      <c r="R34" s="11" t="s">
        <v>44</v>
      </c>
      <c r="S34" s="11" t="s">
        <v>44</v>
      </c>
      <c r="T34" s="11" t="s">
        <v>95</v>
      </c>
      <c r="U34" s="11" t="s">
        <v>288</v>
      </c>
      <c r="V34" s="16" t="s">
        <v>69</v>
      </c>
      <c r="W34" s="16">
        <v>409672</v>
      </c>
      <c r="X34" s="16" t="s">
        <v>48</v>
      </c>
      <c r="Y34" s="17" t="s">
        <v>69</v>
      </c>
      <c r="Z34" s="17">
        <v>409672</v>
      </c>
      <c r="AA34" s="18" t="s">
        <v>49</v>
      </c>
      <c r="AB34" s="18">
        <v>16</v>
      </c>
      <c r="AC34" s="18" t="s">
        <v>1767</v>
      </c>
      <c r="AD34" s="18">
        <v>12</v>
      </c>
      <c r="AE34" s="18" t="s">
        <v>1771</v>
      </c>
      <c r="AF34" s="18">
        <v>13</v>
      </c>
      <c r="AG34" s="18" t="s">
        <v>1767</v>
      </c>
      <c r="AH34" s="18">
        <v>11</v>
      </c>
      <c r="AI34" s="18" t="s">
        <v>1768</v>
      </c>
      <c r="AJ34" s="19" t="str">
        <f t="shared" si="7"/>
        <v>APROBADO</v>
      </c>
    </row>
    <row r="35" spans="1:37" ht="15" hidden="1" customHeight="1" x14ac:dyDescent="0.2">
      <c r="A35" s="9">
        <v>44</v>
      </c>
      <c r="B35" s="10">
        <v>19</v>
      </c>
      <c r="C35" s="10">
        <v>34</v>
      </c>
      <c r="D35" s="11" t="s">
        <v>289</v>
      </c>
      <c r="E35" s="11" t="s">
        <v>290</v>
      </c>
      <c r="F35" s="11" t="s">
        <v>34</v>
      </c>
      <c r="G35" s="11" t="s">
        <v>35</v>
      </c>
      <c r="H35" s="11" t="s">
        <v>122</v>
      </c>
      <c r="I35" s="11" t="s">
        <v>102</v>
      </c>
      <c r="J35" s="11" t="s">
        <v>38</v>
      </c>
      <c r="K35" s="12">
        <v>23991074</v>
      </c>
      <c r="L35" s="12" t="s">
        <v>40</v>
      </c>
      <c r="M35" s="23">
        <v>27609</v>
      </c>
      <c r="N35" s="14">
        <v>958220106</v>
      </c>
      <c r="O35" s="11" t="s">
        <v>291</v>
      </c>
      <c r="P35" s="11" t="s">
        <v>292</v>
      </c>
      <c r="Q35" s="11" t="s">
        <v>293</v>
      </c>
      <c r="R35" s="11" t="s">
        <v>44</v>
      </c>
      <c r="S35" s="11" t="s">
        <v>44</v>
      </c>
      <c r="T35" s="11" t="s">
        <v>294</v>
      </c>
      <c r="U35" s="11" t="s">
        <v>55</v>
      </c>
      <c r="V35" s="16" t="s">
        <v>69</v>
      </c>
      <c r="W35" s="16">
        <v>409672</v>
      </c>
      <c r="X35" s="16" t="s">
        <v>48</v>
      </c>
      <c r="Y35" s="17" t="s">
        <v>69</v>
      </c>
      <c r="Z35" s="17">
        <v>409672</v>
      </c>
      <c r="AA35" s="18" t="s">
        <v>49</v>
      </c>
      <c r="AB35" s="18">
        <v>16</v>
      </c>
      <c r="AC35" s="18" t="s">
        <v>1767</v>
      </c>
      <c r="AD35" s="18">
        <v>12</v>
      </c>
      <c r="AE35" s="18" t="s">
        <v>1771</v>
      </c>
      <c r="AF35" s="18">
        <v>15</v>
      </c>
      <c r="AG35" s="18" t="s">
        <v>1767</v>
      </c>
      <c r="AH35" s="18">
        <v>12</v>
      </c>
      <c r="AI35" s="18" t="s">
        <v>1767</v>
      </c>
      <c r="AJ35" s="19" t="str">
        <f t="shared" si="7"/>
        <v>APROBADO</v>
      </c>
    </row>
    <row r="36" spans="1:37" ht="15" hidden="1" customHeight="1" x14ac:dyDescent="0.2">
      <c r="A36" s="9">
        <v>44</v>
      </c>
      <c r="B36" s="10">
        <v>16</v>
      </c>
      <c r="C36" s="10">
        <v>35</v>
      </c>
      <c r="D36" s="11" t="s">
        <v>295</v>
      </c>
      <c r="E36" s="11" t="s">
        <v>296</v>
      </c>
      <c r="F36" s="11" t="s">
        <v>34</v>
      </c>
      <c r="G36" s="11" t="s">
        <v>61</v>
      </c>
      <c r="H36" s="11" t="s">
        <v>297</v>
      </c>
      <c r="I36" s="11" t="s">
        <v>89</v>
      </c>
      <c r="J36" s="11" t="s">
        <v>38</v>
      </c>
      <c r="K36" s="12" t="s">
        <v>298</v>
      </c>
      <c r="L36" s="12" t="s">
        <v>40</v>
      </c>
      <c r="M36" s="23">
        <v>29320</v>
      </c>
      <c r="N36" s="14">
        <v>928389841</v>
      </c>
      <c r="O36" s="11" t="s">
        <v>299</v>
      </c>
      <c r="P36" s="11" t="s">
        <v>300</v>
      </c>
      <c r="Q36" s="11" t="s">
        <v>301</v>
      </c>
      <c r="R36" s="11" t="s">
        <v>302</v>
      </c>
      <c r="S36" s="11" t="s">
        <v>44</v>
      </c>
      <c r="T36" s="11" t="s">
        <v>303</v>
      </c>
      <c r="U36" s="11" t="s">
        <v>95</v>
      </c>
      <c r="V36" s="16" t="s">
        <v>189</v>
      </c>
      <c r="W36" s="16">
        <v>1741123</v>
      </c>
      <c r="X36" s="16" t="s">
        <v>48</v>
      </c>
      <c r="Y36" s="17" t="s">
        <v>304</v>
      </c>
      <c r="Z36" s="17">
        <v>204974</v>
      </c>
      <c r="AA36" s="18" t="s">
        <v>49</v>
      </c>
      <c r="AB36" s="18">
        <v>16</v>
      </c>
      <c r="AC36" s="18" t="s">
        <v>1767</v>
      </c>
      <c r="AD36" s="18">
        <v>11</v>
      </c>
      <c r="AE36" s="18" t="s">
        <v>1769</v>
      </c>
      <c r="AF36" s="18">
        <v>17</v>
      </c>
      <c r="AG36" s="18" t="s">
        <v>1767</v>
      </c>
      <c r="AH36" s="18">
        <v>13</v>
      </c>
      <c r="AI36" s="18" t="s">
        <v>1767</v>
      </c>
      <c r="AJ36" s="19" t="str">
        <f t="shared" si="7"/>
        <v>APROBADO</v>
      </c>
    </row>
    <row r="37" spans="1:37" ht="15" hidden="1" customHeight="1" x14ac:dyDescent="0.2">
      <c r="A37" s="9">
        <v>44</v>
      </c>
      <c r="B37" s="10">
        <v>9</v>
      </c>
      <c r="C37" s="10">
        <v>36</v>
      </c>
      <c r="D37" s="11" t="s">
        <v>305</v>
      </c>
      <c r="E37" s="11" t="s">
        <v>306</v>
      </c>
      <c r="F37" s="11" t="s">
        <v>60</v>
      </c>
      <c r="G37" s="11" t="s">
        <v>61</v>
      </c>
      <c r="H37" s="11" t="s">
        <v>62</v>
      </c>
      <c r="I37" s="11" t="s">
        <v>307</v>
      </c>
      <c r="J37" s="11" t="s">
        <v>38</v>
      </c>
      <c r="K37" s="12" t="s">
        <v>308</v>
      </c>
      <c r="L37" s="12" t="s">
        <v>40</v>
      </c>
      <c r="M37" s="23">
        <v>30071</v>
      </c>
      <c r="N37" s="14">
        <v>916847852</v>
      </c>
      <c r="O37" s="11" t="s">
        <v>309</v>
      </c>
      <c r="P37" s="11" t="s">
        <v>310</v>
      </c>
      <c r="Q37" s="11" t="s">
        <v>220</v>
      </c>
      <c r="R37" s="11" t="s">
        <v>107</v>
      </c>
      <c r="S37" s="11" t="s">
        <v>44</v>
      </c>
      <c r="T37" s="11" t="s">
        <v>221</v>
      </c>
      <c r="U37" s="11" t="s">
        <v>311</v>
      </c>
      <c r="V37" s="16" t="s">
        <v>175</v>
      </c>
      <c r="W37" s="16">
        <v>409706</v>
      </c>
      <c r="X37" s="16" t="s">
        <v>85</v>
      </c>
      <c r="Y37" s="17" t="str">
        <f>IF(X37="NO","NO APLICA","ESCRIBA EL NOMBRE DEL IIEE")</f>
        <v>NO APLICA</v>
      </c>
      <c r="Z37" s="17" t="str">
        <f>IF(Y37="NO APLICA","NO APLICA","ESCRIBA EL CÓDIGO MODULAR")</f>
        <v>NO APLICA</v>
      </c>
      <c r="AA37" s="18"/>
      <c r="AB37" s="18">
        <v>17</v>
      </c>
      <c r="AC37" s="18" t="s">
        <v>1767</v>
      </c>
      <c r="AD37" s="18">
        <v>16</v>
      </c>
      <c r="AE37" s="18" t="s">
        <v>1771</v>
      </c>
      <c r="AF37" s="18">
        <v>17</v>
      </c>
      <c r="AG37" s="18" t="s">
        <v>1767</v>
      </c>
      <c r="AH37" s="18">
        <v>13</v>
      </c>
      <c r="AI37" s="18" t="s">
        <v>1767</v>
      </c>
      <c r="AJ37" s="19" t="str">
        <f t="shared" si="7"/>
        <v>APROBADO</v>
      </c>
    </row>
    <row r="38" spans="1:37" ht="15" hidden="1" customHeight="1" x14ac:dyDescent="0.2">
      <c r="A38" s="9">
        <v>44</v>
      </c>
      <c r="B38" s="10">
        <v>30</v>
      </c>
      <c r="C38" s="10">
        <v>37</v>
      </c>
      <c r="D38" s="11" t="s">
        <v>312</v>
      </c>
      <c r="E38" s="11" t="s">
        <v>313</v>
      </c>
      <c r="F38" s="11" t="s">
        <v>242</v>
      </c>
      <c r="G38" s="11" t="s">
        <v>61</v>
      </c>
      <c r="H38" s="11" t="s">
        <v>314</v>
      </c>
      <c r="I38" s="11" t="s">
        <v>102</v>
      </c>
      <c r="J38" s="11" t="s">
        <v>38</v>
      </c>
      <c r="K38" s="12" t="s">
        <v>315</v>
      </c>
      <c r="L38" s="12" t="s">
        <v>40</v>
      </c>
      <c r="M38" s="23">
        <v>29768</v>
      </c>
      <c r="N38" s="14">
        <v>958117977</v>
      </c>
      <c r="O38" s="11" t="s">
        <v>316</v>
      </c>
      <c r="P38" s="11" t="s">
        <v>317</v>
      </c>
      <c r="Q38" s="11" t="s">
        <v>318</v>
      </c>
      <c r="R38" s="11" t="s">
        <v>107</v>
      </c>
      <c r="S38" s="11" t="s">
        <v>44</v>
      </c>
      <c r="T38" s="11" t="s">
        <v>55</v>
      </c>
      <c r="U38" s="11" t="s">
        <v>68</v>
      </c>
      <c r="V38" s="16" t="s">
        <v>69</v>
      </c>
      <c r="W38" s="16">
        <v>409672</v>
      </c>
      <c r="X38" s="16" t="s">
        <v>48</v>
      </c>
      <c r="Y38" s="17" t="s">
        <v>69</v>
      </c>
      <c r="Z38" s="17">
        <v>409672</v>
      </c>
      <c r="AA38" s="18" t="s">
        <v>49</v>
      </c>
      <c r="AB38" s="18">
        <v>17</v>
      </c>
      <c r="AC38" s="18" t="s">
        <v>1767</v>
      </c>
      <c r="AD38" s="18">
        <v>13</v>
      </c>
      <c r="AE38" s="18" t="s">
        <v>1771</v>
      </c>
      <c r="AF38" s="18">
        <v>17</v>
      </c>
      <c r="AG38" s="18" t="s">
        <v>1767</v>
      </c>
      <c r="AH38" s="18">
        <v>12</v>
      </c>
      <c r="AI38" s="18" t="s">
        <v>1767</v>
      </c>
      <c r="AJ38" s="19" t="str">
        <f t="shared" si="7"/>
        <v>APROBADO</v>
      </c>
    </row>
    <row r="39" spans="1:37" ht="15" hidden="1" customHeight="1" x14ac:dyDescent="0.2">
      <c r="A39" s="9">
        <v>44</v>
      </c>
      <c r="B39" s="10">
        <v>15</v>
      </c>
      <c r="C39" s="10">
        <v>38</v>
      </c>
      <c r="D39" s="11" t="s">
        <v>319</v>
      </c>
      <c r="E39" s="11" t="s">
        <v>320</v>
      </c>
      <c r="F39" s="11" t="s">
        <v>34</v>
      </c>
      <c r="G39" s="11" t="s">
        <v>35</v>
      </c>
      <c r="H39" s="11" t="s">
        <v>321</v>
      </c>
      <c r="I39" s="11" t="s">
        <v>63</v>
      </c>
      <c r="J39" s="11" t="s">
        <v>38</v>
      </c>
      <c r="K39" s="12">
        <v>42378463</v>
      </c>
      <c r="L39" s="12" t="s">
        <v>40</v>
      </c>
      <c r="M39" s="23">
        <v>29909</v>
      </c>
      <c r="N39" s="14">
        <v>957354542</v>
      </c>
      <c r="O39" s="11" t="s">
        <v>322</v>
      </c>
      <c r="P39" s="11" t="s">
        <v>323</v>
      </c>
      <c r="Q39" s="11" t="s">
        <v>293</v>
      </c>
      <c r="R39" s="11" t="s">
        <v>44</v>
      </c>
      <c r="S39" s="11" t="s">
        <v>44</v>
      </c>
      <c r="T39" s="11" t="s">
        <v>55</v>
      </c>
      <c r="U39" s="11" t="s">
        <v>324</v>
      </c>
      <c r="V39" s="16" t="s">
        <v>189</v>
      </c>
      <c r="W39" s="16">
        <v>1741123</v>
      </c>
      <c r="X39" s="16" t="s">
        <v>48</v>
      </c>
      <c r="Y39" s="17" t="s">
        <v>189</v>
      </c>
      <c r="Z39" s="17">
        <v>1741123</v>
      </c>
      <c r="AA39" s="18" t="s">
        <v>49</v>
      </c>
      <c r="AB39" s="18">
        <v>18</v>
      </c>
      <c r="AC39" s="18" t="s">
        <v>1767</v>
      </c>
      <c r="AD39" s="18">
        <v>16</v>
      </c>
      <c r="AE39" s="18" t="s">
        <v>1771</v>
      </c>
      <c r="AF39" s="18">
        <v>17</v>
      </c>
      <c r="AG39" s="18" t="s">
        <v>1767</v>
      </c>
      <c r="AH39" s="18">
        <v>15</v>
      </c>
      <c r="AI39" s="18" t="s">
        <v>1767</v>
      </c>
      <c r="AJ39" s="19" t="str">
        <f t="shared" si="7"/>
        <v>APROBADO</v>
      </c>
    </row>
    <row r="40" spans="1:37" ht="15" hidden="1" customHeight="1" x14ac:dyDescent="0.2">
      <c r="A40" s="9">
        <v>44</v>
      </c>
      <c r="B40" s="10">
        <v>44</v>
      </c>
      <c r="C40" s="10">
        <v>39</v>
      </c>
      <c r="D40" s="11" t="s">
        <v>325</v>
      </c>
      <c r="E40" s="11" t="s">
        <v>326</v>
      </c>
      <c r="F40" s="11" t="s">
        <v>34</v>
      </c>
      <c r="G40" s="11" t="s">
        <v>35</v>
      </c>
      <c r="H40" s="11" t="s">
        <v>36</v>
      </c>
      <c r="I40" s="11" t="s">
        <v>37</v>
      </c>
      <c r="J40" s="11" t="s">
        <v>38</v>
      </c>
      <c r="K40" s="12" t="s">
        <v>327</v>
      </c>
      <c r="L40" s="12" t="s">
        <v>40</v>
      </c>
      <c r="M40" s="13">
        <v>22210</v>
      </c>
      <c r="N40" s="14">
        <v>931516822</v>
      </c>
      <c r="O40" s="15" t="s">
        <v>328</v>
      </c>
      <c r="P40" s="11" t="s">
        <v>329</v>
      </c>
      <c r="Q40" s="11" t="s">
        <v>293</v>
      </c>
      <c r="R40" s="11" t="s">
        <v>44</v>
      </c>
      <c r="S40" s="11" t="s">
        <v>44</v>
      </c>
      <c r="T40" s="11" t="s">
        <v>45</v>
      </c>
      <c r="U40" s="11" t="s">
        <v>55</v>
      </c>
      <c r="V40" s="16" t="s">
        <v>47</v>
      </c>
      <c r="W40" s="16">
        <v>592543</v>
      </c>
      <c r="X40" s="16" t="s">
        <v>48</v>
      </c>
      <c r="Y40" s="17" t="s">
        <v>47</v>
      </c>
      <c r="Z40" s="17">
        <v>592543</v>
      </c>
      <c r="AA40" s="18" t="s">
        <v>49</v>
      </c>
      <c r="AB40" s="18">
        <v>15</v>
      </c>
      <c r="AC40" s="18" t="s">
        <v>1767</v>
      </c>
      <c r="AD40" s="18">
        <v>13</v>
      </c>
      <c r="AE40" s="18" t="s">
        <v>1771</v>
      </c>
      <c r="AF40" s="18">
        <v>16</v>
      </c>
      <c r="AG40" s="18" t="s">
        <v>1767</v>
      </c>
      <c r="AH40" s="18">
        <v>12</v>
      </c>
      <c r="AI40" s="18" t="s">
        <v>1767</v>
      </c>
      <c r="AJ40" s="19" t="str">
        <f t="shared" si="7"/>
        <v>APROBADO</v>
      </c>
    </row>
    <row r="41" spans="1:37" ht="15" hidden="1" customHeight="1" x14ac:dyDescent="0.2">
      <c r="A41" s="9">
        <v>44</v>
      </c>
      <c r="B41" s="10">
        <v>14</v>
      </c>
      <c r="C41" s="10">
        <v>40</v>
      </c>
      <c r="D41" s="11" t="s">
        <v>330</v>
      </c>
      <c r="E41" s="11" t="s">
        <v>331</v>
      </c>
      <c r="F41" s="11" t="s">
        <v>34</v>
      </c>
      <c r="G41" s="11" t="s">
        <v>61</v>
      </c>
      <c r="H41" s="11" t="s">
        <v>101</v>
      </c>
      <c r="I41" s="11" t="s">
        <v>132</v>
      </c>
      <c r="J41" s="11" t="s">
        <v>38</v>
      </c>
      <c r="K41" s="12">
        <v>46204894</v>
      </c>
      <c r="L41" s="12" t="s">
        <v>40</v>
      </c>
      <c r="M41" s="23">
        <v>32756</v>
      </c>
      <c r="N41" s="14">
        <v>972785631</v>
      </c>
      <c r="O41" s="11" t="s">
        <v>332</v>
      </c>
      <c r="P41" s="11" t="s">
        <v>333</v>
      </c>
      <c r="Q41" s="11" t="s">
        <v>334</v>
      </c>
      <c r="R41" s="11" t="s">
        <v>94</v>
      </c>
      <c r="S41" s="11" t="s">
        <v>44</v>
      </c>
      <c r="T41" s="11" t="s">
        <v>335</v>
      </c>
      <c r="U41" s="11" t="s">
        <v>281</v>
      </c>
      <c r="V41" s="16" t="s">
        <v>97</v>
      </c>
      <c r="W41" s="16">
        <v>410225</v>
      </c>
      <c r="X41" s="16" t="s">
        <v>85</v>
      </c>
      <c r="Y41" s="17" t="str">
        <f>IF(X41="NO","NO APLICA","ESCRIBA EL NOMBRE DEL IIEE")</f>
        <v>NO APLICA</v>
      </c>
      <c r="Z41" s="17" t="str">
        <f>IF(Y41="NO APLICA","NO APLICA","ESCRIBA EL CÓDIGO MODULAR")</f>
        <v>NO APLICA</v>
      </c>
      <c r="AA41" s="18"/>
      <c r="AB41" s="18">
        <v>16</v>
      </c>
      <c r="AC41" s="18" t="s">
        <v>1767</v>
      </c>
      <c r="AD41" s="18">
        <v>13</v>
      </c>
      <c r="AE41" s="18" t="s">
        <v>1771</v>
      </c>
      <c r="AF41" s="18">
        <v>17</v>
      </c>
      <c r="AG41" s="18" t="s">
        <v>1767</v>
      </c>
      <c r="AH41" s="18">
        <v>13</v>
      </c>
      <c r="AI41" s="18" t="s">
        <v>1767</v>
      </c>
      <c r="AJ41" s="19" t="str">
        <f t="shared" si="7"/>
        <v>APROBADO</v>
      </c>
    </row>
    <row r="42" spans="1:37" ht="15" hidden="1" customHeight="1" x14ac:dyDescent="0.2">
      <c r="A42" s="9">
        <v>44</v>
      </c>
      <c r="B42" s="10">
        <v>29</v>
      </c>
      <c r="C42" s="10">
        <v>41</v>
      </c>
      <c r="D42" s="11" t="s">
        <v>336</v>
      </c>
      <c r="E42" s="11" t="s">
        <v>337</v>
      </c>
      <c r="F42" s="11" t="s">
        <v>60</v>
      </c>
      <c r="G42" s="11" t="s">
        <v>61</v>
      </c>
      <c r="H42" s="11" t="s">
        <v>193</v>
      </c>
      <c r="I42" s="11" t="s">
        <v>132</v>
      </c>
      <c r="J42" s="11" t="s">
        <v>38</v>
      </c>
      <c r="K42" s="12" t="s">
        <v>338</v>
      </c>
      <c r="L42" s="12" t="s">
        <v>40</v>
      </c>
      <c r="M42" s="23">
        <v>35110</v>
      </c>
      <c r="N42" s="14">
        <v>952480067</v>
      </c>
      <c r="O42" s="11" t="s">
        <v>339</v>
      </c>
      <c r="P42" s="11" t="s">
        <v>340</v>
      </c>
      <c r="Q42" s="11" t="s">
        <v>341</v>
      </c>
      <c r="R42" s="11" t="s">
        <v>107</v>
      </c>
      <c r="S42" s="11" t="s">
        <v>44</v>
      </c>
      <c r="T42" s="11" t="s">
        <v>55</v>
      </c>
      <c r="U42" s="11" t="s">
        <v>342</v>
      </c>
      <c r="V42" s="16" t="s">
        <v>69</v>
      </c>
      <c r="W42" s="16">
        <v>409672</v>
      </c>
      <c r="X42" s="16" t="s">
        <v>48</v>
      </c>
      <c r="Y42" s="17" t="s">
        <v>304</v>
      </c>
      <c r="Z42" s="17">
        <v>204974</v>
      </c>
      <c r="AA42" s="18" t="s">
        <v>49</v>
      </c>
      <c r="AB42" s="18">
        <v>14</v>
      </c>
      <c r="AC42" s="18" t="s">
        <v>1767</v>
      </c>
      <c r="AD42" s="18">
        <v>11</v>
      </c>
      <c r="AE42" s="18" t="s">
        <v>1769</v>
      </c>
      <c r="AF42" s="18">
        <v>16</v>
      </c>
      <c r="AG42" s="18" t="s">
        <v>1767</v>
      </c>
      <c r="AH42" s="18">
        <v>12</v>
      </c>
      <c r="AI42" s="18" t="s">
        <v>1767</v>
      </c>
      <c r="AJ42" s="19" t="str">
        <f t="shared" si="7"/>
        <v>APROBADO</v>
      </c>
    </row>
    <row r="43" spans="1:37" ht="15" hidden="1" customHeight="1" x14ac:dyDescent="0.2">
      <c r="A43" s="9">
        <v>44</v>
      </c>
      <c r="B43" s="10">
        <v>32</v>
      </c>
      <c r="C43" s="10">
        <v>42</v>
      </c>
      <c r="D43" s="11" t="s">
        <v>343</v>
      </c>
      <c r="E43" s="11" t="s">
        <v>344</v>
      </c>
      <c r="F43" s="11" t="s">
        <v>34</v>
      </c>
      <c r="G43" s="11" t="s">
        <v>35</v>
      </c>
      <c r="H43" s="11" t="s">
        <v>122</v>
      </c>
      <c r="I43" s="11" t="s">
        <v>102</v>
      </c>
      <c r="J43" s="11" t="s">
        <v>38</v>
      </c>
      <c r="K43" s="12">
        <v>23890272</v>
      </c>
      <c r="L43" s="12" t="s">
        <v>40</v>
      </c>
      <c r="M43" s="23">
        <v>22606</v>
      </c>
      <c r="N43" s="14">
        <v>973141908</v>
      </c>
      <c r="O43" s="11" t="s">
        <v>345</v>
      </c>
      <c r="P43" s="11" t="s">
        <v>346</v>
      </c>
      <c r="Q43" s="11" t="s">
        <v>347</v>
      </c>
      <c r="R43" s="11" t="s">
        <v>107</v>
      </c>
      <c r="S43" s="11" t="s">
        <v>44</v>
      </c>
      <c r="T43" s="11" t="s">
        <v>45</v>
      </c>
      <c r="U43" s="11" t="s">
        <v>77</v>
      </c>
      <c r="V43" s="16" t="s">
        <v>69</v>
      </c>
      <c r="W43" s="16">
        <v>409672</v>
      </c>
      <c r="X43" s="16" t="s">
        <v>48</v>
      </c>
      <c r="Y43" s="17" t="s">
        <v>69</v>
      </c>
      <c r="Z43" s="17">
        <v>409672</v>
      </c>
      <c r="AA43" s="18" t="s">
        <v>49</v>
      </c>
      <c r="AB43" s="18">
        <v>14</v>
      </c>
      <c r="AC43" s="18" t="s">
        <v>1767</v>
      </c>
      <c r="AD43" s="18">
        <v>11</v>
      </c>
      <c r="AE43" s="18" t="s">
        <v>1769</v>
      </c>
      <c r="AF43" s="18">
        <v>11</v>
      </c>
      <c r="AG43" s="18" t="s">
        <v>1768</v>
      </c>
      <c r="AH43" s="18">
        <v>13</v>
      </c>
      <c r="AI43" s="18" t="s">
        <v>1767</v>
      </c>
      <c r="AJ43" s="19" t="str">
        <f t="shared" si="7"/>
        <v>APROBADO</v>
      </c>
    </row>
    <row r="44" spans="1:37" ht="15" hidden="1" customHeight="1" x14ac:dyDescent="0.2">
      <c r="A44" s="9">
        <v>44</v>
      </c>
      <c r="B44" s="10">
        <v>33</v>
      </c>
      <c r="C44" s="10">
        <v>43</v>
      </c>
      <c r="D44" s="11" t="s">
        <v>348</v>
      </c>
      <c r="E44" s="11" t="s">
        <v>349</v>
      </c>
      <c r="F44" s="11" t="s">
        <v>34</v>
      </c>
      <c r="G44" s="11" t="s">
        <v>35</v>
      </c>
      <c r="H44" s="11" t="s">
        <v>101</v>
      </c>
      <c r="I44" s="11" t="s">
        <v>123</v>
      </c>
      <c r="J44" s="11" t="s">
        <v>38</v>
      </c>
      <c r="K44" s="12" t="s">
        <v>350</v>
      </c>
      <c r="L44" s="12" t="s">
        <v>40</v>
      </c>
      <c r="M44" s="23">
        <v>27822</v>
      </c>
      <c r="N44" s="14">
        <v>963771091</v>
      </c>
      <c r="O44" s="11" t="s">
        <v>351</v>
      </c>
      <c r="P44" s="11" t="s">
        <v>352</v>
      </c>
      <c r="Q44" s="11" t="s">
        <v>44</v>
      </c>
      <c r="R44" s="11" t="s">
        <v>44</v>
      </c>
      <c r="S44" s="11" t="s">
        <v>44</v>
      </c>
      <c r="T44" s="11" t="s">
        <v>55</v>
      </c>
      <c r="U44" s="11" t="s">
        <v>257</v>
      </c>
      <c r="V44" s="16" t="s">
        <v>69</v>
      </c>
      <c r="W44" s="16">
        <v>409672</v>
      </c>
      <c r="X44" s="16" t="s">
        <v>85</v>
      </c>
      <c r="Y44" s="17" t="str">
        <f t="shared" ref="Y44:Y46" si="10">IF(X44="NO","NO APLICA","ESCRIBA EL NOMBRE DEL IIEE")</f>
        <v>NO APLICA</v>
      </c>
      <c r="Z44" s="17" t="str">
        <f t="shared" ref="Z44:Z46" si="11">IF(Y44="NO APLICA","NO APLICA","ESCRIBA EL CÓDIGO MODULAR")</f>
        <v>NO APLICA</v>
      </c>
      <c r="AA44" s="18"/>
      <c r="AB44" s="18">
        <v>15</v>
      </c>
      <c r="AC44" s="18" t="s">
        <v>1767</v>
      </c>
      <c r="AD44" s="18">
        <v>15</v>
      </c>
      <c r="AE44" s="18" t="s">
        <v>1767</v>
      </c>
      <c r="AF44" s="18">
        <v>12</v>
      </c>
      <c r="AG44" s="18" t="s">
        <v>1767</v>
      </c>
      <c r="AH44" s="18">
        <v>14</v>
      </c>
      <c r="AI44" s="18" t="s">
        <v>1767</v>
      </c>
      <c r="AJ44" s="19" t="str">
        <f t="shared" si="7"/>
        <v>APROBADO</v>
      </c>
    </row>
    <row r="45" spans="1:37" ht="15" hidden="1" customHeight="1" x14ac:dyDescent="0.2">
      <c r="A45" s="9">
        <v>44</v>
      </c>
      <c r="B45" s="10">
        <v>35</v>
      </c>
      <c r="C45" s="10">
        <v>44</v>
      </c>
      <c r="D45" s="11" t="s">
        <v>353</v>
      </c>
      <c r="E45" s="11" t="s">
        <v>354</v>
      </c>
      <c r="F45" s="11" t="s">
        <v>34</v>
      </c>
      <c r="G45" s="11" t="s">
        <v>61</v>
      </c>
      <c r="H45" s="11" t="s">
        <v>62</v>
      </c>
      <c r="I45" s="11" t="s">
        <v>123</v>
      </c>
      <c r="J45" s="11" t="s">
        <v>38</v>
      </c>
      <c r="K45" s="12" t="s">
        <v>355</v>
      </c>
      <c r="L45" s="12" t="s">
        <v>40</v>
      </c>
      <c r="M45" s="23">
        <v>28427</v>
      </c>
      <c r="N45" s="14">
        <v>987955315</v>
      </c>
      <c r="O45" s="11" t="s">
        <v>356</v>
      </c>
      <c r="P45" s="11" t="s">
        <v>357</v>
      </c>
      <c r="Q45" s="11" t="s">
        <v>127</v>
      </c>
      <c r="R45" s="11" t="s">
        <v>107</v>
      </c>
      <c r="S45" s="11" t="s">
        <v>44</v>
      </c>
      <c r="T45" s="25" t="s">
        <v>358</v>
      </c>
      <c r="U45" s="11" t="s">
        <v>257</v>
      </c>
      <c r="V45" s="16" t="s">
        <v>109</v>
      </c>
      <c r="W45" s="16" t="s">
        <v>109</v>
      </c>
      <c r="X45" s="16" t="s">
        <v>85</v>
      </c>
      <c r="Y45" s="17" t="str">
        <f t="shared" si="10"/>
        <v>NO APLICA</v>
      </c>
      <c r="Z45" s="17" t="str">
        <f t="shared" si="11"/>
        <v>NO APLICA</v>
      </c>
      <c r="AA45" s="18"/>
      <c r="AB45" s="18">
        <v>19</v>
      </c>
      <c r="AC45" s="18" t="s">
        <v>1767</v>
      </c>
      <c r="AD45" s="18">
        <v>14</v>
      </c>
      <c r="AE45" s="18" t="s">
        <v>1767</v>
      </c>
      <c r="AF45" s="18">
        <v>16</v>
      </c>
      <c r="AG45" s="18" t="s">
        <v>1767</v>
      </c>
      <c r="AH45" s="18">
        <v>15</v>
      </c>
      <c r="AI45" s="18" t="s">
        <v>1767</v>
      </c>
      <c r="AJ45" s="19" t="str">
        <f t="shared" si="7"/>
        <v>APROBADO</v>
      </c>
    </row>
    <row r="46" spans="1:37" ht="15" hidden="1" customHeight="1" x14ac:dyDescent="0.2">
      <c r="A46" s="9">
        <v>44</v>
      </c>
      <c r="B46" s="10">
        <v>25</v>
      </c>
      <c r="C46" s="10">
        <v>45</v>
      </c>
      <c r="D46" s="11" t="s">
        <v>359</v>
      </c>
      <c r="E46" s="11" t="s">
        <v>360</v>
      </c>
      <c r="F46" s="11" t="s">
        <v>60</v>
      </c>
      <c r="G46" s="11" t="s">
        <v>61</v>
      </c>
      <c r="H46" s="11" t="s">
        <v>193</v>
      </c>
      <c r="I46" s="11" t="s">
        <v>132</v>
      </c>
      <c r="J46" s="11" t="s">
        <v>38</v>
      </c>
      <c r="K46" s="12" t="s">
        <v>361</v>
      </c>
      <c r="L46" s="12" t="s">
        <v>40</v>
      </c>
      <c r="M46" s="23">
        <v>28628</v>
      </c>
      <c r="N46" s="14">
        <v>982350063</v>
      </c>
      <c r="O46" s="11" t="s">
        <v>362</v>
      </c>
      <c r="P46" s="11" t="s">
        <v>363</v>
      </c>
      <c r="Q46" s="11" t="s">
        <v>347</v>
      </c>
      <c r="R46" s="11" t="s">
        <v>107</v>
      </c>
      <c r="S46" s="11" t="s">
        <v>44</v>
      </c>
      <c r="T46" s="11" t="s">
        <v>45</v>
      </c>
      <c r="U46" s="11" t="s">
        <v>144</v>
      </c>
      <c r="V46" s="16" t="s">
        <v>69</v>
      </c>
      <c r="W46" s="16">
        <v>409672</v>
      </c>
      <c r="X46" s="16" t="s">
        <v>85</v>
      </c>
      <c r="Y46" s="17" t="str">
        <f t="shared" si="10"/>
        <v>NO APLICA</v>
      </c>
      <c r="Z46" s="17" t="str">
        <f t="shared" si="11"/>
        <v>NO APLICA</v>
      </c>
      <c r="AA46" s="18"/>
      <c r="AB46" s="18">
        <v>17</v>
      </c>
      <c r="AC46" s="18" t="s">
        <v>1767</v>
      </c>
      <c r="AD46" s="18">
        <v>12</v>
      </c>
      <c r="AE46" s="18" t="s">
        <v>1767</v>
      </c>
      <c r="AF46" s="18">
        <v>17</v>
      </c>
      <c r="AG46" s="18" t="s">
        <v>1767</v>
      </c>
      <c r="AH46" s="18">
        <v>13</v>
      </c>
      <c r="AI46" s="18" t="s">
        <v>1767</v>
      </c>
      <c r="AJ46" s="19" t="str">
        <f t="shared" si="7"/>
        <v>APROBADO</v>
      </c>
    </row>
    <row r="47" spans="1:37" ht="15" hidden="1" customHeight="1" x14ac:dyDescent="0.2">
      <c r="A47" s="9">
        <v>44</v>
      </c>
      <c r="B47" s="10">
        <v>21</v>
      </c>
      <c r="C47" s="10">
        <v>46</v>
      </c>
      <c r="D47" s="11" t="s">
        <v>364</v>
      </c>
      <c r="E47" s="11" t="s">
        <v>365</v>
      </c>
      <c r="F47" s="11" t="s">
        <v>34</v>
      </c>
      <c r="G47" s="11" t="s">
        <v>35</v>
      </c>
      <c r="H47" s="11" t="s">
        <v>73</v>
      </c>
      <c r="I47" s="11" t="s">
        <v>102</v>
      </c>
      <c r="J47" s="11" t="s">
        <v>38</v>
      </c>
      <c r="K47" s="12" t="s">
        <v>366</v>
      </c>
      <c r="L47" s="12" t="s">
        <v>40</v>
      </c>
      <c r="M47" s="23">
        <v>27449</v>
      </c>
      <c r="N47" s="14">
        <v>983877413</v>
      </c>
      <c r="O47" s="11" t="s">
        <v>367</v>
      </c>
      <c r="P47" s="11" t="s">
        <v>368</v>
      </c>
      <c r="Q47" s="11" t="s">
        <v>196</v>
      </c>
      <c r="R47" s="11" t="s">
        <v>94</v>
      </c>
      <c r="S47" s="11" t="s">
        <v>44</v>
      </c>
      <c r="T47" s="11" t="s">
        <v>55</v>
      </c>
      <c r="U47" s="11" t="s">
        <v>369</v>
      </c>
      <c r="V47" s="16" t="s">
        <v>189</v>
      </c>
      <c r="W47" s="16">
        <v>1457605</v>
      </c>
      <c r="X47" s="16" t="s">
        <v>48</v>
      </c>
      <c r="Y47" s="17" t="s">
        <v>304</v>
      </c>
      <c r="Z47" s="17">
        <v>204974</v>
      </c>
      <c r="AA47" s="18" t="s">
        <v>49</v>
      </c>
      <c r="AB47" s="18">
        <v>16</v>
      </c>
      <c r="AC47" s="18" t="s">
        <v>1767</v>
      </c>
      <c r="AD47" s="18">
        <v>12</v>
      </c>
      <c r="AE47" s="18" t="s">
        <v>1767</v>
      </c>
      <c r="AF47" s="18">
        <v>16</v>
      </c>
      <c r="AG47" s="18" t="s">
        <v>1767</v>
      </c>
      <c r="AH47" s="18">
        <v>12</v>
      </c>
      <c r="AI47" s="18" t="s">
        <v>1767</v>
      </c>
      <c r="AJ47" s="19" t="str">
        <f t="shared" si="7"/>
        <v>APROBADO</v>
      </c>
    </row>
    <row r="48" spans="1:37" ht="15" hidden="1" customHeight="1" x14ac:dyDescent="0.2">
      <c r="A48" s="9">
        <v>47</v>
      </c>
      <c r="B48" s="10">
        <v>58</v>
      </c>
      <c r="C48" s="10">
        <v>1</v>
      </c>
      <c r="D48" s="27" t="s">
        <v>370</v>
      </c>
      <c r="E48" s="27" t="s">
        <v>371</v>
      </c>
      <c r="F48" s="28" t="s">
        <v>34</v>
      </c>
      <c r="G48" s="28" t="s">
        <v>372</v>
      </c>
      <c r="H48" s="28" t="s">
        <v>297</v>
      </c>
      <c r="I48" s="28" t="s">
        <v>169</v>
      </c>
      <c r="J48" s="28" t="s">
        <v>38</v>
      </c>
      <c r="K48" s="29" t="s">
        <v>373</v>
      </c>
      <c r="L48" s="29" t="s">
        <v>40</v>
      </c>
      <c r="M48" s="30">
        <v>19137</v>
      </c>
      <c r="N48" s="28">
        <v>927286046</v>
      </c>
      <c r="O48" s="31" t="s">
        <v>374</v>
      </c>
      <c r="P48" s="27" t="s">
        <v>375</v>
      </c>
      <c r="Q48" s="27" t="s">
        <v>376</v>
      </c>
      <c r="R48" s="32" t="s">
        <v>377</v>
      </c>
      <c r="S48" s="32" t="s">
        <v>378</v>
      </c>
      <c r="T48" s="28" t="s">
        <v>95</v>
      </c>
      <c r="U48" s="33" t="s">
        <v>379</v>
      </c>
      <c r="V48" s="34" t="s">
        <v>380</v>
      </c>
      <c r="W48" s="35" t="s">
        <v>380</v>
      </c>
      <c r="X48" s="35" t="s">
        <v>85</v>
      </c>
      <c r="Y48" s="36" t="str">
        <f>IF(X48="NO","NO APLICA","ESCRIBA EL NOMBRE DEL IIEE")</f>
        <v>NO APLICA</v>
      </c>
      <c r="Z48" s="36" t="str">
        <f>IF(Y48="NO APLICA","NO APLICA","ESCRIBA EL CÓDIGO MODULAR")</f>
        <v>NO APLICA</v>
      </c>
      <c r="AA48" s="34" t="s">
        <v>381</v>
      </c>
      <c r="AB48" s="20">
        <v>13</v>
      </c>
      <c r="AC48" s="18" t="s">
        <v>1767</v>
      </c>
      <c r="AD48" s="20">
        <v>16</v>
      </c>
      <c r="AE48" s="18" t="s">
        <v>1767</v>
      </c>
      <c r="AF48" s="20">
        <v>18</v>
      </c>
      <c r="AG48" s="18" t="s">
        <v>1767</v>
      </c>
      <c r="AH48" s="20">
        <v>18</v>
      </c>
      <c r="AI48" s="18" t="s">
        <v>1767</v>
      </c>
      <c r="AJ48" s="19" t="str">
        <f t="shared" si="7"/>
        <v>APROBADO</v>
      </c>
      <c r="AK48" s="217" t="s">
        <v>50</v>
      </c>
    </row>
    <row r="49" spans="1:37" ht="15" hidden="1" customHeight="1" x14ac:dyDescent="0.2">
      <c r="A49" s="9">
        <v>47</v>
      </c>
      <c r="B49" s="10">
        <v>93</v>
      </c>
      <c r="C49" s="10">
        <v>2</v>
      </c>
      <c r="D49" s="33" t="s">
        <v>382</v>
      </c>
      <c r="E49" s="33" t="s">
        <v>383</v>
      </c>
      <c r="F49" s="28" t="s">
        <v>34</v>
      </c>
      <c r="G49" s="35" t="s">
        <v>384</v>
      </c>
      <c r="H49" s="37" t="s">
        <v>385</v>
      </c>
      <c r="I49" s="28" t="s">
        <v>169</v>
      </c>
      <c r="J49" s="28" t="s">
        <v>38</v>
      </c>
      <c r="K49" s="38">
        <v>40997278</v>
      </c>
      <c r="L49" s="38" t="s">
        <v>40</v>
      </c>
      <c r="M49" s="39">
        <v>29838</v>
      </c>
      <c r="N49" s="35">
        <v>935482787</v>
      </c>
      <c r="O49" s="33" t="s">
        <v>386</v>
      </c>
      <c r="P49" s="33" t="s">
        <v>387</v>
      </c>
      <c r="Q49" s="40" t="s">
        <v>388</v>
      </c>
      <c r="R49" s="32" t="s">
        <v>377</v>
      </c>
      <c r="S49" s="32" t="s">
        <v>378</v>
      </c>
      <c r="T49" s="41" t="s">
        <v>95</v>
      </c>
      <c r="U49" s="28" t="s">
        <v>389</v>
      </c>
      <c r="V49" s="34" t="s">
        <v>390</v>
      </c>
      <c r="W49" s="35">
        <v>1210491</v>
      </c>
      <c r="X49" s="35" t="s">
        <v>48</v>
      </c>
      <c r="Y49" s="36" t="s">
        <v>390</v>
      </c>
      <c r="Z49" s="36">
        <v>683466</v>
      </c>
      <c r="AA49" s="34" t="s">
        <v>391</v>
      </c>
      <c r="AB49" s="20">
        <v>8</v>
      </c>
      <c r="AC49" s="20" t="s">
        <v>1769</v>
      </c>
      <c r="AD49" s="20">
        <v>10</v>
      </c>
      <c r="AE49" s="20" t="s">
        <v>1768</v>
      </c>
      <c r="AF49" s="20">
        <v>8</v>
      </c>
      <c r="AG49" s="20" t="s">
        <v>1768</v>
      </c>
      <c r="AH49" s="20">
        <v>9</v>
      </c>
      <c r="AI49" s="20" t="s">
        <v>1769</v>
      </c>
      <c r="AJ49" s="19" t="str">
        <f t="shared" si="7"/>
        <v>DESAPROBADO</v>
      </c>
      <c r="AK49" s="217" t="s">
        <v>57</v>
      </c>
    </row>
    <row r="50" spans="1:37" ht="15" hidden="1" customHeight="1" x14ac:dyDescent="0.25">
      <c r="A50" s="9">
        <v>47</v>
      </c>
      <c r="B50" s="10">
        <v>63</v>
      </c>
      <c r="C50" s="10">
        <v>3</v>
      </c>
      <c r="D50" s="27" t="s">
        <v>392</v>
      </c>
      <c r="E50" s="27" t="s">
        <v>393</v>
      </c>
      <c r="F50" s="28" t="s">
        <v>34</v>
      </c>
      <c r="G50" s="28" t="s">
        <v>372</v>
      </c>
      <c r="H50" s="28" t="s">
        <v>88</v>
      </c>
      <c r="I50" s="28" t="s">
        <v>169</v>
      </c>
      <c r="J50" s="28" t="s">
        <v>38</v>
      </c>
      <c r="K50" s="42" t="s">
        <v>394</v>
      </c>
      <c r="L50" s="42" t="s">
        <v>40</v>
      </c>
      <c r="M50" s="43" t="s">
        <v>395</v>
      </c>
      <c r="N50" s="28">
        <v>965651416</v>
      </c>
      <c r="O50" s="27" t="s">
        <v>396</v>
      </c>
      <c r="P50" s="27" t="s">
        <v>397</v>
      </c>
      <c r="Q50" s="32" t="s">
        <v>388</v>
      </c>
      <c r="R50" s="32" t="s">
        <v>377</v>
      </c>
      <c r="S50" s="32" t="s">
        <v>378</v>
      </c>
      <c r="T50" s="41" t="s">
        <v>95</v>
      </c>
      <c r="U50" s="28" t="s">
        <v>389</v>
      </c>
      <c r="V50" s="34">
        <v>601514</v>
      </c>
      <c r="W50" s="35">
        <v>1154400</v>
      </c>
      <c r="X50" s="35" t="s">
        <v>48</v>
      </c>
      <c r="Y50" s="44">
        <v>601614</v>
      </c>
      <c r="Z50" s="36">
        <v>1320001</v>
      </c>
      <c r="AA50" s="45" t="s">
        <v>381</v>
      </c>
      <c r="AB50" s="20">
        <v>12</v>
      </c>
      <c r="AC50" s="18" t="s">
        <v>1767</v>
      </c>
      <c r="AD50" s="20">
        <v>12</v>
      </c>
      <c r="AE50" s="18" t="s">
        <v>1767</v>
      </c>
      <c r="AF50" s="20">
        <v>13</v>
      </c>
      <c r="AG50" s="18" t="s">
        <v>1767</v>
      </c>
      <c r="AH50" s="20">
        <v>11</v>
      </c>
      <c r="AI50" s="20" t="s">
        <v>1768</v>
      </c>
      <c r="AJ50" s="19" t="str">
        <f t="shared" si="7"/>
        <v>APROBADO</v>
      </c>
      <c r="AK50" s="217" t="s">
        <v>50</v>
      </c>
    </row>
    <row r="51" spans="1:37" ht="15" hidden="1" customHeight="1" x14ac:dyDescent="0.2">
      <c r="A51" s="9">
        <v>47</v>
      </c>
      <c r="B51" s="10">
        <v>92</v>
      </c>
      <c r="C51" s="10">
        <v>4</v>
      </c>
      <c r="D51" s="27" t="s">
        <v>398</v>
      </c>
      <c r="E51" s="27" t="s">
        <v>399</v>
      </c>
      <c r="F51" s="28" t="s">
        <v>34</v>
      </c>
      <c r="G51" s="28" t="s">
        <v>384</v>
      </c>
      <c r="H51" s="35" t="s">
        <v>168</v>
      </c>
      <c r="I51" s="28" t="s">
        <v>169</v>
      </c>
      <c r="J51" s="28" t="s">
        <v>38</v>
      </c>
      <c r="K51" s="42">
        <v>10862031</v>
      </c>
      <c r="L51" s="42" t="s">
        <v>40</v>
      </c>
      <c r="M51" s="30">
        <v>25755</v>
      </c>
      <c r="N51" s="28">
        <v>995758913</v>
      </c>
      <c r="O51" s="31" t="s">
        <v>400</v>
      </c>
      <c r="P51" s="33" t="s">
        <v>401</v>
      </c>
      <c r="Q51" s="27" t="s">
        <v>388</v>
      </c>
      <c r="R51" s="32" t="s">
        <v>377</v>
      </c>
      <c r="S51" s="32" t="s">
        <v>378</v>
      </c>
      <c r="T51" s="41" t="s">
        <v>95</v>
      </c>
      <c r="U51" s="35" t="s">
        <v>402</v>
      </c>
      <c r="V51" s="34" t="s">
        <v>380</v>
      </c>
      <c r="W51" s="35" t="s">
        <v>380</v>
      </c>
      <c r="X51" s="46" t="s">
        <v>48</v>
      </c>
      <c r="Y51" s="35" t="s">
        <v>380</v>
      </c>
      <c r="Z51" s="35" t="s">
        <v>380</v>
      </c>
      <c r="AA51" s="45" t="s">
        <v>391</v>
      </c>
      <c r="AB51" s="20">
        <v>17</v>
      </c>
      <c r="AC51" s="18" t="s">
        <v>1767</v>
      </c>
      <c r="AD51" s="20">
        <v>16</v>
      </c>
      <c r="AE51" s="18" t="s">
        <v>1767</v>
      </c>
      <c r="AF51" s="20">
        <v>17</v>
      </c>
      <c r="AG51" s="18" t="s">
        <v>1767</v>
      </c>
      <c r="AH51" s="20">
        <v>15</v>
      </c>
      <c r="AI51" s="18" t="s">
        <v>1767</v>
      </c>
      <c r="AJ51" s="19" t="str">
        <f t="shared" si="7"/>
        <v>APROBADO</v>
      </c>
      <c r="AK51" s="217" t="s">
        <v>50</v>
      </c>
    </row>
    <row r="52" spans="1:37" ht="15" hidden="1" customHeight="1" x14ac:dyDescent="0.2">
      <c r="A52" s="9">
        <v>47</v>
      </c>
      <c r="B52" s="10">
        <v>64</v>
      </c>
      <c r="C52" s="10">
        <v>5</v>
      </c>
      <c r="D52" s="33" t="s">
        <v>403</v>
      </c>
      <c r="E52" s="33" t="s">
        <v>404</v>
      </c>
      <c r="F52" s="28" t="s">
        <v>34</v>
      </c>
      <c r="G52" s="35" t="s">
        <v>384</v>
      </c>
      <c r="H52" s="35" t="s">
        <v>216</v>
      </c>
      <c r="I52" s="28" t="s">
        <v>169</v>
      </c>
      <c r="J52" s="28" t="s">
        <v>38</v>
      </c>
      <c r="K52" s="38" t="s">
        <v>405</v>
      </c>
      <c r="L52" s="38" t="s">
        <v>40</v>
      </c>
      <c r="M52" s="39">
        <v>26054</v>
      </c>
      <c r="N52" s="35">
        <v>942676000</v>
      </c>
      <c r="O52" s="33" t="s">
        <v>406</v>
      </c>
      <c r="P52" s="33" t="s">
        <v>407</v>
      </c>
      <c r="Q52" s="40" t="s">
        <v>408</v>
      </c>
      <c r="R52" s="32" t="s">
        <v>377</v>
      </c>
      <c r="S52" s="32" t="s">
        <v>378</v>
      </c>
      <c r="T52" s="41" t="s">
        <v>95</v>
      </c>
      <c r="U52" s="28" t="s">
        <v>389</v>
      </c>
      <c r="V52" s="34">
        <v>601514</v>
      </c>
      <c r="W52" s="35">
        <v>1154400</v>
      </c>
      <c r="X52" s="35" t="s">
        <v>48</v>
      </c>
      <c r="Y52" s="36">
        <v>601514</v>
      </c>
      <c r="Z52" s="36">
        <v>1154400</v>
      </c>
      <c r="AA52" s="45" t="s">
        <v>381</v>
      </c>
      <c r="AB52" s="20">
        <v>13</v>
      </c>
      <c r="AC52" s="18" t="s">
        <v>1767</v>
      </c>
      <c r="AD52" s="20">
        <v>14</v>
      </c>
      <c r="AE52" s="18" t="s">
        <v>1767</v>
      </c>
      <c r="AF52" s="20">
        <v>11</v>
      </c>
      <c r="AG52" s="20" t="s">
        <v>1768</v>
      </c>
      <c r="AH52" s="20">
        <v>11</v>
      </c>
      <c r="AI52" s="20" t="s">
        <v>1768</v>
      </c>
      <c r="AJ52" s="19" t="str">
        <f t="shared" si="7"/>
        <v>APROBADO</v>
      </c>
      <c r="AK52" s="217" t="s">
        <v>50</v>
      </c>
    </row>
    <row r="53" spans="1:37" ht="15" hidden="1" customHeight="1" x14ac:dyDescent="0.2">
      <c r="A53" s="9">
        <v>47</v>
      </c>
      <c r="B53" s="10">
        <v>82</v>
      </c>
      <c r="C53" s="10">
        <v>6</v>
      </c>
      <c r="D53" s="27" t="s">
        <v>409</v>
      </c>
      <c r="E53" s="27" t="s">
        <v>410</v>
      </c>
      <c r="F53" s="28" t="s">
        <v>34</v>
      </c>
      <c r="G53" s="28" t="s">
        <v>372</v>
      </c>
      <c r="H53" s="28" t="s">
        <v>297</v>
      </c>
      <c r="I53" s="28" t="s">
        <v>169</v>
      </c>
      <c r="J53" s="28" t="s">
        <v>38</v>
      </c>
      <c r="K53" s="29" t="s">
        <v>411</v>
      </c>
      <c r="L53" s="29" t="s">
        <v>40</v>
      </c>
      <c r="M53" s="43" t="s">
        <v>412</v>
      </c>
      <c r="N53" s="28">
        <v>961846533</v>
      </c>
      <c r="O53" s="27" t="s">
        <v>413</v>
      </c>
      <c r="P53" s="27" t="s">
        <v>414</v>
      </c>
      <c r="Q53" s="32" t="s">
        <v>376</v>
      </c>
      <c r="R53" s="32" t="s">
        <v>377</v>
      </c>
      <c r="S53" s="32" t="s">
        <v>378</v>
      </c>
      <c r="T53" s="41" t="s">
        <v>95</v>
      </c>
      <c r="U53" s="28" t="s">
        <v>389</v>
      </c>
      <c r="V53" s="34">
        <v>60133</v>
      </c>
      <c r="W53" s="35">
        <v>398313</v>
      </c>
      <c r="X53" s="35" t="s">
        <v>85</v>
      </c>
      <c r="Y53" s="36" t="str">
        <f t="shared" ref="Y53:Y58" si="12">IF(X53="NO","NO APLICA","ESCRIBA EL NOMBRE DEL IIEE")</f>
        <v>NO APLICA</v>
      </c>
      <c r="Z53" s="36" t="str">
        <f t="shared" ref="Z53:Z58" si="13">IF(Y53="NO APLICA","NO APLICA","ESCRIBA EL CÓDIGO MODULAR")</f>
        <v>NO APLICA</v>
      </c>
      <c r="AA53" s="45" t="s">
        <v>381</v>
      </c>
      <c r="AB53" s="20">
        <v>13</v>
      </c>
      <c r="AC53" s="18" t="s">
        <v>1767</v>
      </c>
      <c r="AD53" s="20">
        <v>11</v>
      </c>
      <c r="AE53" s="20" t="s">
        <v>1768</v>
      </c>
      <c r="AF53" s="20">
        <v>15</v>
      </c>
      <c r="AG53" s="18" t="s">
        <v>1767</v>
      </c>
      <c r="AH53" s="20">
        <v>11</v>
      </c>
      <c r="AI53" s="20" t="s">
        <v>1768</v>
      </c>
      <c r="AJ53" s="19" t="str">
        <f t="shared" si="7"/>
        <v>APROBADO</v>
      </c>
      <c r="AK53" s="217" t="s">
        <v>50</v>
      </c>
    </row>
    <row r="54" spans="1:37" ht="15" hidden="1" customHeight="1" x14ac:dyDescent="0.2">
      <c r="A54" s="9">
        <v>47</v>
      </c>
      <c r="B54" s="10">
        <v>60</v>
      </c>
      <c r="C54" s="10">
        <v>7</v>
      </c>
      <c r="D54" s="27" t="s">
        <v>415</v>
      </c>
      <c r="E54" s="27" t="s">
        <v>416</v>
      </c>
      <c r="F54" s="28" t="s">
        <v>34</v>
      </c>
      <c r="G54" s="28" t="s">
        <v>384</v>
      </c>
      <c r="H54" s="28" t="s">
        <v>168</v>
      </c>
      <c r="I54" s="28" t="s">
        <v>169</v>
      </c>
      <c r="J54" s="28" t="s">
        <v>38</v>
      </c>
      <c r="K54" s="42" t="s">
        <v>417</v>
      </c>
      <c r="L54" s="29" t="s">
        <v>40</v>
      </c>
      <c r="M54" s="30">
        <v>21124</v>
      </c>
      <c r="N54" s="28" t="s">
        <v>418</v>
      </c>
      <c r="O54" s="47" t="s">
        <v>419</v>
      </c>
      <c r="P54" s="33" t="s">
        <v>401</v>
      </c>
      <c r="Q54" s="32" t="s">
        <v>388</v>
      </c>
      <c r="R54" s="32" t="s">
        <v>377</v>
      </c>
      <c r="S54" s="32" t="s">
        <v>378</v>
      </c>
      <c r="T54" s="41" t="s">
        <v>95</v>
      </c>
      <c r="U54" s="33" t="s">
        <v>379</v>
      </c>
      <c r="V54" s="34">
        <v>60133</v>
      </c>
      <c r="W54" s="35">
        <v>398313</v>
      </c>
      <c r="X54" s="35" t="s">
        <v>85</v>
      </c>
      <c r="Y54" s="36" t="str">
        <f t="shared" si="12"/>
        <v>NO APLICA</v>
      </c>
      <c r="Z54" s="36" t="str">
        <f t="shared" si="13"/>
        <v>NO APLICA</v>
      </c>
      <c r="AA54" s="45" t="s">
        <v>381</v>
      </c>
      <c r="AB54" s="20">
        <v>11</v>
      </c>
      <c r="AC54" s="20" t="s">
        <v>1769</v>
      </c>
      <c r="AD54" s="20">
        <v>11</v>
      </c>
      <c r="AE54" s="20" t="s">
        <v>1768</v>
      </c>
      <c r="AF54" s="20">
        <v>12</v>
      </c>
      <c r="AG54" s="18" t="s">
        <v>1767</v>
      </c>
      <c r="AH54" s="20">
        <v>15</v>
      </c>
      <c r="AI54" s="18" t="s">
        <v>1767</v>
      </c>
      <c r="AJ54" s="19" t="str">
        <f t="shared" si="7"/>
        <v>APROBADO</v>
      </c>
      <c r="AK54" s="217" t="s">
        <v>50</v>
      </c>
    </row>
    <row r="55" spans="1:37" ht="15" hidden="1" customHeight="1" x14ac:dyDescent="0.2">
      <c r="A55" s="9">
        <v>47</v>
      </c>
      <c r="B55" s="10">
        <v>80</v>
      </c>
      <c r="C55" s="10">
        <v>8</v>
      </c>
      <c r="D55" s="27" t="s">
        <v>420</v>
      </c>
      <c r="E55" s="27" t="s">
        <v>421</v>
      </c>
      <c r="F55" s="28" t="s">
        <v>34</v>
      </c>
      <c r="G55" s="28" t="s">
        <v>372</v>
      </c>
      <c r="H55" s="35" t="s">
        <v>385</v>
      </c>
      <c r="I55" s="28" t="s">
        <v>169</v>
      </c>
      <c r="J55" s="28" t="s">
        <v>38</v>
      </c>
      <c r="K55" s="42" t="s">
        <v>422</v>
      </c>
      <c r="L55" s="42" t="s">
        <v>40</v>
      </c>
      <c r="M55" s="43" t="s">
        <v>423</v>
      </c>
      <c r="N55" s="28">
        <v>949193757</v>
      </c>
      <c r="O55" s="27" t="s">
        <v>424</v>
      </c>
      <c r="P55" s="27" t="s">
        <v>425</v>
      </c>
      <c r="Q55" s="32" t="s">
        <v>376</v>
      </c>
      <c r="R55" s="32" t="s">
        <v>377</v>
      </c>
      <c r="S55" s="32" t="s">
        <v>378</v>
      </c>
      <c r="T55" s="41" t="s">
        <v>95</v>
      </c>
      <c r="U55" s="28" t="s">
        <v>389</v>
      </c>
      <c r="V55" s="48">
        <v>601331</v>
      </c>
      <c r="W55" s="35">
        <v>1147735</v>
      </c>
      <c r="X55" s="35" t="s">
        <v>85</v>
      </c>
      <c r="Y55" s="36" t="str">
        <f t="shared" si="12"/>
        <v>NO APLICA</v>
      </c>
      <c r="Z55" s="36" t="str">
        <f t="shared" si="13"/>
        <v>NO APLICA</v>
      </c>
      <c r="AA55" s="45" t="s">
        <v>381</v>
      </c>
      <c r="AB55" s="20">
        <v>16</v>
      </c>
      <c r="AC55" s="18" t="s">
        <v>1767</v>
      </c>
      <c r="AD55" s="20">
        <v>15</v>
      </c>
      <c r="AE55" s="20" t="s">
        <v>1771</v>
      </c>
      <c r="AF55" s="20">
        <v>14</v>
      </c>
      <c r="AG55" s="18" t="s">
        <v>1767</v>
      </c>
      <c r="AH55" s="20">
        <v>12</v>
      </c>
      <c r="AI55" s="18" t="s">
        <v>1767</v>
      </c>
      <c r="AJ55" s="19" t="str">
        <f t="shared" si="7"/>
        <v>APROBADO</v>
      </c>
      <c r="AK55" s="217" t="s">
        <v>50</v>
      </c>
    </row>
    <row r="56" spans="1:37" ht="15" hidden="1" customHeight="1" x14ac:dyDescent="0.2">
      <c r="A56" s="9">
        <v>47</v>
      </c>
      <c r="B56" s="10">
        <v>96</v>
      </c>
      <c r="C56" s="10">
        <v>9</v>
      </c>
      <c r="D56" s="27" t="s">
        <v>426</v>
      </c>
      <c r="E56" s="27" t="s">
        <v>427</v>
      </c>
      <c r="F56" s="28" t="s">
        <v>34</v>
      </c>
      <c r="G56" s="28" t="s">
        <v>384</v>
      </c>
      <c r="H56" s="28" t="s">
        <v>216</v>
      </c>
      <c r="I56" s="28" t="s">
        <v>169</v>
      </c>
      <c r="J56" s="28" t="s">
        <v>38</v>
      </c>
      <c r="K56" s="29" t="s">
        <v>428</v>
      </c>
      <c r="L56" s="42" t="s">
        <v>40</v>
      </c>
      <c r="M56" s="30">
        <v>30955</v>
      </c>
      <c r="N56" s="28">
        <v>965898361</v>
      </c>
      <c r="O56" s="27" t="s">
        <v>429</v>
      </c>
      <c r="P56" s="27" t="s">
        <v>430</v>
      </c>
      <c r="Q56" s="27" t="s">
        <v>376</v>
      </c>
      <c r="R56" s="32" t="s">
        <v>377</v>
      </c>
      <c r="S56" s="32" t="s">
        <v>378</v>
      </c>
      <c r="T56" s="41" t="s">
        <v>95</v>
      </c>
      <c r="U56" s="28" t="s">
        <v>389</v>
      </c>
      <c r="V56" s="34">
        <v>601331</v>
      </c>
      <c r="W56" s="35">
        <v>1147735</v>
      </c>
      <c r="X56" s="35" t="s">
        <v>85</v>
      </c>
      <c r="Y56" s="36" t="str">
        <f t="shared" si="12"/>
        <v>NO APLICA</v>
      </c>
      <c r="Z56" s="36" t="str">
        <f t="shared" si="13"/>
        <v>NO APLICA</v>
      </c>
      <c r="AA56" s="45" t="s">
        <v>391</v>
      </c>
      <c r="AB56" s="20">
        <v>16</v>
      </c>
      <c r="AC56" s="18" t="s">
        <v>1767</v>
      </c>
      <c r="AD56" s="20">
        <v>14</v>
      </c>
      <c r="AE56" s="20" t="s">
        <v>1771</v>
      </c>
      <c r="AF56" s="20">
        <v>16</v>
      </c>
      <c r="AG56" s="18" t="s">
        <v>1767</v>
      </c>
      <c r="AH56" s="20">
        <v>13</v>
      </c>
      <c r="AI56" s="18" t="s">
        <v>1767</v>
      </c>
      <c r="AJ56" s="19" t="str">
        <f t="shared" si="7"/>
        <v>APROBADO</v>
      </c>
      <c r="AK56" s="217" t="s">
        <v>50</v>
      </c>
    </row>
    <row r="57" spans="1:37" ht="15" hidden="1" customHeight="1" x14ac:dyDescent="0.2">
      <c r="A57" s="9">
        <v>47</v>
      </c>
      <c r="B57" s="10">
        <v>95</v>
      </c>
      <c r="C57" s="10">
        <v>10</v>
      </c>
      <c r="D57" s="27" t="s">
        <v>431</v>
      </c>
      <c r="E57" s="27" t="s">
        <v>432</v>
      </c>
      <c r="F57" s="28"/>
      <c r="G57" s="28"/>
      <c r="H57" s="28"/>
      <c r="I57" s="28"/>
      <c r="J57" s="28"/>
      <c r="K57" s="42"/>
      <c r="L57" s="29" t="s">
        <v>40</v>
      </c>
      <c r="M57" s="43" t="s">
        <v>433</v>
      </c>
      <c r="N57" s="28">
        <v>950654817</v>
      </c>
      <c r="O57" s="27" t="s">
        <v>434</v>
      </c>
      <c r="P57" s="27" t="s">
        <v>435</v>
      </c>
      <c r="Q57" s="32" t="s">
        <v>376</v>
      </c>
      <c r="R57" s="32" t="s">
        <v>377</v>
      </c>
      <c r="S57" s="32" t="s">
        <v>378</v>
      </c>
      <c r="T57" s="41" t="s">
        <v>95</v>
      </c>
      <c r="U57" s="28" t="s">
        <v>389</v>
      </c>
      <c r="V57" s="48" t="s">
        <v>380</v>
      </c>
      <c r="W57" s="35" t="s">
        <v>380</v>
      </c>
      <c r="X57" s="35" t="s">
        <v>85</v>
      </c>
      <c r="Y57" s="36" t="str">
        <f t="shared" si="12"/>
        <v>NO APLICA</v>
      </c>
      <c r="Z57" s="36" t="str">
        <f t="shared" si="13"/>
        <v>NO APLICA</v>
      </c>
      <c r="AA57" s="45" t="s">
        <v>391</v>
      </c>
      <c r="AB57" s="20">
        <v>7</v>
      </c>
      <c r="AC57" s="20" t="s">
        <v>1772</v>
      </c>
      <c r="AD57" s="20">
        <v>11</v>
      </c>
      <c r="AE57" s="20" t="s">
        <v>1768</v>
      </c>
      <c r="AF57" s="20">
        <v>10</v>
      </c>
      <c r="AG57" s="20" t="s">
        <v>1768</v>
      </c>
      <c r="AH57" s="20">
        <v>7</v>
      </c>
      <c r="AI57" s="20" t="s">
        <v>1770</v>
      </c>
      <c r="AJ57" s="19" t="s">
        <v>70</v>
      </c>
      <c r="AK57" s="217" t="s">
        <v>70</v>
      </c>
    </row>
    <row r="58" spans="1:37" ht="15" hidden="1" customHeight="1" x14ac:dyDescent="0.2">
      <c r="A58" s="9">
        <v>47</v>
      </c>
      <c r="B58" s="10">
        <v>48</v>
      </c>
      <c r="C58" s="10">
        <v>11</v>
      </c>
      <c r="D58" s="27" t="s">
        <v>436</v>
      </c>
      <c r="E58" s="27" t="s">
        <v>437</v>
      </c>
      <c r="F58" s="28" t="s">
        <v>34</v>
      </c>
      <c r="G58" s="28" t="s">
        <v>384</v>
      </c>
      <c r="H58" s="28" t="s">
        <v>168</v>
      </c>
      <c r="I58" s="28" t="s">
        <v>169</v>
      </c>
      <c r="J58" s="28" t="s">
        <v>38</v>
      </c>
      <c r="K58" s="42" t="s">
        <v>438</v>
      </c>
      <c r="L58" s="42" t="s">
        <v>40</v>
      </c>
      <c r="M58" s="43" t="s">
        <v>439</v>
      </c>
      <c r="N58" s="28">
        <v>965816087</v>
      </c>
      <c r="O58" s="27" t="s">
        <v>440</v>
      </c>
      <c r="P58" s="27" t="s">
        <v>441</v>
      </c>
      <c r="Q58" s="27" t="s">
        <v>376</v>
      </c>
      <c r="R58" s="32" t="s">
        <v>377</v>
      </c>
      <c r="S58" s="32" t="s">
        <v>378</v>
      </c>
      <c r="T58" s="28" t="s">
        <v>95</v>
      </c>
      <c r="U58" s="28" t="s">
        <v>389</v>
      </c>
      <c r="V58" s="34">
        <v>405</v>
      </c>
      <c r="W58" s="35">
        <v>398313</v>
      </c>
      <c r="X58" s="35" t="s">
        <v>85</v>
      </c>
      <c r="Y58" s="36" t="str">
        <f t="shared" si="12"/>
        <v>NO APLICA</v>
      </c>
      <c r="Z58" s="36" t="str">
        <f t="shared" si="13"/>
        <v>NO APLICA</v>
      </c>
      <c r="AA58" s="45" t="s">
        <v>442</v>
      </c>
      <c r="AB58" s="20">
        <v>12</v>
      </c>
      <c r="AC58" s="214" t="s">
        <v>1771</v>
      </c>
      <c r="AD58" s="20">
        <v>14</v>
      </c>
      <c r="AE58" s="20" t="s">
        <v>1771</v>
      </c>
      <c r="AF58" s="20">
        <v>14</v>
      </c>
      <c r="AG58" s="18" t="s">
        <v>1767</v>
      </c>
      <c r="AH58" s="20">
        <v>13</v>
      </c>
      <c r="AI58" s="18" t="s">
        <v>1767</v>
      </c>
      <c r="AJ58" s="19" t="str">
        <f t="shared" si="7"/>
        <v>APROBADO</v>
      </c>
      <c r="AK58" s="217" t="s">
        <v>50</v>
      </c>
    </row>
    <row r="59" spans="1:37" ht="15" hidden="1" customHeight="1" x14ac:dyDescent="0.2">
      <c r="A59" s="9">
        <v>47</v>
      </c>
      <c r="B59" s="10">
        <v>99</v>
      </c>
      <c r="C59" s="10">
        <v>12</v>
      </c>
      <c r="D59" s="27" t="s">
        <v>443</v>
      </c>
      <c r="E59" s="27" t="s">
        <v>444</v>
      </c>
      <c r="F59" s="28" t="s">
        <v>34</v>
      </c>
      <c r="G59" s="28" t="s">
        <v>372</v>
      </c>
      <c r="H59" s="28" t="s">
        <v>88</v>
      </c>
      <c r="I59" s="28" t="s">
        <v>169</v>
      </c>
      <c r="J59" s="28" t="s">
        <v>38</v>
      </c>
      <c r="K59" s="29" t="s">
        <v>445</v>
      </c>
      <c r="L59" s="29" t="s">
        <v>40</v>
      </c>
      <c r="M59" s="30">
        <v>30</v>
      </c>
      <c r="N59" s="28">
        <v>978359537</v>
      </c>
      <c r="O59" s="31" t="s">
        <v>446</v>
      </c>
      <c r="P59" s="27" t="s">
        <v>447</v>
      </c>
      <c r="Q59" s="27" t="s">
        <v>448</v>
      </c>
      <c r="R59" s="32" t="s">
        <v>377</v>
      </c>
      <c r="S59" s="32" t="s">
        <v>378</v>
      </c>
      <c r="T59" s="28" t="s">
        <v>95</v>
      </c>
      <c r="U59" s="28" t="s">
        <v>389</v>
      </c>
      <c r="V59" s="34" t="s">
        <v>449</v>
      </c>
      <c r="W59" s="35">
        <v>682211</v>
      </c>
      <c r="X59" s="35" t="s">
        <v>48</v>
      </c>
      <c r="Y59" s="49" t="s">
        <v>449</v>
      </c>
      <c r="Z59" s="50">
        <v>682211</v>
      </c>
      <c r="AA59" s="45" t="s">
        <v>391</v>
      </c>
      <c r="AB59" s="20">
        <v>11</v>
      </c>
      <c r="AC59" s="20" t="s">
        <v>1768</v>
      </c>
      <c r="AD59" s="20">
        <v>11</v>
      </c>
      <c r="AE59" s="20" t="s">
        <v>1768</v>
      </c>
      <c r="AF59" s="20">
        <v>12</v>
      </c>
      <c r="AG59" s="18" t="s">
        <v>1767</v>
      </c>
      <c r="AH59" s="20">
        <v>12</v>
      </c>
      <c r="AI59" s="18" t="s">
        <v>1767</v>
      </c>
      <c r="AJ59" s="19" t="str">
        <f t="shared" si="7"/>
        <v>APROBADO</v>
      </c>
      <c r="AK59" s="217" t="s">
        <v>50</v>
      </c>
    </row>
    <row r="60" spans="1:37" ht="15" hidden="1" customHeight="1" x14ac:dyDescent="0.2">
      <c r="A60" s="9">
        <v>47</v>
      </c>
      <c r="B60" s="10">
        <v>73</v>
      </c>
      <c r="C60" s="10">
        <v>13</v>
      </c>
      <c r="D60" s="33" t="s">
        <v>450</v>
      </c>
      <c r="E60" s="33" t="s">
        <v>451</v>
      </c>
      <c r="F60" s="28" t="s">
        <v>34</v>
      </c>
      <c r="G60" s="35" t="s">
        <v>384</v>
      </c>
      <c r="H60" s="35" t="s">
        <v>385</v>
      </c>
      <c r="I60" s="28" t="s">
        <v>169</v>
      </c>
      <c r="J60" s="28" t="s">
        <v>38</v>
      </c>
      <c r="K60" s="38" t="s">
        <v>452</v>
      </c>
      <c r="L60" s="38" t="s">
        <v>40</v>
      </c>
      <c r="M60" s="39">
        <v>27489</v>
      </c>
      <c r="N60" s="35">
        <v>941953496</v>
      </c>
      <c r="O60" s="33" t="s">
        <v>453</v>
      </c>
      <c r="P60" s="33" t="s">
        <v>454</v>
      </c>
      <c r="Q60" s="33" t="s">
        <v>388</v>
      </c>
      <c r="R60" s="32" t="s">
        <v>377</v>
      </c>
      <c r="S60" s="32" t="s">
        <v>378</v>
      </c>
      <c r="T60" s="28" t="s">
        <v>95</v>
      </c>
      <c r="U60" s="28" t="s">
        <v>389</v>
      </c>
      <c r="V60" s="34">
        <v>601331</v>
      </c>
      <c r="W60" s="35">
        <v>1147735</v>
      </c>
      <c r="X60" s="35" t="s">
        <v>85</v>
      </c>
      <c r="Y60" s="36" t="str">
        <f>IF(X60="NO","NO APLICA","ESCRIBA EL NOMBRE DEL IIEE")</f>
        <v>NO APLICA</v>
      </c>
      <c r="Z60" s="36" t="str">
        <f>IF(Y60="NO APLICA","NO APLICA","ESCRIBA EL CÓDIGO MODULAR")</f>
        <v>NO APLICA</v>
      </c>
      <c r="AA60" s="45" t="s">
        <v>381</v>
      </c>
      <c r="AB60" s="20">
        <v>17</v>
      </c>
      <c r="AC60" s="20" t="s">
        <v>1771</v>
      </c>
      <c r="AD60" s="20">
        <v>15</v>
      </c>
      <c r="AE60" s="20" t="s">
        <v>1771</v>
      </c>
      <c r="AF60" s="20">
        <v>17</v>
      </c>
      <c r="AG60" s="18" t="s">
        <v>1767</v>
      </c>
      <c r="AH60" s="20">
        <v>11</v>
      </c>
      <c r="AI60" s="20" t="s">
        <v>1769</v>
      </c>
      <c r="AJ60" s="19" t="str">
        <f t="shared" si="7"/>
        <v>APROBADO</v>
      </c>
      <c r="AK60" s="217" t="s">
        <v>50</v>
      </c>
    </row>
    <row r="61" spans="1:37" ht="15" hidden="1" customHeight="1" x14ac:dyDescent="0.2">
      <c r="A61" s="9">
        <v>47</v>
      </c>
      <c r="B61" s="10">
        <v>70</v>
      </c>
      <c r="C61" s="10">
        <v>14</v>
      </c>
      <c r="D61" s="27" t="s">
        <v>455</v>
      </c>
      <c r="E61" s="27" t="s">
        <v>456</v>
      </c>
      <c r="F61" s="28" t="s">
        <v>34</v>
      </c>
      <c r="G61" s="28" t="s">
        <v>384</v>
      </c>
      <c r="H61" s="28" t="s">
        <v>216</v>
      </c>
      <c r="I61" s="28" t="s">
        <v>169</v>
      </c>
      <c r="J61" s="28" t="s">
        <v>38</v>
      </c>
      <c r="K61" s="42" t="s">
        <v>457</v>
      </c>
      <c r="L61" s="42" t="s">
        <v>40</v>
      </c>
      <c r="M61" s="30">
        <v>27949</v>
      </c>
      <c r="N61" s="28">
        <v>952269292</v>
      </c>
      <c r="O61" s="27" t="s">
        <v>458</v>
      </c>
      <c r="P61" s="27" t="s">
        <v>459</v>
      </c>
      <c r="Q61" s="27" t="s">
        <v>388</v>
      </c>
      <c r="R61" s="32" t="s">
        <v>377</v>
      </c>
      <c r="S61" s="32" t="s">
        <v>378</v>
      </c>
      <c r="T61" s="28" t="s">
        <v>95</v>
      </c>
      <c r="U61" s="28" t="s">
        <v>389</v>
      </c>
      <c r="V61" s="34">
        <v>601331</v>
      </c>
      <c r="W61" s="35">
        <v>1147735</v>
      </c>
      <c r="X61" s="35" t="s">
        <v>48</v>
      </c>
      <c r="Y61" s="36">
        <v>601331</v>
      </c>
      <c r="Z61" s="36">
        <v>1147735</v>
      </c>
      <c r="AA61" s="45" t="s">
        <v>381</v>
      </c>
      <c r="AB61" s="20">
        <v>16</v>
      </c>
      <c r="AC61" s="20" t="s">
        <v>1771</v>
      </c>
      <c r="AD61" s="20">
        <v>15</v>
      </c>
      <c r="AE61" s="20" t="s">
        <v>1771</v>
      </c>
      <c r="AF61" s="20">
        <v>13</v>
      </c>
      <c r="AG61" s="18" t="s">
        <v>1767</v>
      </c>
      <c r="AH61" s="20">
        <v>12</v>
      </c>
      <c r="AI61" s="20" t="s">
        <v>1767</v>
      </c>
      <c r="AJ61" s="19" t="str">
        <f t="shared" si="7"/>
        <v>APROBADO</v>
      </c>
      <c r="AK61" s="217" t="s">
        <v>50</v>
      </c>
    </row>
    <row r="62" spans="1:37" ht="15" hidden="1" customHeight="1" x14ac:dyDescent="0.2">
      <c r="A62" s="9">
        <v>47</v>
      </c>
      <c r="B62" s="10">
        <v>77</v>
      </c>
      <c r="C62" s="10">
        <v>15</v>
      </c>
      <c r="D62" s="27" t="s">
        <v>460</v>
      </c>
      <c r="E62" s="27" t="s">
        <v>461</v>
      </c>
      <c r="F62" s="28" t="s">
        <v>34</v>
      </c>
      <c r="G62" s="28" t="s">
        <v>372</v>
      </c>
      <c r="H62" s="28" t="s">
        <v>88</v>
      </c>
      <c r="I62" s="28" t="s">
        <v>169</v>
      </c>
      <c r="J62" s="28" t="s">
        <v>38</v>
      </c>
      <c r="K62" s="29" t="s">
        <v>462</v>
      </c>
      <c r="L62" s="29" t="s">
        <v>40</v>
      </c>
      <c r="M62" s="43" t="s">
        <v>463</v>
      </c>
      <c r="N62" s="28">
        <v>929039731</v>
      </c>
      <c r="O62" s="33" t="s">
        <v>464</v>
      </c>
      <c r="P62" s="33" t="s">
        <v>465</v>
      </c>
      <c r="Q62" s="40" t="s">
        <v>388</v>
      </c>
      <c r="R62" s="32" t="s">
        <v>377</v>
      </c>
      <c r="S62" s="32" t="s">
        <v>378</v>
      </c>
      <c r="T62" s="41" t="s">
        <v>95</v>
      </c>
      <c r="U62" s="28" t="s">
        <v>389</v>
      </c>
      <c r="V62" s="34" t="s">
        <v>390</v>
      </c>
      <c r="W62" s="35">
        <v>683466</v>
      </c>
      <c r="X62" s="35" t="s">
        <v>48</v>
      </c>
      <c r="Y62" s="36" t="s">
        <v>390</v>
      </c>
      <c r="Z62" s="36">
        <v>683466</v>
      </c>
      <c r="AA62" s="45" t="s">
        <v>381</v>
      </c>
      <c r="AB62" s="20">
        <v>6</v>
      </c>
      <c r="AC62" s="20" t="s">
        <v>1770</v>
      </c>
      <c r="AD62" s="20">
        <v>4</v>
      </c>
      <c r="AE62" s="20" t="s">
        <v>1770</v>
      </c>
      <c r="AF62" s="20">
        <v>11</v>
      </c>
      <c r="AG62" s="20" t="s">
        <v>1768</v>
      </c>
      <c r="AH62" s="20">
        <v>0</v>
      </c>
      <c r="AI62" s="20" t="s">
        <v>1770</v>
      </c>
      <c r="AJ62" s="19" t="s">
        <v>70</v>
      </c>
      <c r="AK62" s="217" t="s">
        <v>70</v>
      </c>
    </row>
    <row r="63" spans="1:37" ht="15" hidden="1" customHeight="1" x14ac:dyDescent="0.2">
      <c r="A63" s="9">
        <v>47</v>
      </c>
      <c r="B63" s="10">
        <v>50</v>
      </c>
      <c r="C63" s="10">
        <v>16</v>
      </c>
      <c r="D63" s="33" t="s">
        <v>466</v>
      </c>
      <c r="E63" s="33" t="s">
        <v>467</v>
      </c>
      <c r="F63" s="28" t="s">
        <v>34</v>
      </c>
      <c r="G63" s="35" t="s">
        <v>384</v>
      </c>
      <c r="H63" s="28" t="s">
        <v>216</v>
      </c>
      <c r="I63" s="28" t="s">
        <v>169</v>
      </c>
      <c r="J63" s="28" t="s">
        <v>38</v>
      </c>
      <c r="K63" s="38" t="s">
        <v>468</v>
      </c>
      <c r="L63" s="38" t="s">
        <v>40</v>
      </c>
      <c r="M63" s="39">
        <v>23526</v>
      </c>
      <c r="N63" s="35">
        <v>926311702</v>
      </c>
      <c r="O63" s="33" t="s">
        <v>469</v>
      </c>
      <c r="P63" s="33" t="s">
        <v>470</v>
      </c>
      <c r="Q63" s="40" t="s">
        <v>388</v>
      </c>
      <c r="R63" s="32" t="s">
        <v>377</v>
      </c>
      <c r="S63" s="32" t="s">
        <v>378</v>
      </c>
      <c r="T63" s="41" t="s">
        <v>95</v>
      </c>
      <c r="U63" s="28" t="s">
        <v>389</v>
      </c>
      <c r="V63" s="34">
        <v>405</v>
      </c>
      <c r="W63" s="35">
        <v>398313</v>
      </c>
      <c r="X63" s="35" t="s">
        <v>48</v>
      </c>
      <c r="Y63" s="36">
        <v>405</v>
      </c>
      <c r="Z63" s="36">
        <v>398313</v>
      </c>
      <c r="AA63" s="34" t="s">
        <v>442</v>
      </c>
      <c r="AB63" s="20">
        <v>14</v>
      </c>
      <c r="AC63" s="20" t="s">
        <v>1771</v>
      </c>
      <c r="AD63" s="20">
        <v>12</v>
      </c>
      <c r="AE63" s="20" t="s">
        <v>1771</v>
      </c>
      <c r="AF63" s="20">
        <v>12</v>
      </c>
      <c r="AG63" s="18" t="s">
        <v>1767</v>
      </c>
      <c r="AH63" s="20">
        <v>11</v>
      </c>
      <c r="AI63" s="20" t="s">
        <v>1769</v>
      </c>
      <c r="AJ63" s="19" t="str">
        <f t="shared" si="7"/>
        <v>APROBADO</v>
      </c>
      <c r="AK63" s="217" t="s">
        <v>50</v>
      </c>
    </row>
    <row r="64" spans="1:37" ht="15" hidden="1" customHeight="1" x14ac:dyDescent="0.2">
      <c r="A64" s="9">
        <v>47</v>
      </c>
      <c r="B64" s="10">
        <v>47</v>
      </c>
      <c r="C64" s="10">
        <v>17</v>
      </c>
      <c r="D64" s="27" t="s">
        <v>471</v>
      </c>
      <c r="E64" s="27" t="s">
        <v>472</v>
      </c>
      <c r="F64" s="28" t="s">
        <v>34</v>
      </c>
      <c r="G64" s="28" t="s">
        <v>384</v>
      </c>
      <c r="H64" s="28" t="s">
        <v>216</v>
      </c>
      <c r="I64" s="28" t="s">
        <v>169</v>
      </c>
      <c r="J64" s="28" t="s">
        <v>38</v>
      </c>
      <c r="K64" s="29" t="s">
        <v>473</v>
      </c>
      <c r="L64" s="29" t="s">
        <v>40</v>
      </c>
      <c r="M64" s="30">
        <v>22249</v>
      </c>
      <c r="N64" s="28">
        <v>947637181</v>
      </c>
      <c r="O64" s="31" t="s">
        <v>474</v>
      </c>
      <c r="P64" s="27" t="s">
        <v>475</v>
      </c>
      <c r="Q64" s="32" t="s">
        <v>376</v>
      </c>
      <c r="R64" s="32" t="s">
        <v>377</v>
      </c>
      <c r="S64" s="32" t="s">
        <v>378</v>
      </c>
      <c r="T64" s="41" t="s">
        <v>95</v>
      </c>
      <c r="U64" s="33" t="s">
        <v>379</v>
      </c>
      <c r="V64" s="34" t="s">
        <v>380</v>
      </c>
      <c r="W64" s="35" t="s">
        <v>380</v>
      </c>
      <c r="X64" s="35" t="s">
        <v>85</v>
      </c>
      <c r="Y64" s="36" t="str">
        <f>IF(X64="NO","NO APLICA","ESCRIBA EL NOMBRE DEL IIEE")</f>
        <v>NO APLICA</v>
      </c>
      <c r="Z64" s="36" t="str">
        <f>IF(Y64="NO APLICA","NO APLICA","ESCRIBA EL CÓDIGO MODULAR")</f>
        <v>NO APLICA</v>
      </c>
      <c r="AA64" s="45" t="s">
        <v>442</v>
      </c>
      <c r="AB64" s="20">
        <v>11</v>
      </c>
      <c r="AC64" s="20" t="s">
        <v>1768</v>
      </c>
      <c r="AD64" s="20">
        <v>12</v>
      </c>
      <c r="AE64" s="20" t="s">
        <v>1771</v>
      </c>
      <c r="AF64" s="20">
        <v>15</v>
      </c>
      <c r="AG64" s="18" t="s">
        <v>1767</v>
      </c>
      <c r="AH64" s="20">
        <v>12</v>
      </c>
      <c r="AI64" s="20" t="s">
        <v>1767</v>
      </c>
      <c r="AJ64" s="19" t="str">
        <f t="shared" si="7"/>
        <v>APROBADO</v>
      </c>
      <c r="AK64" s="217" t="s">
        <v>50</v>
      </c>
    </row>
    <row r="65" spans="1:37" ht="15" hidden="1" customHeight="1" x14ac:dyDescent="0.2">
      <c r="A65" s="9">
        <v>47</v>
      </c>
      <c r="B65" s="10">
        <v>98</v>
      </c>
      <c r="C65" s="10">
        <v>18</v>
      </c>
      <c r="D65" s="27" t="s">
        <v>476</v>
      </c>
      <c r="E65" s="27" t="s">
        <v>477</v>
      </c>
      <c r="F65" s="28" t="s">
        <v>34</v>
      </c>
      <c r="G65" s="28" t="s">
        <v>384</v>
      </c>
      <c r="H65" s="28" t="s">
        <v>216</v>
      </c>
      <c r="I65" s="28" t="s">
        <v>169</v>
      </c>
      <c r="J65" s="28" t="s">
        <v>38</v>
      </c>
      <c r="K65" s="42" t="s">
        <v>478</v>
      </c>
      <c r="L65" s="42" t="s">
        <v>40</v>
      </c>
      <c r="M65" s="43" t="s">
        <v>479</v>
      </c>
      <c r="N65" s="28">
        <v>931402509</v>
      </c>
      <c r="O65" s="27" t="s">
        <v>480</v>
      </c>
      <c r="P65" s="33" t="s">
        <v>481</v>
      </c>
      <c r="Q65" s="32" t="s">
        <v>388</v>
      </c>
      <c r="R65" s="32" t="s">
        <v>377</v>
      </c>
      <c r="S65" s="32" t="s">
        <v>378</v>
      </c>
      <c r="T65" s="41" t="s">
        <v>95</v>
      </c>
      <c r="U65" s="28" t="s">
        <v>389</v>
      </c>
      <c r="V65" s="34" t="s">
        <v>449</v>
      </c>
      <c r="W65" s="35">
        <v>682211</v>
      </c>
      <c r="X65" s="35" t="s">
        <v>48</v>
      </c>
      <c r="Y65" s="36" t="s">
        <v>449</v>
      </c>
      <c r="Z65" s="36">
        <v>682211</v>
      </c>
      <c r="AA65" s="45" t="s">
        <v>391</v>
      </c>
      <c r="AB65" s="20">
        <v>13</v>
      </c>
      <c r="AC65" s="20" t="s">
        <v>1771</v>
      </c>
      <c r="AD65" s="20">
        <v>9</v>
      </c>
      <c r="AE65" s="20" t="s">
        <v>1769</v>
      </c>
      <c r="AF65" s="20">
        <v>15</v>
      </c>
      <c r="AG65" s="18" t="s">
        <v>1767</v>
      </c>
      <c r="AH65" s="20">
        <v>7</v>
      </c>
      <c r="AI65" s="20" t="s">
        <v>1770</v>
      </c>
      <c r="AJ65" s="19" t="str">
        <f t="shared" si="7"/>
        <v>DESAPROBADO</v>
      </c>
      <c r="AK65" s="217" t="s">
        <v>57</v>
      </c>
    </row>
    <row r="66" spans="1:37" ht="15" hidden="1" customHeight="1" x14ac:dyDescent="0.2">
      <c r="A66" s="9">
        <v>47</v>
      </c>
      <c r="B66" s="10">
        <v>89</v>
      </c>
      <c r="C66" s="10">
        <v>19</v>
      </c>
      <c r="D66" s="27" t="s">
        <v>482</v>
      </c>
      <c r="E66" s="27" t="s">
        <v>483</v>
      </c>
      <c r="F66" s="28" t="s">
        <v>34</v>
      </c>
      <c r="G66" s="28" t="s">
        <v>384</v>
      </c>
      <c r="H66" s="35" t="s">
        <v>168</v>
      </c>
      <c r="I66" s="28" t="s">
        <v>169</v>
      </c>
      <c r="J66" s="28" t="s">
        <v>38</v>
      </c>
      <c r="K66" s="51" t="s">
        <v>484</v>
      </c>
      <c r="L66" s="42" t="s">
        <v>40</v>
      </c>
      <c r="M66" s="43" t="s">
        <v>485</v>
      </c>
      <c r="N66" s="28">
        <v>943201977</v>
      </c>
      <c r="O66" s="27" t="s">
        <v>486</v>
      </c>
      <c r="P66" s="33" t="s">
        <v>487</v>
      </c>
      <c r="Q66" s="40" t="s">
        <v>388</v>
      </c>
      <c r="R66" s="32" t="s">
        <v>377</v>
      </c>
      <c r="S66" s="32" t="s">
        <v>378</v>
      </c>
      <c r="T66" s="41" t="s">
        <v>95</v>
      </c>
      <c r="U66" s="28" t="s">
        <v>389</v>
      </c>
      <c r="V66" s="34">
        <v>60133</v>
      </c>
      <c r="W66" s="35">
        <v>1261577</v>
      </c>
      <c r="X66" s="35" t="s">
        <v>85</v>
      </c>
      <c r="Y66" s="36" t="str">
        <f>IF(X66="NO","NO APLICA","ESCRIBA EL NOMBRE DEL IIEE")</f>
        <v>NO APLICA</v>
      </c>
      <c r="Z66" s="36" t="str">
        <f>IF(Y66="NO APLICA","NO APLICA","ESCRIBA EL CÓDIGO MODULAR")</f>
        <v>NO APLICA</v>
      </c>
      <c r="AA66" s="45" t="s">
        <v>391</v>
      </c>
      <c r="AB66" s="20">
        <v>15</v>
      </c>
      <c r="AC66" s="20" t="s">
        <v>1771</v>
      </c>
      <c r="AD66" s="20">
        <v>14</v>
      </c>
      <c r="AE66" s="20" t="s">
        <v>1771</v>
      </c>
      <c r="AF66" s="20">
        <v>16</v>
      </c>
      <c r="AG66" s="18" t="s">
        <v>1767</v>
      </c>
      <c r="AH66" s="20">
        <v>12</v>
      </c>
      <c r="AI66" s="20" t="s">
        <v>1767</v>
      </c>
      <c r="AJ66" s="19" t="str">
        <f t="shared" si="7"/>
        <v>APROBADO</v>
      </c>
      <c r="AK66" s="217" t="s">
        <v>50</v>
      </c>
    </row>
    <row r="67" spans="1:37" ht="15" hidden="1" customHeight="1" x14ac:dyDescent="0.25">
      <c r="A67" s="9">
        <v>47</v>
      </c>
      <c r="B67" s="10">
        <v>57</v>
      </c>
      <c r="C67" s="10">
        <v>20</v>
      </c>
      <c r="D67" s="27" t="s">
        <v>488</v>
      </c>
      <c r="E67" s="27" t="s">
        <v>489</v>
      </c>
      <c r="F67" s="28" t="s">
        <v>490</v>
      </c>
      <c r="G67" s="28" t="s">
        <v>384</v>
      </c>
      <c r="H67" s="28" t="s">
        <v>168</v>
      </c>
      <c r="I67" s="28" t="s">
        <v>169</v>
      </c>
      <c r="J67" s="28" t="s">
        <v>491</v>
      </c>
      <c r="K67" s="29" t="s">
        <v>492</v>
      </c>
      <c r="L67" s="29" t="s">
        <v>40</v>
      </c>
      <c r="M67" s="30">
        <v>23005</v>
      </c>
      <c r="N67" s="28" t="s">
        <v>493</v>
      </c>
      <c r="O67" s="31" t="s">
        <v>494</v>
      </c>
      <c r="P67" s="33" t="s">
        <v>401</v>
      </c>
      <c r="Q67" s="32" t="s">
        <v>388</v>
      </c>
      <c r="R67" s="32" t="s">
        <v>377</v>
      </c>
      <c r="S67" s="32" t="s">
        <v>378</v>
      </c>
      <c r="T67" s="41" t="s">
        <v>95</v>
      </c>
      <c r="U67" s="33" t="s">
        <v>379</v>
      </c>
      <c r="V67" s="34" t="s">
        <v>380</v>
      </c>
      <c r="W67" s="35" t="s">
        <v>380</v>
      </c>
      <c r="X67" s="35" t="s">
        <v>48</v>
      </c>
      <c r="Y67" s="44" t="s">
        <v>380</v>
      </c>
      <c r="Z67" s="44" t="s">
        <v>380</v>
      </c>
      <c r="AA67" s="34" t="s">
        <v>381</v>
      </c>
      <c r="AB67" s="20">
        <v>6</v>
      </c>
      <c r="AC67" s="220" t="s">
        <v>1770</v>
      </c>
      <c r="AD67" s="20">
        <v>7</v>
      </c>
      <c r="AE67" s="220" t="s">
        <v>1770</v>
      </c>
      <c r="AF67" s="20">
        <v>11</v>
      </c>
      <c r="AG67" s="20" t="s">
        <v>1768</v>
      </c>
      <c r="AH67" s="20">
        <v>2</v>
      </c>
      <c r="AI67" s="20" t="s">
        <v>1770</v>
      </c>
      <c r="AJ67" s="219" t="s">
        <v>70</v>
      </c>
      <c r="AK67" s="217" t="s">
        <v>70</v>
      </c>
    </row>
    <row r="68" spans="1:37" ht="15" hidden="1" customHeight="1" x14ac:dyDescent="0.2">
      <c r="A68" s="9">
        <v>47</v>
      </c>
      <c r="B68" s="10">
        <v>51</v>
      </c>
      <c r="C68" s="10">
        <v>21</v>
      </c>
      <c r="D68" s="27" t="s">
        <v>495</v>
      </c>
      <c r="E68" s="27" t="s">
        <v>496</v>
      </c>
      <c r="F68" s="28" t="s">
        <v>34</v>
      </c>
      <c r="G68" s="28" t="s">
        <v>384</v>
      </c>
      <c r="H68" s="35" t="s">
        <v>216</v>
      </c>
      <c r="I68" s="28" t="s">
        <v>169</v>
      </c>
      <c r="J68" s="28" t="s">
        <v>38</v>
      </c>
      <c r="K68" s="42">
        <v>40384618</v>
      </c>
      <c r="L68" s="42" t="s">
        <v>40</v>
      </c>
      <c r="M68" s="43" t="s">
        <v>497</v>
      </c>
      <c r="N68" s="28">
        <v>927238101</v>
      </c>
      <c r="O68" s="27" t="s">
        <v>498</v>
      </c>
      <c r="P68" s="33" t="s">
        <v>499</v>
      </c>
      <c r="Q68" s="40" t="s">
        <v>388</v>
      </c>
      <c r="R68" s="32" t="s">
        <v>377</v>
      </c>
      <c r="S68" s="32" t="s">
        <v>378</v>
      </c>
      <c r="T68" s="41" t="s">
        <v>95</v>
      </c>
      <c r="U68" s="28" t="s">
        <v>389</v>
      </c>
      <c r="V68" s="34">
        <v>604</v>
      </c>
      <c r="W68" s="35">
        <v>1152057</v>
      </c>
      <c r="X68" s="35" t="s">
        <v>48</v>
      </c>
      <c r="Y68" s="36">
        <v>604</v>
      </c>
      <c r="Z68" s="36">
        <v>1152057</v>
      </c>
      <c r="AA68" s="45" t="s">
        <v>442</v>
      </c>
      <c r="AB68" s="20">
        <v>0</v>
      </c>
      <c r="AC68" s="220" t="s">
        <v>1772</v>
      </c>
      <c r="AD68" s="20">
        <v>4</v>
      </c>
      <c r="AE68" s="220" t="s">
        <v>1770</v>
      </c>
      <c r="AF68" s="20">
        <v>8</v>
      </c>
      <c r="AG68" s="20" t="s">
        <v>1768</v>
      </c>
      <c r="AH68" s="20">
        <v>0</v>
      </c>
      <c r="AI68" s="20" t="s">
        <v>1770</v>
      </c>
      <c r="AJ68" s="219" t="s">
        <v>70</v>
      </c>
      <c r="AK68" s="217" t="s">
        <v>70</v>
      </c>
    </row>
    <row r="69" spans="1:37" ht="15" hidden="1" customHeight="1" x14ac:dyDescent="0.2">
      <c r="A69" s="9">
        <v>47</v>
      </c>
      <c r="B69" s="52">
        <v>56</v>
      </c>
      <c r="C69" s="10">
        <v>22</v>
      </c>
      <c r="D69" s="33" t="s">
        <v>500</v>
      </c>
      <c r="E69" s="33" t="s">
        <v>501</v>
      </c>
      <c r="F69" s="28" t="s">
        <v>34</v>
      </c>
      <c r="G69" s="28" t="s">
        <v>384</v>
      </c>
      <c r="H69" s="35"/>
      <c r="I69" s="28" t="s">
        <v>169</v>
      </c>
      <c r="J69" s="28" t="s">
        <v>38</v>
      </c>
      <c r="K69" s="38" t="s">
        <v>502</v>
      </c>
      <c r="L69" s="38" t="s">
        <v>40</v>
      </c>
      <c r="M69" s="39">
        <v>32780</v>
      </c>
      <c r="N69" s="35">
        <v>944874537</v>
      </c>
      <c r="O69" s="33" t="s">
        <v>503</v>
      </c>
      <c r="P69" s="33" t="s">
        <v>504</v>
      </c>
      <c r="Q69" s="40" t="s">
        <v>448</v>
      </c>
      <c r="R69" s="40" t="s">
        <v>377</v>
      </c>
      <c r="S69" s="32" t="s">
        <v>378</v>
      </c>
      <c r="T69" s="41" t="s">
        <v>95</v>
      </c>
      <c r="U69" s="28" t="s">
        <v>389</v>
      </c>
      <c r="V69" s="34">
        <v>601448</v>
      </c>
      <c r="W69" s="35">
        <v>1153964</v>
      </c>
      <c r="X69" s="35" t="s">
        <v>85</v>
      </c>
      <c r="Y69" s="36" t="str">
        <f t="shared" ref="Y69:Y71" si="14">IF(X69="NO","NO APLICA","ESCRIBA EL NOMBRE DEL IIEE")</f>
        <v>NO APLICA</v>
      </c>
      <c r="Z69" s="36" t="str">
        <f t="shared" ref="Z69:Z71" si="15">IF(Y69="NO APLICA","NO APLICA","ESCRIBA EL CÓDIGO MODULAR")</f>
        <v>NO APLICA</v>
      </c>
      <c r="AA69" s="45" t="s">
        <v>381</v>
      </c>
      <c r="AB69" s="20">
        <v>9</v>
      </c>
      <c r="AC69" s="20" t="s">
        <v>1769</v>
      </c>
      <c r="AD69" s="20">
        <v>10</v>
      </c>
      <c r="AE69" s="20" t="s">
        <v>1769</v>
      </c>
      <c r="AF69" s="20">
        <v>7</v>
      </c>
      <c r="AG69" s="20" t="s">
        <v>1770</v>
      </c>
      <c r="AH69" s="20">
        <v>11</v>
      </c>
      <c r="AI69" s="20" t="s">
        <v>1768</v>
      </c>
      <c r="AJ69" s="19" t="str">
        <f t="shared" si="7"/>
        <v>DESAPROBADO</v>
      </c>
      <c r="AK69" s="217" t="s">
        <v>57</v>
      </c>
    </row>
    <row r="70" spans="1:37" ht="15" hidden="1" customHeight="1" x14ac:dyDescent="0.2">
      <c r="A70" s="9">
        <v>47</v>
      </c>
      <c r="B70" s="10">
        <v>90</v>
      </c>
      <c r="C70" s="10">
        <v>23</v>
      </c>
      <c r="D70" s="33" t="s">
        <v>505</v>
      </c>
      <c r="E70" s="33" t="s">
        <v>506</v>
      </c>
      <c r="F70" s="28" t="s">
        <v>34</v>
      </c>
      <c r="G70" s="35" t="s">
        <v>384</v>
      </c>
      <c r="H70" s="35" t="s">
        <v>385</v>
      </c>
      <c r="I70" s="28" t="s">
        <v>169</v>
      </c>
      <c r="J70" s="28" t="s">
        <v>38</v>
      </c>
      <c r="K70" s="38" t="s">
        <v>507</v>
      </c>
      <c r="L70" s="38" t="s">
        <v>40</v>
      </c>
      <c r="M70" s="39">
        <v>30504</v>
      </c>
      <c r="N70" s="35">
        <v>940755225</v>
      </c>
      <c r="O70" s="53" t="s">
        <v>508</v>
      </c>
      <c r="P70" s="33" t="s">
        <v>509</v>
      </c>
      <c r="Q70" s="40" t="s">
        <v>388</v>
      </c>
      <c r="R70" s="32" t="s">
        <v>377</v>
      </c>
      <c r="S70" s="32" t="s">
        <v>378</v>
      </c>
      <c r="T70" s="41" t="s">
        <v>95</v>
      </c>
      <c r="U70" s="28" t="s">
        <v>389</v>
      </c>
      <c r="V70" s="34">
        <v>60133</v>
      </c>
      <c r="W70" s="35">
        <v>1261577</v>
      </c>
      <c r="X70" s="35" t="s">
        <v>85</v>
      </c>
      <c r="Y70" s="36" t="str">
        <f t="shared" si="14"/>
        <v>NO APLICA</v>
      </c>
      <c r="Z70" s="36" t="str">
        <f t="shared" si="15"/>
        <v>NO APLICA</v>
      </c>
      <c r="AA70" s="45" t="s">
        <v>391</v>
      </c>
      <c r="AB70" s="20">
        <v>13</v>
      </c>
      <c r="AC70" s="20" t="s">
        <v>1771</v>
      </c>
      <c r="AD70" s="20">
        <v>14</v>
      </c>
      <c r="AE70" s="20" t="s">
        <v>1771</v>
      </c>
      <c r="AF70" s="20">
        <v>13</v>
      </c>
      <c r="AG70" s="18" t="s">
        <v>1767</v>
      </c>
      <c r="AH70" s="20">
        <v>13</v>
      </c>
      <c r="AI70" s="20" t="s">
        <v>1767</v>
      </c>
      <c r="AJ70" s="19" t="str">
        <f t="shared" si="7"/>
        <v>APROBADO</v>
      </c>
      <c r="AK70" s="217" t="s">
        <v>50</v>
      </c>
    </row>
    <row r="71" spans="1:37" ht="15" hidden="1" customHeight="1" x14ac:dyDescent="0.2">
      <c r="A71" s="9">
        <v>47</v>
      </c>
      <c r="B71" s="10">
        <v>84</v>
      </c>
      <c r="C71" s="10">
        <v>24</v>
      </c>
      <c r="D71" s="33" t="s">
        <v>510</v>
      </c>
      <c r="E71" s="33" t="s">
        <v>511</v>
      </c>
      <c r="F71" s="28" t="s">
        <v>34</v>
      </c>
      <c r="G71" s="35" t="s">
        <v>384</v>
      </c>
      <c r="H71" s="35" t="s">
        <v>168</v>
      </c>
      <c r="I71" s="28" t="s">
        <v>169</v>
      </c>
      <c r="J71" s="28" t="s">
        <v>38</v>
      </c>
      <c r="K71" s="54" t="s">
        <v>512</v>
      </c>
      <c r="L71" s="54" t="s">
        <v>40</v>
      </c>
      <c r="M71" s="39">
        <v>26013</v>
      </c>
      <c r="N71" s="35" t="s">
        <v>513</v>
      </c>
      <c r="O71" s="33" t="s">
        <v>514</v>
      </c>
      <c r="P71" s="33" t="s">
        <v>515</v>
      </c>
      <c r="Q71" s="40" t="s">
        <v>376</v>
      </c>
      <c r="R71" s="32" t="s">
        <v>377</v>
      </c>
      <c r="S71" s="32" t="s">
        <v>378</v>
      </c>
      <c r="T71" s="41" t="s">
        <v>95</v>
      </c>
      <c r="U71" s="28" t="s">
        <v>389</v>
      </c>
      <c r="V71" s="34">
        <v>60133</v>
      </c>
      <c r="W71" s="35">
        <v>398313</v>
      </c>
      <c r="X71" s="35" t="s">
        <v>85</v>
      </c>
      <c r="Y71" s="36" t="str">
        <f t="shared" si="14"/>
        <v>NO APLICA</v>
      </c>
      <c r="Z71" s="36" t="str">
        <f t="shared" si="15"/>
        <v>NO APLICA</v>
      </c>
      <c r="AA71" s="45" t="s">
        <v>381</v>
      </c>
      <c r="AB71" s="20">
        <v>8</v>
      </c>
      <c r="AC71" s="221" t="s">
        <v>1768</v>
      </c>
      <c r="AD71" s="221">
        <v>9</v>
      </c>
      <c r="AE71" s="221" t="s">
        <v>1769</v>
      </c>
      <c r="AF71" s="20">
        <v>14</v>
      </c>
      <c r="AG71" s="18" t="s">
        <v>1767</v>
      </c>
      <c r="AH71" s="20">
        <v>11</v>
      </c>
      <c r="AI71" s="20" t="s">
        <v>1768</v>
      </c>
      <c r="AJ71" s="19" t="str">
        <f t="shared" si="7"/>
        <v>DESAPROBADO</v>
      </c>
      <c r="AK71" s="217" t="s">
        <v>57</v>
      </c>
    </row>
    <row r="72" spans="1:37" ht="15" hidden="1" customHeight="1" x14ac:dyDescent="0.2">
      <c r="A72" s="9">
        <v>47</v>
      </c>
      <c r="B72" s="10">
        <v>88</v>
      </c>
      <c r="C72" s="10">
        <v>25</v>
      </c>
      <c r="D72" s="33" t="s">
        <v>516</v>
      </c>
      <c r="E72" s="33" t="s">
        <v>517</v>
      </c>
      <c r="F72" s="28" t="s">
        <v>34</v>
      </c>
      <c r="G72" s="35" t="s">
        <v>384</v>
      </c>
      <c r="H72" s="35" t="s">
        <v>168</v>
      </c>
      <c r="I72" s="28" t="s">
        <v>169</v>
      </c>
      <c r="J72" s="28" t="s">
        <v>38</v>
      </c>
      <c r="K72" s="38" t="s">
        <v>518</v>
      </c>
      <c r="L72" s="38" t="s">
        <v>40</v>
      </c>
      <c r="M72" s="39">
        <v>27882</v>
      </c>
      <c r="N72" s="35">
        <v>929771903</v>
      </c>
      <c r="O72" s="33" t="s">
        <v>519</v>
      </c>
      <c r="P72" s="33" t="s">
        <v>520</v>
      </c>
      <c r="Q72" s="40" t="s">
        <v>388</v>
      </c>
      <c r="R72" s="32" t="s">
        <v>377</v>
      </c>
      <c r="S72" s="32" t="s">
        <v>378</v>
      </c>
      <c r="T72" s="41" t="s">
        <v>95</v>
      </c>
      <c r="U72" s="28" t="s">
        <v>389</v>
      </c>
      <c r="V72" s="34">
        <v>60133</v>
      </c>
      <c r="W72" s="35">
        <v>398313</v>
      </c>
      <c r="X72" s="35" t="s">
        <v>48</v>
      </c>
      <c r="Y72" s="36">
        <v>60133</v>
      </c>
      <c r="Z72" s="36">
        <v>398313</v>
      </c>
      <c r="AA72" s="45" t="s">
        <v>381</v>
      </c>
      <c r="AB72" s="20">
        <v>11</v>
      </c>
      <c r="AC72" s="221" t="s">
        <v>1768</v>
      </c>
      <c r="AD72" s="221">
        <v>11</v>
      </c>
      <c r="AE72" s="221" t="s">
        <v>1768</v>
      </c>
      <c r="AF72" s="20">
        <v>14</v>
      </c>
      <c r="AG72" s="18" t="s">
        <v>1767</v>
      </c>
      <c r="AH72" s="20">
        <v>11</v>
      </c>
      <c r="AI72" s="20" t="s">
        <v>1768</v>
      </c>
      <c r="AJ72" s="19" t="str">
        <f t="shared" si="7"/>
        <v>APROBADO</v>
      </c>
      <c r="AK72" s="217" t="s">
        <v>50</v>
      </c>
    </row>
    <row r="73" spans="1:37" ht="15" hidden="1" customHeight="1" x14ac:dyDescent="0.2">
      <c r="A73" s="9">
        <v>47</v>
      </c>
      <c r="B73" s="10">
        <v>81</v>
      </c>
      <c r="C73" s="10">
        <v>26</v>
      </c>
      <c r="D73" s="27" t="s">
        <v>521</v>
      </c>
      <c r="E73" s="27" t="s">
        <v>522</v>
      </c>
      <c r="F73" s="28" t="s">
        <v>34</v>
      </c>
      <c r="G73" s="28" t="s">
        <v>384</v>
      </c>
      <c r="H73" s="28" t="s">
        <v>168</v>
      </c>
      <c r="I73" s="28" t="s">
        <v>169</v>
      </c>
      <c r="J73" s="28" t="s">
        <v>38</v>
      </c>
      <c r="K73" s="29" t="s">
        <v>523</v>
      </c>
      <c r="L73" s="29" t="s">
        <v>40</v>
      </c>
      <c r="M73" s="43" t="s">
        <v>524</v>
      </c>
      <c r="N73" s="28">
        <v>953676122</v>
      </c>
      <c r="O73" s="27" t="s">
        <v>525</v>
      </c>
      <c r="P73" s="27" t="s">
        <v>526</v>
      </c>
      <c r="Q73" s="32" t="s">
        <v>376</v>
      </c>
      <c r="R73" s="32" t="s">
        <v>377</v>
      </c>
      <c r="S73" s="32" t="s">
        <v>378</v>
      </c>
      <c r="T73" s="41" t="s">
        <v>95</v>
      </c>
      <c r="U73" s="28" t="s">
        <v>389</v>
      </c>
      <c r="V73" s="34">
        <v>60133</v>
      </c>
      <c r="W73" s="35">
        <v>398313</v>
      </c>
      <c r="X73" s="35" t="s">
        <v>48</v>
      </c>
      <c r="Y73" s="36">
        <v>6010231</v>
      </c>
      <c r="Z73" s="36">
        <v>683474</v>
      </c>
      <c r="AA73" s="45" t="s">
        <v>381</v>
      </c>
      <c r="AB73" s="20">
        <v>13</v>
      </c>
      <c r="AC73" s="20" t="s">
        <v>1771</v>
      </c>
      <c r="AD73" s="20">
        <v>11</v>
      </c>
      <c r="AE73" s="20" t="s">
        <v>1768</v>
      </c>
      <c r="AF73" s="20">
        <v>15</v>
      </c>
      <c r="AG73" s="18" t="s">
        <v>1767</v>
      </c>
      <c r="AH73" s="20">
        <v>11</v>
      </c>
      <c r="AI73" s="20" t="s">
        <v>1768</v>
      </c>
      <c r="AJ73" s="19" t="str">
        <f t="shared" si="7"/>
        <v>APROBADO</v>
      </c>
      <c r="AK73" s="217" t="s">
        <v>50</v>
      </c>
    </row>
    <row r="74" spans="1:37" ht="15" hidden="1" customHeight="1" x14ac:dyDescent="0.2">
      <c r="A74" s="9">
        <v>47</v>
      </c>
      <c r="B74" s="10">
        <v>71</v>
      </c>
      <c r="C74" s="10">
        <v>27</v>
      </c>
      <c r="D74" s="27" t="s">
        <v>527</v>
      </c>
      <c r="E74" s="27" t="s">
        <v>528</v>
      </c>
      <c r="F74" s="28" t="s">
        <v>34</v>
      </c>
      <c r="G74" s="28" t="s">
        <v>384</v>
      </c>
      <c r="H74" s="28" t="s">
        <v>529</v>
      </c>
      <c r="I74" s="28" t="s">
        <v>169</v>
      </c>
      <c r="J74" s="28" t="s">
        <v>38</v>
      </c>
      <c r="K74" s="29" t="s">
        <v>530</v>
      </c>
      <c r="L74" s="29" t="s">
        <v>40</v>
      </c>
      <c r="M74" s="43" t="s">
        <v>531</v>
      </c>
      <c r="N74" s="28">
        <v>965913577</v>
      </c>
      <c r="O74" s="27" t="s">
        <v>532</v>
      </c>
      <c r="P74" s="27" t="s">
        <v>533</v>
      </c>
      <c r="Q74" s="32" t="s">
        <v>408</v>
      </c>
      <c r="R74" s="32" t="s">
        <v>377</v>
      </c>
      <c r="S74" s="32" t="s">
        <v>378</v>
      </c>
      <c r="T74" s="41" t="s">
        <v>95</v>
      </c>
      <c r="U74" s="28" t="s">
        <v>389</v>
      </c>
      <c r="V74" s="34">
        <v>601331</v>
      </c>
      <c r="W74" s="35">
        <v>1147735</v>
      </c>
      <c r="X74" s="35" t="s">
        <v>85</v>
      </c>
      <c r="Y74" s="36" t="str">
        <f>IF(X74="NO","NO APLICA","ESCRIBA EL NOMBRE DEL IIEE")</f>
        <v>NO APLICA</v>
      </c>
      <c r="Z74" s="36" t="str">
        <f>IF(Y74="NO APLICA","NO APLICA","ESCRIBA EL CÓDIGO MODULAR")</f>
        <v>NO APLICA</v>
      </c>
      <c r="AA74" s="45" t="s">
        <v>381</v>
      </c>
      <c r="AB74" s="20">
        <v>16</v>
      </c>
      <c r="AC74" s="20" t="s">
        <v>1771</v>
      </c>
      <c r="AD74" s="20">
        <v>15</v>
      </c>
      <c r="AE74" s="20" t="s">
        <v>1771</v>
      </c>
      <c r="AF74" s="20">
        <v>15</v>
      </c>
      <c r="AG74" s="18" t="s">
        <v>1767</v>
      </c>
      <c r="AH74" s="20">
        <v>12</v>
      </c>
      <c r="AI74" s="20" t="s">
        <v>1767</v>
      </c>
      <c r="AJ74" s="19" t="str">
        <f t="shared" si="7"/>
        <v>APROBADO</v>
      </c>
      <c r="AK74" s="217" t="s">
        <v>50</v>
      </c>
    </row>
    <row r="75" spans="1:37" ht="15" hidden="1" customHeight="1" x14ac:dyDescent="0.2">
      <c r="A75" s="9">
        <v>47</v>
      </c>
      <c r="B75" s="10">
        <v>49</v>
      </c>
      <c r="C75" s="10">
        <v>28</v>
      </c>
      <c r="D75" s="27" t="s">
        <v>534</v>
      </c>
      <c r="E75" s="27" t="s">
        <v>535</v>
      </c>
      <c r="F75" s="28" t="s">
        <v>34</v>
      </c>
      <c r="G75" s="28" t="s">
        <v>384</v>
      </c>
      <c r="H75" s="28" t="s">
        <v>216</v>
      </c>
      <c r="I75" s="28" t="s">
        <v>169</v>
      </c>
      <c r="J75" s="28" t="s">
        <v>38</v>
      </c>
      <c r="K75" s="29" t="s">
        <v>536</v>
      </c>
      <c r="L75" s="29" t="s">
        <v>40</v>
      </c>
      <c r="M75" s="43" t="s">
        <v>537</v>
      </c>
      <c r="N75" s="28">
        <v>965830668</v>
      </c>
      <c r="O75" s="27" t="s">
        <v>538</v>
      </c>
      <c r="P75" s="27" t="s">
        <v>539</v>
      </c>
      <c r="Q75" s="32" t="s">
        <v>388</v>
      </c>
      <c r="R75" s="32" t="s">
        <v>377</v>
      </c>
      <c r="S75" s="32" t="s">
        <v>378</v>
      </c>
      <c r="T75" s="41" t="s">
        <v>95</v>
      </c>
      <c r="U75" s="28" t="s">
        <v>389</v>
      </c>
      <c r="V75" s="34">
        <v>405</v>
      </c>
      <c r="W75" s="35">
        <v>398313</v>
      </c>
      <c r="X75" s="35" t="s">
        <v>48</v>
      </c>
      <c r="Y75" s="36">
        <v>405</v>
      </c>
      <c r="Z75" s="36">
        <v>398313</v>
      </c>
      <c r="AA75" s="45" t="s">
        <v>442</v>
      </c>
      <c r="AB75" s="20">
        <v>14</v>
      </c>
      <c r="AC75" s="20" t="s">
        <v>1771</v>
      </c>
      <c r="AD75" s="20">
        <v>14</v>
      </c>
      <c r="AE75" s="20" t="s">
        <v>1771</v>
      </c>
      <c r="AF75" s="20">
        <v>15</v>
      </c>
      <c r="AG75" s="18" t="s">
        <v>1767</v>
      </c>
      <c r="AH75" s="20">
        <v>11</v>
      </c>
      <c r="AI75" s="20" t="s">
        <v>1768</v>
      </c>
      <c r="AJ75" s="19" t="str">
        <f t="shared" si="7"/>
        <v>APROBADO</v>
      </c>
      <c r="AK75" s="217" t="s">
        <v>50</v>
      </c>
    </row>
    <row r="76" spans="1:37" ht="15" hidden="1" customHeight="1" x14ac:dyDescent="0.2">
      <c r="A76" s="9">
        <v>47</v>
      </c>
      <c r="B76" s="10">
        <v>68</v>
      </c>
      <c r="C76" s="10">
        <v>29</v>
      </c>
      <c r="D76" s="27" t="s">
        <v>540</v>
      </c>
      <c r="E76" s="27" t="s">
        <v>541</v>
      </c>
      <c r="F76" s="28" t="s">
        <v>34</v>
      </c>
      <c r="G76" s="28" t="s">
        <v>384</v>
      </c>
      <c r="H76" s="28" t="s">
        <v>168</v>
      </c>
      <c r="I76" s="28" t="s">
        <v>169</v>
      </c>
      <c r="J76" s="28" t="s">
        <v>38</v>
      </c>
      <c r="K76" s="29" t="s">
        <v>542</v>
      </c>
      <c r="L76" s="29" t="s">
        <v>40</v>
      </c>
      <c r="M76" s="43" t="s">
        <v>543</v>
      </c>
      <c r="N76" s="28">
        <v>996669260</v>
      </c>
      <c r="O76" s="27" t="s">
        <v>544</v>
      </c>
      <c r="P76" s="27" t="s">
        <v>545</v>
      </c>
      <c r="Q76" s="32" t="s">
        <v>388</v>
      </c>
      <c r="R76" s="32" t="s">
        <v>377</v>
      </c>
      <c r="S76" s="32" t="s">
        <v>378</v>
      </c>
      <c r="T76" s="41" t="s">
        <v>95</v>
      </c>
      <c r="U76" s="28" t="s">
        <v>389</v>
      </c>
      <c r="V76" s="34">
        <v>601331</v>
      </c>
      <c r="W76" s="35">
        <v>1147735</v>
      </c>
      <c r="X76" s="35" t="s">
        <v>48</v>
      </c>
      <c r="Y76" s="36">
        <v>601331</v>
      </c>
      <c r="Z76" s="36">
        <v>1147735</v>
      </c>
      <c r="AA76" s="45" t="s">
        <v>381</v>
      </c>
      <c r="AB76" s="20">
        <v>16</v>
      </c>
      <c r="AC76" s="20" t="s">
        <v>1771</v>
      </c>
      <c r="AD76" s="20">
        <v>15</v>
      </c>
      <c r="AE76" s="20" t="s">
        <v>1771</v>
      </c>
      <c r="AF76" s="20">
        <v>16</v>
      </c>
      <c r="AG76" s="18" t="s">
        <v>1767</v>
      </c>
      <c r="AH76" s="20">
        <v>12</v>
      </c>
      <c r="AI76" s="20" t="s">
        <v>1767</v>
      </c>
      <c r="AJ76" s="19" t="str">
        <f t="shared" si="7"/>
        <v>APROBADO</v>
      </c>
      <c r="AK76" s="217" t="s">
        <v>50</v>
      </c>
    </row>
    <row r="77" spans="1:37" ht="15" hidden="1" customHeight="1" x14ac:dyDescent="0.25">
      <c r="A77" s="9">
        <v>47</v>
      </c>
      <c r="B77" s="10">
        <v>59</v>
      </c>
      <c r="C77" s="10">
        <v>30</v>
      </c>
      <c r="D77" s="27" t="s">
        <v>546</v>
      </c>
      <c r="E77" s="27" t="s">
        <v>547</v>
      </c>
      <c r="F77" s="28" t="s">
        <v>34</v>
      </c>
      <c r="G77" s="28" t="s">
        <v>372</v>
      </c>
      <c r="H77" s="28" t="s">
        <v>297</v>
      </c>
      <c r="I77" s="28" t="s">
        <v>169</v>
      </c>
      <c r="J77" s="28" t="s">
        <v>38</v>
      </c>
      <c r="K77" s="42" t="s">
        <v>548</v>
      </c>
      <c r="L77" s="42" t="s">
        <v>40</v>
      </c>
      <c r="M77" s="30">
        <v>27136</v>
      </c>
      <c r="N77" s="28">
        <v>925788158</v>
      </c>
      <c r="O77" s="31" t="s">
        <v>549</v>
      </c>
      <c r="P77" s="27" t="s">
        <v>550</v>
      </c>
      <c r="Q77" s="32" t="s">
        <v>388</v>
      </c>
      <c r="R77" s="32" t="s">
        <v>377</v>
      </c>
      <c r="S77" s="32" t="s">
        <v>378</v>
      </c>
      <c r="T77" s="41" t="s">
        <v>95</v>
      </c>
      <c r="U77" s="33" t="s">
        <v>379</v>
      </c>
      <c r="V77" s="34" t="s">
        <v>380</v>
      </c>
      <c r="W77" s="35" t="s">
        <v>380</v>
      </c>
      <c r="X77" s="35" t="s">
        <v>48</v>
      </c>
      <c r="Y77" s="44" t="s">
        <v>380</v>
      </c>
      <c r="Z77" s="44" t="s">
        <v>380</v>
      </c>
      <c r="AA77" s="45" t="s">
        <v>381</v>
      </c>
      <c r="AB77" s="20">
        <v>14</v>
      </c>
      <c r="AC77" s="20" t="s">
        <v>1771</v>
      </c>
      <c r="AD77" s="20">
        <v>16</v>
      </c>
      <c r="AE77" s="20" t="s">
        <v>1771</v>
      </c>
      <c r="AF77" s="20">
        <v>17</v>
      </c>
      <c r="AG77" s="18" t="s">
        <v>1767</v>
      </c>
      <c r="AH77" s="20">
        <v>16</v>
      </c>
      <c r="AI77" s="20" t="s">
        <v>1767</v>
      </c>
      <c r="AJ77" s="19" t="str">
        <f t="shared" si="7"/>
        <v>APROBADO</v>
      </c>
      <c r="AK77" s="217" t="s">
        <v>50</v>
      </c>
    </row>
    <row r="78" spans="1:37" ht="15" hidden="1" customHeight="1" x14ac:dyDescent="0.2">
      <c r="A78" s="9">
        <v>47</v>
      </c>
      <c r="B78" s="10">
        <v>97</v>
      </c>
      <c r="C78" s="10">
        <v>31</v>
      </c>
      <c r="D78" s="27" t="s">
        <v>551</v>
      </c>
      <c r="E78" s="27" t="s">
        <v>552</v>
      </c>
      <c r="F78" s="28" t="s">
        <v>34</v>
      </c>
      <c r="G78" s="28" t="s">
        <v>372</v>
      </c>
      <c r="H78" s="28" t="s">
        <v>297</v>
      </c>
      <c r="I78" s="28" t="s">
        <v>169</v>
      </c>
      <c r="J78" s="28" t="s">
        <v>38</v>
      </c>
      <c r="K78" s="42" t="s">
        <v>553</v>
      </c>
      <c r="L78" s="42" t="s">
        <v>40</v>
      </c>
      <c r="M78" s="43" t="s">
        <v>554</v>
      </c>
      <c r="N78" s="28">
        <v>935312981</v>
      </c>
      <c r="O78" s="27" t="s">
        <v>555</v>
      </c>
      <c r="P78" s="27" t="s">
        <v>556</v>
      </c>
      <c r="Q78" s="27" t="s">
        <v>388</v>
      </c>
      <c r="R78" s="32" t="s">
        <v>377</v>
      </c>
      <c r="S78" s="32" t="s">
        <v>378</v>
      </c>
      <c r="T78" s="41" t="s">
        <v>95</v>
      </c>
      <c r="U78" s="28" t="s">
        <v>389</v>
      </c>
      <c r="V78" s="34" t="s">
        <v>449</v>
      </c>
      <c r="W78" s="35">
        <v>682211</v>
      </c>
      <c r="X78" s="35" t="s">
        <v>48</v>
      </c>
      <c r="Y78" s="36" t="s">
        <v>449</v>
      </c>
      <c r="Z78" s="36">
        <v>682211</v>
      </c>
      <c r="AA78" s="45" t="s">
        <v>391</v>
      </c>
      <c r="AB78" s="20">
        <v>12</v>
      </c>
      <c r="AC78" s="20" t="s">
        <v>1771</v>
      </c>
      <c r="AD78" s="20">
        <v>11</v>
      </c>
      <c r="AE78" s="20" t="s">
        <v>1769</v>
      </c>
      <c r="AF78" s="20">
        <v>13</v>
      </c>
      <c r="AG78" s="18" t="s">
        <v>1767</v>
      </c>
      <c r="AH78" s="20">
        <v>11</v>
      </c>
      <c r="AI78" s="20" t="s">
        <v>1768</v>
      </c>
      <c r="AJ78" s="19" t="str">
        <f t="shared" si="7"/>
        <v>APROBADO</v>
      </c>
      <c r="AK78" s="217" t="s">
        <v>50</v>
      </c>
    </row>
    <row r="79" spans="1:37" ht="15" hidden="1" customHeight="1" x14ac:dyDescent="0.2">
      <c r="A79" s="9">
        <v>47</v>
      </c>
      <c r="B79" s="10">
        <v>85</v>
      </c>
      <c r="C79" s="10">
        <v>32</v>
      </c>
      <c r="D79" s="55" t="s">
        <v>557</v>
      </c>
      <c r="E79" s="55" t="s">
        <v>558</v>
      </c>
      <c r="F79" s="28" t="s">
        <v>34</v>
      </c>
      <c r="G79" s="56" t="s">
        <v>384</v>
      </c>
      <c r="H79" s="56" t="s">
        <v>216</v>
      </c>
      <c r="I79" s="28" t="s">
        <v>169</v>
      </c>
      <c r="J79" s="28" t="s">
        <v>38</v>
      </c>
      <c r="K79" s="57" t="s">
        <v>559</v>
      </c>
      <c r="L79" s="57" t="s">
        <v>40</v>
      </c>
      <c r="M79" s="58">
        <v>25759</v>
      </c>
      <c r="N79" s="56">
        <v>959477882</v>
      </c>
      <c r="O79" s="55" t="s">
        <v>560</v>
      </c>
      <c r="P79" s="55" t="s">
        <v>561</v>
      </c>
      <c r="Q79" s="59" t="s">
        <v>448</v>
      </c>
      <c r="R79" s="32" t="s">
        <v>377</v>
      </c>
      <c r="S79" s="32" t="s">
        <v>378</v>
      </c>
      <c r="T79" s="41" t="s">
        <v>95</v>
      </c>
      <c r="U79" s="28" t="s">
        <v>389</v>
      </c>
      <c r="V79" s="34">
        <v>60133</v>
      </c>
      <c r="W79" s="35">
        <v>398313</v>
      </c>
      <c r="X79" s="35" t="s">
        <v>85</v>
      </c>
      <c r="Y79" s="36" t="str">
        <f>IF(X79="NO","NO APLICA","ESCRIBA EL NOMBRE DEL IIEE")</f>
        <v>NO APLICA</v>
      </c>
      <c r="Z79" s="36" t="str">
        <f>IF(Y79="NO APLICA","NO APLICA","ESCRIBA EL CÓDIGO MODULAR")</f>
        <v>NO APLICA</v>
      </c>
      <c r="AA79" s="45" t="s">
        <v>381</v>
      </c>
      <c r="AB79" s="20">
        <v>11</v>
      </c>
      <c r="AC79" s="20" t="s">
        <v>1769</v>
      </c>
      <c r="AD79" s="20">
        <v>11</v>
      </c>
      <c r="AE79" s="20" t="s">
        <v>1769</v>
      </c>
      <c r="AF79" s="20">
        <v>12</v>
      </c>
      <c r="AG79" s="18" t="s">
        <v>1767</v>
      </c>
      <c r="AH79" s="20">
        <v>11</v>
      </c>
      <c r="AI79" s="20" t="s">
        <v>1768</v>
      </c>
      <c r="AJ79" s="19" t="str">
        <f t="shared" si="7"/>
        <v>APROBADO</v>
      </c>
      <c r="AK79" s="217" t="s">
        <v>50</v>
      </c>
    </row>
    <row r="80" spans="1:37" ht="15" hidden="1" customHeight="1" x14ac:dyDescent="0.2">
      <c r="A80" s="9">
        <v>47</v>
      </c>
      <c r="B80" s="10">
        <v>79</v>
      </c>
      <c r="C80" s="10">
        <v>33</v>
      </c>
      <c r="D80" s="27" t="s">
        <v>562</v>
      </c>
      <c r="E80" s="27" t="s">
        <v>563</v>
      </c>
      <c r="F80" s="28" t="s">
        <v>34</v>
      </c>
      <c r="G80" s="28" t="s">
        <v>372</v>
      </c>
      <c r="H80" s="28" t="s">
        <v>216</v>
      </c>
      <c r="I80" s="28" t="s">
        <v>169</v>
      </c>
      <c r="J80" s="28" t="s">
        <v>38</v>
      </c>
      <c r="K80" s="42" t="s">
        <v>564</v>
      </c>
      <c r="L80" s="42" t="s">
        <v>40</v>
      </c>
      <c r="M80" s="43" t="s">
        <v>565</v>
      </c>
      <c r="N80" s="28">
        <v>969150801</v>
      </c>
      <c r="O80" s="27" t="s">
        <v>566</v>
      </c>
      <c r="P80" s="27" t="s">
        <v>567</v>
      </c>
      <c r="Q80" s="32" t="s">
        <v>388</v>
      </c>
      <c r="R80" s="32" t="s">
        <v>377</v>
      </c>
      <c r="S80" s="32" t="s">
        <v>378</v>
      </c>
      <c r="T80" s="41" t="s">
        <v>95</v>
      </c>
      <c r="U80" s="28" t="s">
        <v>389</v>
      </c>
      <c r="V80" s="34">
        <v>60133</v>
      </c>
      <c r="W80" s="35">
        <v>398313</v>
      </c>
      <c r="X80" s="35" t="s">
        <v>48</v>
      </c>
      <c r="Y80" s="36">
        <v>6010231</v>
      </c>
      <c r="Z80" s="36">
        <v>683474</v>
      </c>
      <c r="AA80" s="45" t="s">
        <v>381</v>
      </c>
      <c r="AB80" s="20">
        <v>11</v>
      </c>
      <c r="AC80" s="20" t="s">
        <v>1769</v>
      </c>
      <c r="AD80" s="20">
        <v>11</v>
      </c>
      <c r="AE80" s="20" t="s">
        <v>1769</v>
      </c>
      <c r="AF80" s="20">
        <v>12</v>
      </c>
      <c r="AG80" s="18" t="s">
        <v>1767</v>
      </c>
      <c r="AH80" s="20">
        <v>11</v>
      </c>
      <c r="AI80" s="20" t="s">
        <v>1768</v>
      </c>
      <c r="AJ80" s="19" t="str">
        <f t="shared" si="7"/>
        <v>APROBADO</v>
      </c>
      <c r="AK80" s="217" t="s">
        <v>50</v>
      </c>
    </row>
    <row r="81" spans="1:37" ht="15" hidden="1" customHeight="1" x14ac:dyDescent="0.2">
      <c r="A81" s="9">
        <v>47</v>
      </c>
      <c r="B81" s="10">
        <v>66</v>
      </c>
      <c r="C81" s="10">
        <v>34</v>
      </c>
      <c r="D81" s="27" t="s">
        <v>568</v>
      </c>
      <c r="E81" s="27" t="s">
        <v>569</v>
      </c>
      <c r="F81" s="28" t="s">
        <v>34</v>
      </c>
      <c r="G81" s="28" t="s">
        <v>384</v>
      </c>
      <c r="H81" s="35" t="s">
        <v>216</v>
      </c>
      <c r="I81" s="28" t="s">
        <v>169</v>
      </c>
      <c r="J81" s="28" t="s">
        <v>38</v>
      </c>
      <c r="K81" s="29" t="s">
        <v>570</v>
      </c>
      <c r="L81" s="29" t="s">
        <v>40</v>
      </c>
      <c r="M81" s="43" t="s">
        <v>571</v>
      </c>
      <c r="N81" s="28">
        <v>965912295</v>
      </c>
      <c r="O81" s="27" t="s">
        <v>572</v>
      </c>
      <c r="P81" s="27" t="s">
        <v>573</v>
      </c>
      <c r="Q81" s="32" t="s">
        <v>388</v>
      </c>
      <c r="R81" s="32" t="s">
        <v>377</v>
      </c>
      <c r="S81" s="32" t="s">
        <v>378</v>
      </c>
      <c r="T81" s="41" t="s">
        <v>95</v>
      </c>
      <c r="U81" s="28" t="s">
        <v>389</v>
      </c>
      <c r="V81" s="34" t="s">
        <v>574</v>
      </c>
      <c r="W81" s="35">
        <v>1151331</v>
      </c>
      <c r="X81" s="35" t="s">
        <v>48</v>
      </c>
      <c r="Y81" s="36" t="s">
        <v>574</v>
      </c>
      <c r="Z81" s="36">
        <v>1151331</v>
      </c>
      <c r="AA81" s="45" t="s">
        <v>442</v>
      </c>
      <c r="AB81" s="20">
        <v>15</v>
      </c>
      <c r="AC81" s="20" t="s">
        <v>1771</v>
      </c>
      <c r="AD81" s="20">
        <v>15</v>
      </c>
      <c r="AE81" s="20" t="s">
        <v>1771</v>
      </c>
      <c r="AF81" s="20">
        <v>16</v>
      </c>
      <c r="AG81" s="18" t="s">
        <v>1767</v>
      </c>
      <c r="AH81" s="20">
        <v>13</v>
      </c>
      <c r="AI81" s="20" t="s">
        <v>1767</v>
      </c>
      <c r="AJ81" s="19" t="str">
        <f t="shared" si="7"/>
        <v>APROBADO</v>
      </c>
      <c r="AK81" s="217" t="s">
        <v>50</v>
      </c>
    </row>
    <row r="82" spans="1:37" ht="15" hidden="1" customHeight="1" x14ac:dyDescent="0.2">
      <c r="A82" s="9">
        <v>47</v>
      </c>
      <c r="B82" s="10">
        <v>67</v>
      </c>
      <c r="C82" s="10">
        <v>35</v>
      </c>
      <c r="D82" s="27" t="s">
        <v>575</v>
      </c>
      <c r="E82" s="27" t="s">
        <v>576</v>
      </c>
      <c r="F82" s="28" t="s">
        <v>34</v>
      </c>
      <c r="G82" s="28" t="s">
        <v>384</v>
      </c>
      <c r="H82" s="28" t="s">
        <v>385</v>
      </c>
      <c r="I82" s="28" t="s">
        <v>169</v>
      </c>
      <c r="J82" s="28" t="s">
        <v>38</v>
      </c>
      <c r="K82" s="29" t="s">
        <v>577</v>
      </c>
      <c r="L82" s="29" t="s">
        <v>40</v>
      </c>
      <c r="M82" s="28"/>
      <c r="N82" s="28">
        <v>965969450</v>
      </c>
      <c r="O82" s="31" t="s">
        <v>578</v>
      </c>
      <c r="P82" s="27" t="s">
        <v>579</v>
      </c>
      <c r="Q82" s="32" t="s">
        <v>388</v>
      </c>
      <c r="R82" s="32" t="s">
        <v>377</v>
      </c>
      <c r="S82" s="32" t="s">
        <v>378</v>
      </c>
      <c r="T82" s="41" t="s">
        <v>95</v>
      </c>
      <c r="U82" s="28" t="s">
        <v>174</v>
      </c>
      <c r="V82" s="34">
        <v>601331</v>
      </c>
      <c r="W82" s="35">
        <v>1147735</v>
      </c>
      <c r="X82" s="35" t="s">
        <v>85</v>
      </c>
      <c r="Y82" s="36" t="str">
        <f t="shared" ref="Y82:Y83" si="16">IF(X82="NO","NO APLICA","ESCRIBA EL NOMBRE DEL IIEE")</f>
        <v>NO APLICA</v>
      </c>
      <c r="Z82" s="36" t="str">
        <f t="shared" ref="Z82:Z83" si="17">IF(Y82="NO APLICA","NO APLICA","ESCRIBA EL CÓDIGO MODULAR")</f>
        <v>NO APLICA</v>
      </c>
      <c r="AA82" s="45" t="s">
        <v>381</v>
      </c>
      <c r="AB82" s="20">
        <v>15</v>
      </c>
      <c r="AC82" s="20" t="s">
        <v>1771</v>
      </c>
      <c r="AD82" s="20">
        <v>15</v>
      </c>
      <c r="AE82" s="20" t="s">
        <v>1771</v>
      </c>
      <c r="AF82" s="20">
        <v>16</v>
      </c>
      <c r="AG82" s="18" t="s">
        <v>1767</v>
      </c>
      <c r="AH82" s="20">
        <v>13</v>
      </c>
      <c r="AI82" s="20" t="s">
        <v>1767</v>
      </c>
      <c r="AJ82" s="19" t="str">
        <f t="shared" si="7"/>
        <v>APROBADO</v>
      </c>
      <c r="AK82" s="217" t="s">
        <v>50</v>
      </c>
    </row>
    <row r="83" spans="1:37" ht="15" hidden="1" customHeight="1" x14ac:dyDescent="0.2">
      <c r="A83" s="9">
        <v>47</v>
      </c>
      <c r="B83" s="10">
        <v>83</v>
      </c>
      <c r="C83" s="10">
        <v>36</v>
      </c>
      <c r="D83" s="33" t="s">
        <v>580</v>
      </c>
      <c r="E83" s="33" t="s">
        <v>581</v>
      </c>
      <c r="F83" s="28" t="s">
        <v>34</v>
      </c>
      <c r="G83" s="35" t="s">
        <v>384</v>
      </c>
      <c r="H83" s="35" t="s">
        <v>216</v>
      </c>
      <c r="I83" s="28" t="s">
        <v>169</v>
      </c>
      <c r="J83" s="28" t="s">
        <v>38</v>
      </c>
      <c r="K83" s="38" t="s">
        <v>582</v>
      </c>
      <c r="L83" s="38" t="s">
        <v>40</v>
      </c>
      <c r="M83" s="39">
        <v>29444</v>
      </c>
      <c r="N83" s="35">
        <v>971263717</v>
      </c>
      <c r="O83" s="33" t="s">
        <v>583</v>
      </c>
      <c r="P83" s="33" t="s">
        <v>584</v>
      </c>
      <c r="Q83" s="40" t="s">
        <v>408</v>
      </c>
      <c r="R83" s="32" t="s">
        <v>377</v>
      </c>
      <c r="S83" s="32" t="s">
        <v>378</v>
      </c>
      <c r="T83" s="41" t="s">
        <v>95</v>
      </c>
      <c r="U83" s="28" t="s">
        <v>389</v>
      </c>
      <c r="V83" s="34">
        <v>60133</v>
      </c>
      <c r="W83" s="35">
        <v>398313</v>
      </c>
      <c r="X83" s="35" t="s">
        <v>85</v>
      </c>
      <c r="Y83" s="36" t="str">
        <f t="shared" si="16"/>
        <v>NO APLICA</v>
      </c>
      <c r="Z83" s="36" t="str">
        <f t="shared" si="17"/>
        <v>NO APLICA</v>
      </c>
      <c r="AA83" s="45" t="s">
        <v>381</v>
      </c>
      <c r="AB83" s="20">
        <v>16</v>
      </c>
      <c r="AC83" s="20" t="s">
        <v>1771</v>
      </c>
      <c r="AD83" s="20">
        <v>11</v>
      </c>
      <c r="AE83" s="20" t="s">
        <v>1769</v>
      </c>
      <c r="AF83" s="20">
        <v>15</v>
      </c>
      <c r="AG83" s="18" t="s">
        <v>1767</v>
      </c>
      <c r="AH83" s="20">
        <v>11</v>
      </c>
      <c r="AI83" s="20" t="s">
        <v>1769</v>
      </c>
      <c r="AJ83" s="19" t="str">
        <f t="shared" si="7"/>
        <v>APROBADO</v>
      </c>
      <c r="AK83" s="217" t="s">
        <v>50</v>
      </c>
    </row>
    <row r="84" spans="1:37" ht="15" hidden="1" customHeight="1" x14ac:dyDescent="0.25">
      <c r="A84" s="9">
        <v>47</v>
      </c>
      <c r="B84" s="10">
        <v>91</v>
      </c>
      <c r="C84" s="10">
        <v>37</v>
      </c>
      <c r="D84" s="27" t="s">
        <v>585</v>
      </c>
      <c r="E84" s="27" t="s">
        <v>586</v>
      </c>
      <c r="F84" s="28" t="s">
        <v>34</v>
      </c>
      <c r="G84" s="28" t="s">
        <v>372</v>
      </c>
      <c r="H84" s="28" t="s">
        <v>297</v>
      </c>
      <c r="I84" s="28" t="s">
        <v>169</v>
      </c>
      <c r="J84" s="28" t="s">
        <v>38</v>
      </c>
      <c r="K84" s="42" t="s">
        <v>587</v>
      </c>
      <c r="L84" s="42" t="s">
        <v>40</v>
      </c>
      <c r="M84" s="30">
        <v>24616</v>
      </c>
      <c r="N84" s="28">
        <v>965613356</v>
      </c>
      <c r="O84" s="31" t="s">
        <v>588</v>
      </c>
      <c r="P84" s="33" t="s">
        <v>589</v>
      </c>
      <c r="Q84" s="32" t="s">
        <v>388</v>
      </c>
      <c r="R84" s="32" t="s">
        <v>377</v>
      </c>
      <c r="S84" s="32" t="s">
        <v>378</v>
      </c>
      <c r="T84" s="41" t="s">
        <v>95</v>
      </c>
      <c r="U84" s="28" t="s">
        <v>96</v>
      </c>
      <c r="V84" s="34" t="s">
        <v>380</v>
      </c>
      <c r="W84" s="35" t="s">
        <v>380</v>
      </c>
      <c r="X84" s="35" t="s">
        <v>48</v>
      </c>
      <c r="Y84" s="44" t="s">
        <v>380</v>
      </c>
      <c r="Z84" s="44" t="s">
        <v>380</v>
      </c>
      <c r="AA84" s="45" t="s">
        <v>391</v>
      </c>
      <c r="AB84" s="20">
        <v>13</v>
      </c>
      <c r="AC84" s="20" t="s">
        <v>1771</v>
      </c>
      <c r="AD84" s="20">
        <v>11</v>
      </c>
      <c r="AE84" s="20" t="s">
        <v>1769</v>
      </c>
      <c r="AF84" s="20">
        <v>12</v>
      </c>
      <c r="AG84" s="18" t="s">
        <v>1767</v>
      </c>
      <c r="AH84" s="20">
        <v>12</v>
      </c>
      <c r="AI84" s="20" t="s">
        <v>1767</v>
      </c>
      <c r="AJ84" s="19" t="str">
        <f t="shared" si="7"/>
        <v>APROBADO</v>
      </c>
      <c r="AK84" s="217" t="s">
        <v>50</v>
      </c>
    </row>
    <row r="85" spans="1:37" ht="15" hidden="1" customHeight="1" x14ac:dyDescent="0.2">
      <c r="A85" s="9">
        <v>47</v>
      </c>
      <c r="B85" s="10">
        <v>69</v>
      </c>
      <c r="C85" s="10">
        <v>38</v>
      </c>
      <c r="D85" s="27" t="s">
        <v>590</v>
      </c>
      <c r="E85" s="27" t="s">
        <v>591</v>
      </c>
      <c r="F85" s="28" t="s">
        <v>34</v>
      </c>
      <c r="G85" s="28" t="s">
        <v>384</v>
      </c>
      <c r="H85" s="28" t="s">
        <v>385</v>
      </c>
      <c r="I85" s="28" t="s">
        <v>169</v>
      </c>
      <c r="J85" s="28" t="s">
        <v>38</v>
      </c>
      <c r="K85" s="42" t="s">
        <v>592</v>
      </c>
      <c r="L85" s="42" t="s">
        <v>40</v>
      </c>
      <c r="M85" s="43" t="s">
        <v>593</v>
      </c>
      <c r="N85" s="28">
        <v>920114537</v>
      </c>
      <c r="O85" s="27" t="s">
        <v>594</v>
      </c>
      <c r="P85" s="33" t="s">
        <v>595</v>
      </c>
      <c r="Q85" s="40" t="s">
        <v>448</v>
      </c>
      <c r="R85" s="32" t="s">
        <v>377</v>
      </c>
      <c r="S85" s="32" t="s">
        <v>378</v>
      </c>
      <c r="T85" s="41" t="s">
        <v>95</v>
      </c>
      <c r="U85" s="28" t="s">
        <v>389</v>
      </c>
      <c r="V85" s="34">
        <v>601331</v>
      </c>
      <c r="W85" s="35">
        <v>1147735</v>
      </c>
      <c r="X85" s="35" t="s">
        <v>85</v>
      </c>
      <c r="Y85" s="36" t="str">
        <f t="shared" ref="Y85:Y88" si="18">IF(X85="NO","NO APLICA","ESCRIBA EL NOMBRE DEL IIEE")</f>
        <v>NO APLICA</v>
      </c>
      <c r="Z85" s="36" t="str">
        <f t="shared" ref="Z85:Z88" si="19">IF(Y85="NO APLICA","NO APLICA","ESCRIBA EL CÓDIGO MODULAR")</f>
        <v>NO APLICA</v>
      </c>
      <c r="AA85" s="45" t="s">
        <v>381</v>
      </c>
      <c r="AB85" s="20">
        <v>16</v>
      </c>
      <c r="AC85" s="20" t="s">
        <v>1771</v>
      </c>
      <c r="AD85" s="20">
        <v>15</v>
      </c>
      <c r="AE85" s="20" t="s">
        <v>1771</v>
      </c>
      <c r="AF85" s="20">
        <v>15</v>
      </c>
      <c r="AG85" s="18" t="s">
        <v>1767</v>
      </c>
      <c r="AH85" s="20">
        <v>12</v>
      </c>
      <c r="AI85" s="20" t="s">
        <v>1767</v>
      </c>
      <c r="AJ85" s="19" t="str">
        <f t="shared" si="7"/>
        <v>APROBADO</v>
      </c>
      <c r="AK85" s="217" t="s">
        <v>50</v>
      </c>
    </row>
    <row r="86" spans="1:37" ht="15" hidden="1" customHeight="1" x14ac:dyDescent="0.2">
      <c r="A86" s="9">
        <v>47</v>
      </c>
      <c r="B86" s="10">
        <v>87</v>
      </c>
      <c r="C86" s="10">
        <v>39</v>
      </c>
      <c r="D86" s="33" t="s">
        <v>596</v>
      </c>
      <c r="E86" s="33" t="s">
        <v>597</v>
      </c>
      <c r="F86" s="28" t="s">
        <v>34</v>
      </c>
      <c r="G86" s="35" t="s">
        <v>384</v>
      </c>
      <c r="H86" s="35" t="s">
        <v>529</v>
      </c>
      <c r="I86" s="28" t="s">
        <v>169</v>
      </c>
      <c r="J86" s="28" t="s">
        <v>38</v>
      </c>
      <c r="K86" s="38" t="s">
        <v>598</v>
      </c>
      <c r="L86" s="38" t="s">
        <v>40</v>
      </c>
      <c r="M86" s="39">
        <v>31809</v>
      </c>
      <c r="N86" s="35">
        <v>938699610</v>
      </c>
      <c r="O86" s="33" t="s">
        <v>599</v>
      </c>
      <c r="P86" s="33" t="s">
        <v>600</v>
      </c>
      <c r="Q86" s="40" t="s">
        <v>408</v>
      </c>
      <c r="R86" s="32" t="s">
        <v>377</v>
      </c>
      <c r="S86" s="32" t="s">
        <v>378</v>
      </c>
      <c r="T86" s="41" t="s">
        <v>95</v>
      </c>
      <c r="U86" s="28" t="s">
        <v>389</v>
      </c>
      <c r="V86" s="34">
        <v>60133</v>
      </c>
      <c r="W86" s="35">
        <v>398313</v>
      </c>
      <c r="X86" s="35" t="s">
        <v>85</v>
      </c>
      <c r="Y86" s="36" t="str">
        <f t="shared" si="18"/>
        <v>NO APLICA</v>
      </c>
      <c r="Z86" s="36" t="str">
        <f t="shared" si="19"/>
        <v>NO APLICA</v>
      </c>
      <c r="AA86" s="45" t="s">
        <v>381</v>
      </c>
      <c r="AB86" s="20">
        <v>7</v>
      </c>
      <c r="AC86" s="20" t="s">
        <v>1772</v>
      </c>
      <c r="AD86" s="20">
        <v>8</v>
      </c>
      <c r="AE86" s="20" t="s">
        <v>1769</v>
      </c>
      <c r="AF86" s="20">
        <v>12</v>
      </c>
      <c r="AG86" s="18" t="s">
        <v>1767</v>
      </c>
      <c r="AH86" s="20">
        <v>11</v>
      </c>
      <c r="AI86" s="20" t="s">
        <v>1769</v>
      </c>
      <c r="AJ86" s="19" t="str">
        <f t="shared" si="7"/>
        <v>DESAPROBADO</v>
      </c>
      <c r="AK86" s="217" t="s">
        <v>57</v>
      </c>
    </row>
    <row r="87" spans="1:37" ht="15" hidden="1" customHeight="1" x14ac:dyDescent="0.2">
      <c r="A87" s="9">
        <v>47</v>
      </c>
      <c r="B87" s="10">
        <v>65</v>
      </c>
      <c r="C87" s="10">
        <v>40</v>
      </c>
      <c r="D87" s="33" t="s">
        <v>601</v>
      </c>
      <c r="E87" s="33" t="s">
        <v>602</v>
      </c>
      <c r="F87" s="28" t="s">
        <v>34</v>
      </c>
      <c r="G87" s="35" t="s">
        <v>384</v>
      </c>
      <c r="H87" s="35" t="s">
        <v>168</v>
      </c>
      <c r="I87" s="28" t="s">
        <v>169</v>
      </c>
      <c r="J87" s="28" t="s">
        <v>38</v>
      </c>
      <c r="K87" s="54" t="s">
        <v>603</v>
      </c>
      <c r="L87" s="38" t="s">
        <v>40</v>
      </c>
      <c r="M87" s="39">
        <v>28118</v>
      </c>
      <c r="N87" s="35">
        <v>975253243</v>
      </c>
      <c r="O87" s="33" t="s">
        <v>604</v>
      </c>
      <c r="P87" s="33" t="s">
        <v>605</v>
      </c>
      <c r="Q87" s="40" t="s">
        <v>376</v>
      </c>
      <c r="R87" s="32" t="s">
        <v>377</v>
      </c>
      <c r="S87" s="32" t="s">
        <v>378</v>
      </c>
      <c r="T87" s="41" t="s">
        <v>95</v>
      </c>
      <c r="U87" s="28" t="s">
        <v>389</v>
      </c>
      <c r="V87" s="34" t="s">
        <v>574</v>
      </c>
      <c r="W87" s="35">
        <v>1151331</v>
      </c>
      <c r="X87" s="35" t="s">
        <v>85</v>
      </c>
      <c r="Y87" s="36" t="str">
        <f t="shared" si="18"/>
        <v>NO APLICA</v>
      </c>
      <c r="Z87" s="36" t="str">
        <f t="shared" si="19"/>
        <v>NO APLICA</v>
      </c>
      <c r="AA87" s="45" t="s">
        <v>442</v>
      </c>
      <c r="AB87" s="20">
        <v>16</v>
      </c>
      <c r="AC87" s="20" t="s">
        <v>1771</v>
      </c>
      <c r="AD87" s="20">
        <v>16</v>
      </c>
      <c r="AE87" s="20" t="s">
        <v>1771</v>
      </c>
      <c r="AF87" s="20">
        <v>16</v>
      </c>
      <c r="AG87" s="18" t="s">
        <v>1767</v>
      </c>
      <c r="AH87" s="20">
        <v>11</v>
      </c>
      <c r="AI87" s="20" t="s">
        <v>1769</v>
      </c>
      <c r="AJ87" s="19" t="str">
        <f t="shared" si="7"/>
        <v>APROBADO</v>
      </c>
      <c r="AK87" s="217" t="s">
        <v>50</v>
      </c>
    </row>
    <row r="88" spans="1:37" ht="15" hidden="1" customHeight="1" x14ac:dyDescent="0.2">
      <c r="A88" s="9">
        <v>47</v>
      </c>
      <c r="B88" s="10">
        <v>61</v>
      </c>
      <c r="C88" s="10">
        <v>41</v>
      </c>
      <c r="D88" s="27" t="s">
        <v>606</v>
      </c>
      <c r="E88" s="27" t="s">
        <v>607</v>
      </c>
      <c r="F88" s="28" t="s">
        <v>34</v>
      </c>
      <c r="G88" s="28" t="s">
        <v>384</v>
      </c>
      <c r="H88" s="35" t="s">
        <v>216</v>
      </c>
      <c r="I88" s="28" t="s">
        <v>169</v>
      </c>
      <c r="J88" s="28" t="s">
        <v>38</v>
      </c>
      <c r="K88" s="42" t="s">
        <v>608</v>
      </c>
      <c r="L88" s="42" t="s">
        <v>40</v>
      </c>
      <c r="M88" s="43" t="s">
        <v>609</v>
      </c>
      <c r="N88" s="28">
        <v>948436468</v>
      </c>
      <c r="O88" s="27" t="s">
        <v>610</v>
      </c>
      <c r="P88" s="27" t="s">
        <v>611</v>
      </c>
      <c r="Q88" s="33" t="s">
        <v>408</v>
      </c>
      <c r="R88" s="40" t="s">
        <v>377</v>
      </c>
      <c r="S88" s="32" t="s">
        <v>378</v>
      </c>
      <c r="T88" s="41" t="s">
        <v>95</v>
      </c>
      <c r="U88" s="28" t="s">
        <v>389</v>
      </c>
      <c r="V88" s="34">
        <v>601614</v>
      </c>
      <c r="W88" s="35">
        <v>1154400</v>
      </c>
      <c r="X88" s="35" t="s">
        <v>85</v>
      </c>
      <c r="Y88" s="36" t="str">
        <f t="shared" si="18"/>
        <v>NO APLICA</v>
      </c>
      <c r="Z88" s="36" t="str">
        <f t="shared" si="19"/>
        <v>NO APLICA</v>
      </c>
      <c r="AA88" s="45" t="s">
        <v>381</v>
      </c>
      <c r="AB88" s="20">
        <v>18</v>
      </c>
      <c r="AC88" s="20" t="s">
        <v>1771</v>
      </c>
      <c r="AD88" s="20">
        <v>14</v>
      </c>
      <c r="AE88" s="20" t="s">
        <v>1771</v>
      </c>
      <c r="AF88" s="20">
        <v>17</v>
      </c>
      <c r="AG88" s="18" t="s">
        <v>1767</v>
      </c>
      <c r="AH88" s="20">
        <v>13</v>
      </c>
      <c r="AI88" s="20" t="s">
        <v>1767</v>
      </c>
      <c r="AJ88" s="19" t="str">
        <f t="shared" si="7"/>
        <v>APROBADO</v>
      </c>
      <c r="AK88" s="217" t="s">
        <v>50</v>
      </c>
    </row>
    <row r="89" spans="1:37" ht="15" hidden="1" customHeight="1" x14ac:dyDescent="0.2">
      <c r="A89" s="9">
        <v>47</v>
      </c>
      <c r="B89" s="10">
        <v>74</v>
      </c>
      <c r="C89" s="10">
        <v>42</v>
      </c>
      <c r="D89" s="27" t="s">
        <v>466</v>
      </c>
      <c r="E89" s="27" t="s">
        <v>612</v>
      </c>
      <c r="F89" s="28" t="s">
        <v>34</v>
      </c>
      <c r="G89" s="28" t="s">
        <v>384</v>
      </c>
      <c r="H89" s="28" t="s">
        <v>613</v>
      </c>
      <c r="I89" s="28" t="s">
        <v>169</v>
      </c>
      <c r="J89" s="28" t="s">
        <v>38</v>
      </c>
      <c r="K89" s="29" t="s">
        <v>614</v>
      </c>
      <c r="L89" s="29" t="s">
        <v>40</v>
      </c>
      <c r="M89" s="43" t="s">
        <v>615</v>
      </c>
      <c r="N89" s="28">
        <v>920786297</v>
      </c>
      <c r="O89" s="31" t="s">
        <v>616</v>
      </c>
      <c r="P89" s="27" t="s">
        <v>617</v>
      </c>
      <c r="Q89" s="27" t="s">
        <v>388</v>
      </c>
      <c r="R89" s="32" t="s">
        <v>377</v>
      </c>
      <c r="S89" s="32" t="s">
        <v>378</v>
      </c>
      <c r="T89" s="41" t="s">
        <v>95</v>
      </c>
      <c r="U89" s="28" t="s">
        <v>618</v>
      </c>
      <c r="V89" s="34" t="s">
        <v>390</v>
      </c>
      <c r="W89" s="35">
        <v>683466</v>
      </c>
      <c r="X89" s="35" t="s">
        <v>48</v>
      </c>
      <c r="Y89" s="36" t="s">
        <v>390</v>
      </c>
      <c r="Z89" s="36">
        <v>683466</v>
      </c>
      <c r="AA89" s="45" t="s">
        <v>381</v>
      </c>
      <c r="AB89" s="20">
        <v>16</v>
      </c>
      <c r="AC89" s="20" t="s">
        <v>1771</v>
      </c>
      <c r="AD89" s="20">
        <v>12</v>
      </c>
      <c r="AE89" s="20" t="s">
        <v>1771</v>
      </c>
      <c r="AF89" s="20">
        <v>15</v>
      </c>
      <c r="AG89" s="18" t="s">
        <v>1767</v>
      </c>
      <c r="AH89" s="20">
        <v>12</v>
      </c>
      <c r="AI89" s="20" t="s">
        <v>1767</v>
      </c>
      <c r="AJ89" s="19" t="str">
        <f t="shared" si="7"/>
        <v>APROBADO</v>
      </c>
      <c r="AK89" s="217" t="s">
        <v>50</v>
      </c>
    </row>
    <row r="90" spans="1:37" ht="15" hidden="1" customHeight="1" x14ac:dyDescent="0.2">
      <c r="A90" s="9">
        <v>47</v>
      </c>
      <c r="B90" s="10">
        <v>75</v>
      </c>
      <c r="C90" s="10">
        <v>43</v>
      </c>
      <c r="D90" s="27" t="s">
        <v>619</v>
      </c>
      <c r="E90" s="27" t="s">
        <v>620</v>
      </c>
      <c r="F90" s="28" t="s">
        <v>34</v>
      </c>
      <c r="G90" s="28" t="s">
        <v>372</v>
      </c>
      <c r="H90" s="28" t="s">
        <v>88</v>
      </c>
      <c r="I90" s="28" t="s">
        <v>169</v>
      </c>
      <c r="J90" s="28" t="s">
        <v>38</v>
      </c>
      <c r="K90" s="29" t="s">
        <v>621</v>
      </c>
      <c r="L90" s="60" t="s">
        <v>40</v>
      </c>
      <c r="M90" s="61">
        <v>22244</v>
      </c>
      <c r="N90" s="37">
        <v>956232447</v>
      </c>
      <c r="O90" s="62" t="s">
        <v>622</v>
      </c>
      <c r="P90" s="62" t="s">
        <v>623</v>
      </c>
      <c r="Q90" s="63" t="s">
        <v>448</v>
      </c>
      <c r="R90" s="32" t="s">
        <v>377</v>
      </c>
      <c r="S90" s="32" t="s">
        <v>378</v>
      </c>
      <c r="T90" s="41" t="s">
        <v>95</v>
      </c>
      <c r="U90" s="28" t="s">
        <v>389</v>
      </c>
      <c r="V90" s="34" t="s">
        <v>390</v>
      </c>
      <c r="W90" s="35">
        <v>683466</v>
      </c>
      <c r="X90" s="35" t="s">
        <v>48</v>
      </c>
      <c r="Y90" s="36" t="s">
        <v>390</v>
      </c>
      <c r="Z90" s="36">
        <v>683466</v>
      </c>
      <c r="AA90" s="45" t="s">
        <v>381</v>
      </c>
      <c r="AB90" s="20">
        <v>11</v>
      </c>
      <c r="AC90" s="20" t="s">
        <v>1768</v>
      </c>
      <c r="AD90" s="20">
        <v>11</v>
      </c>
      <c r="AE90" s="20" t="s">
        <v>1769</v>
      </c>
      <c r="AF90" s="20">
        <v>11</v>
      </c>
      <c r="AG90" s="20" t="s">
        <v>1768</v>
      </c>
      <c r="AH90" s="20">
        <v>11</v>
      </c>
      <c r="AI90" s="20" t="s">
        <v>1769</v>
      </c>
      <c r="AJ90" s="19" t="str">
        <f t="shared" si="7"/>
        <v>APROBADO</v>
      </c>
      <c r="AK90" s="217" t="s">
        <v>50</v>
      </c>
    </row>
    <row r="91" spans="1:37" ht="15" hidden="1" customHeight="1" x14ac:dyDescent="0.2">
      <c r="A91" s="9">
        <v>47</v>
      </c>
      <c r="B91" s="10">
        <v>94</v>
      </c>
      <c r="C91" s="10">
        <v>44</v>
      </c>
      <c r="D91" s="27" t="s">
        <v>624</v>
      </c>
      <c r="E91" s="27" t="s">
        <v>625</v>
      </c>
      <c r="F91" s="28" t="s">
        <v>34</v>
      </c>
      <c r="G91" s="28" t="s">
        <v>384</v>
      </c>
      <c r="H91" s="28" t="s">
        <v>168</v>
      </c>
      <c r="I91" s="28" t="s">
        <v>169</v>
      </c>
      <c r="J91" s="28" t="s">
        <v>38</v>
      </c>
      <c r="K91" s="42">
        <v>40031707</v>
      </c>
      <c r="L91" s="42" t="s">
        <v>40</v>
      </c>
      <c r="M91" s="43" t="s">
        <v>626</v>
      </c>
      <c r="N91" s="28">
        <v>965906836</v>
      </c>
      <c r="O91" s="31" t="s">
        <v>627</v>
      </c>
      <c r="P91" s="27" t="s">
        <v>628</v>
      </c>
      <c r="Q91" s="32" t="s">
        <v>388</v>
      </c>
      <c r="R91" s="32" t="s">
        <v>377</v>
      </c>
      <c r="S91" s="32" t="s">
        <v>378</v>
      </c>
      <c r="T91" s="41" t="s">
        <v>95</v>
      </c>
      <c r="U91" s="28" t="s">
        <v>389</v>
      </c>
      <c r="V91" s="34" t="s">
        <v>390</v>
      </c>
      <c r="W91" s="35">
        <v>1210491</v>
      </c>
      <c r="X91" s="35" t="s">
        <v>48</v>
      </c>
      <c r="Y91" s="36" t="s">
        <v>390</v>
      </c>
      <c r="Z91" s="36">
        <v>1210491</v>
      </c>
      <c r="AA91" s="45" t="s">
        <v>391</v>
      </c>
      <c r="AB91" s="20">
        <v>11</v>
      </c>
      <c r="AC91" s="20" t="s">
        <v>1768</v>
      </c>
      <c r="AD91" s="20">
        <v>11</v>
      </c>
      <c r="AE91" s="20" t="s">
        <v>1769</v>
      </c>
      <c r="AF91" s="20">
        <v>12</v>
      </c>
      <c r="AG91" s="20" t="s">
        <v>1767</v>
      </c>
      <c r="AH91" s="20">
        <v>11</v>
      </c>
      <c r="AI91" s="20" t="s">
        <v>1769</v>
      </c>
      <c r="AJ91" s="19" t="str">
        <f t="shared" si="7"/>
        <v>APROBADO</v>
      </c>
      <c r="AK91" s="217" t="s">
        <v>50</v>
      </c>
    </row>
    <row r="92" spans="1:37" ht="15" hidden="1" customHeight="1" x14ac:dyDescent="0.2">
      <c r="A92" s="9">
        <v>47</v>
      </c>
      <c r="B92" s="10">
        <v>53</v>
      </c>
      <c r="C92" s="10">
        <v>45</v>
      </c>
      <c r="D92" s="27" t="s">
        <v>629</v>
      </c>
      <c r="E92" s="27" t="s">
        <v>630</v>
      </c>
      <c r="F92" s="28" t="s">
        <v>34</v>
      </c>
      <c r="G92" s="28" t="s">
        <v>384</v>
      </c>
      <c r="H92" s="28" t="s">
        <v>216</v>
      </c>
      <c r="I92" s="28" t="s">
        <v>169</v>
      </c>
      <c r="J92" s="28" t="s">
        <v>38</v>
      </c>
      <c r="K92" s="42" t="s">
        <v>631</v>
      </c>
      <c r="L92" s="42" t="s">
        <v>40</v>
      </c>
      <c r="M92" s="30">
        <v>29392</v>
      </c>
      <c r="N92" s="28">
        <v>931354291</v>
      </c>
      <c r="O92" s="27" t="s">
        <v>632</v>
      </c>
      <c r="P92" s="27" t="s">
        <v>633</v>
      </c>
      <c r="Q92" s="27" t="s">
        <v>448</v>
      </c>
      <c r="R92" s="32" t="s">
        <v>377</v>
      </c>
      <c r="S92" s="32" t="s">
        <v>378</v>
      </c>
      <c r="T92" s="28" t="s">
        <v>95</v>
      </c>
      <c r="U92" s="28" t="s">
        <v>389</v>
      </c>
      <c r="V92" s="34">
        <v>678</v>
      </c>
      <c r="W92" s="35">
        <v>1152321</v>
      </c>
      <c r="X92" s="35" t="s">
        <v>85</v>
      </c>
      <c r="Y92" s="36" t="str">
        <f>IF(X92="NO","NO APLICA","ESCRIBA EL NOMBRE DEL IIEE")</f>
        <v>NO APLICA</v>
      </c>
      <c r="Z92" s="36" t="str">
        <f>IF(Y92="NO APLICA","NO APLICA","ESCRIBA EL CÓDIGO MODULAR")</f>
        <v>NO APLICA</v>
      </c>
      <c r="AA92" s="45" t="s">
        <v>442</v>
      </c>
      <c r="AB92" s="20">
        <v>0</v>
      </c>
      <c r="AC92" s="220" t="s">
        <v>1772</v>
      </c>
      <c r="AD92" s="20">
        <v>0</v>
      </c>
      <c r="AE92" s="220" t="s">
        <v>1772</v>
      </c>
      <c r="AF92" s="20">
        <v>2</v>
      </c>
      <c r="AG92" s="20" t="s">
        <v>1770</v>
      </c>
      <c r="AH92" s="20">
        <v>0</v>
      </c>
      <c r="AI92" s="20" t="s">
        <v>1770</v>
      </c>
      <c r="AJ92" s="219" t="s">
        <v>70</v>
      </c>
      <c r="AK92" s="217" t="s">
        <v>70</v>
      </c>
    </row>
    <row r="93" spans="1:37" ht="15" hidden="1" customHeight="1" x14ac:dyDescent="0.2">
      <c r="A93" s="9">
        <v>47</v>
      </c>
      <c r="B93" s="10">
        <v>62</v>
      </c>
      <c r="C93" s="10">
        <v>46</v>
      </c>
      <c r="D93" s="27" t="s">
        <v>634</v>
      </c>
      <c r="E93" s="27" t="s">
        <v>635</v>
      </c>
      <c r="F93" s="28" t="s">
        <v>34</v>
      </c>
      <c r="G93" s="28" t="s">
        <v>384</v>
      </c>
      <c r="H93" s="35" t="s">
        <v>216</v>
      </c>
      <c r="I93" s="28" t="s">
        <v>169</v>
      </c>
      <c r="J93" s="28" t="s">
        <v>38</v>
      </c>
      <c r="K93" s="42" t="s">
        <v>636</v>
      </c>
      <c r="L93" s="42" t="s">
        <v>40</v>
      </c>
      <c r="M93" s="43" t="s">
        <v>637</v>
      </c>
      <c r="N93" s="28">
        <v>938134955</v>
      </c>
      <c r="O93" s="27" t="s">
        <v>638</v>
      </c>
      <c r="P93" s="27" t="s">
        <v>639</v>
      </c>
      <c r="Q93" s="27" t="s">
        <v>388</v>
      </c>
      <c r="R93" s="32" t="s">
        <v>377</v>
      </c>
      <c r="S93" s="32" t="s">
        <v>378</v>
      </c>
      <c r="T93" s="28" t="s">
        <v>95</v>
      </c>
      <c r="U93" s="28" t="s">
        <v>389</v>
      </c>
      <c r="V93" s="34">
        <v>601514</v>
      </c>
      <c r="W93" s="35">
        <v>1154400</v>
      </c>
      <c r="X93" s="35" t="s">
        <v>48</v>
      </c>
      <c r="Y93" s="36">
        <v>601514</v>
      </c>
      <c r="Z93" s="36">
        <v>1154400</v>
      </c>
      <c r="AA93" s="45" t="s">
        <v>381</v>
      </c>
      <c r="AB93" s="20">
        <v>17</v>
      </c>
      <c r="AC93" s="20" t="s">
        <v>1771</v>
      </c>
      <c r="AD93" s="20">
        <v>14</v>
      </c>
      <c r="AE93" s="20" t="s">
        <v>1771</v>
      </c>
      <c r="AF93" s="20">
        <v>12</v>
      </c>
      <c r="AG93" s="20" t="s">
        <v>1771</v>
      </c>
      <c r="AH93" s="20">
        <v>14</v>
      </c>
      <c r="AI93" s="20" t="s">
        <v>1767</v>
      </c>
      <c r="AJ93" s="24" t="s">
        <v>50</v>
      </c>
      <c r="AK93" s="217" t="s">
        <v>50</v>
      </c>
    </row>
    <row r="94" spans="1:37" ht="15" hidden="1" customHeight="1" x14ac:dyDescent="0.2">
      <c r="A94" s="9">
        <v>47</v>
      </c>
      <c r="B94" s="10">
        <v>54</v>
      </c>
      <c r="C94" s="10">
        <v>47</v>
      </c>
      <c r="D94" s="27" t="s">
        <v>640</v>
      </c>
      <c r="E94" s="27" t="s">
        <v>641</v>
      </c>
      <c r="F94" s="28" t="s">
        <v>34</v>
      </c>
      <c r="G94" s="28" t="s">
        <v>384</v>
      </c>
      <c r="H94" s="28" t="s">
        <v>385</v>
      </c>
      <c r="I94" s="28" t="s">
        <v>169</v>
      </c>
      <c r="J94" s="28" t="s">
        <v>38</v>
      </c>
      <c r="K94" s="29" t="s">
        <v>642</v>
      </c>
      <c r="L94" s="29" t="s">
        <v>40</v>
      </c>
      <c r="M94" s="43" t="s">
        <v>643</v>
      </c>
      <c r="N94" s="43" t="s">
        <v>642</v>
      </c>
      <c r="O94" s="27" t="s">
        <v>644</v>
      </c>
      <c r="P94" s="27" t="s">
        <v>645</v>
      </c>
      <c r="Q94" s="27" t="s">
        <v>376</v>
      </c>
      <c r="R94" s="32" t="s">
        <v>377</v>
      </c>
      <c r="S94" s="32" t="s">
        <v>378</v>
      </c>
      <c r="T94" s="41" t="s">
        <v>95</v>
      </c>
      <c r="U94" s="28" t="s">
        <v>389</v>
      </c>
      <c r="V94" s="34">
        <v>601448</v>
      </c>
      <c r="W94" s="35">
        <v>1153964</v>
      </c>
      <c r="X94" s="35" t="s">
        <v>48</v>
      </c>
      <c r="Y94" s="36">
        <v>601448</v>
      </c>
      <c r="Z94" s="36">
        <v>1153964</v>
      </c>
      <c r="AA94" s="45" t="s">
        <v>381</v>
      </c>
      <c r="AB94" s="20">
        <v>14</v>
      </c>
      <c r="AC94" s="20" t="s">
        <v>1771</v>
      </c>
      <c r="AD94" s="20">
        <v>14</v>
      </c>
      <c r="AE94" s="20" t="s">
        <v>1771</v>
      </c>
      <c r="AF94" s="20">
        <v>11</v>
      </c>
      <c r="AG94" s="20" t="s">
        <v>1768</v>
      </c>
      <c r="AH94" s="20">
        <v>11</v>
      </c>
      <c r="AI94" s="20" t="s">
        <v>1769</v>
      </c>
      <c r="AJ94" s="19" t="str">
        <f t="shared" ref="AJ94:AJ96" si="20">IF(AND(AB94&gt;=11,AD94&gt;=11,AF94&gt;=11,AH94&gt;=11),"APROBADO","DESAPROBADO")</f>
        <v>APROBADO</v>
      </c>
      <c r="AK94" s="217" t="s">
        <v>50</v>
      </c>
    </row>
    <row r="95" spans="1:37" ht="15" hidden="1" customHeight="1" x14ac:dyDescent="0.2">
      <c r="A95" s="9">
        <v>47</v>
      </c>
      <c r="B95" s="10">
        <v>78</v>
      </c>
      <c r="C95" s="10">
        <v>48</v>
      </c>
      <c r="D95" s="55" t="s">
        <v>646</v>
      </c>
      <c r="E95" s="55" t="s">
        <v>647</v>
      </c>
      <c r="F95" s="28" t="s">
        <v>34</v>
      </c>
      <c r="G95" s="56" t="s">
        <v>372</v>
      </c>
      <c r="H95" s="56" t="s">
        <v>297</v>
      </c>
      <c r="I95" s="28" t="s">
        <v>169</v>
      </c>
      <c r="J95" s="28" t="s">
        <v>38</v>
      </c>
      <c r="K95" s="64" t="s">
        <v>648</v>
      </c>
      <c r="L95" s="64" t="s">
        <v>40</v>
      </c>
      <c r="M95" s="58">
        <v>22224</v>
      </c>
      <c r="N95" s="56">
        <v>956534451</v>
      </c>
      <c r="O95" s="65" t="s">
        <v>649</v>
      </c>
      <c r="P95" s="55" t="s">
        <v>650</v>
      </c>
      <c r="Q95" s="59" t="s">
        <v>376</v>
      </c>
      <c r="R95" s="32" t="s">
        <v>377</v>
      </c>
      <c r="S95" s="32" t="s">
        <v>378</v>
      </c>
      <c r="T95" s="41" t="s">
        <v>95</v>
      </c>
      <c r="U95" s="28" t="s">
        <v>96</v>
      </c>
      <c r="V95" s="34">
        <v>60133</v>
      </c>
      <c r="W95" s="35">
        <v>398313</v>
      </c>
      <c r="X95" s="35" t="s">
        <v>85</v>
      </c>
      <c r="Y95" s="36" t="str">
        <f>IF(X95="NO","NO APLICA","ESCRIBA EL NOMBRE DEL IIEE")</f>
        <v>NO APLICA</v>
      </c>
      <c r="Z95" s="36" t="str">
        <f>IF(Y95="NO APLICA","NO APLICA","ESCRIBA EL CÓDIGO MODULAR")</f>
        <v>NO APLICA</v>
      </c>
      <c r="AA95" s="45" t="s">
        <v>381</v>
      </c>
      <c r="AB95" s="20">
        <v>11</v>
      </c>
      <c r="AC95" s="20" t="s">
        <v>1769</v>
      </c>
      <c r="AD95" s="20">
        <v>11</v>
      </c>
      <c r="AE95" s="20" t="s">
        <v>1769</v>
      </c>
      <c r="AF95" s="20">
        <v>13</v>
      </c>
      <c r="AG95" s="20" t="s">
        <v>1771</v>
      </c>
      <c r="AH95" s="20">
        <v>14</v>
      </c>
      <c r="AI95" s="20" t="s">
        <v>1767</v>
      </c>
      <c r="AJ95" s="19" t="str">
        <f t="shared" si="20"/>
        <v>APROBADO</v>
      </c>
      <c r="AK95" s="217" t="s">
        <v>50</v>
      </c>
    </row>
    <row r="96" spans="1:37" ht="15" hidden="1" customHeight="1" x14ac:dyDescent="0.2">
      <c r="A96" s="9">
        <v>47</v>
      </c>
      <c r="B96" s="10">
        <v>100</v>
      </c>
      <c r="C96" s="10">
        <v>49</v>
      </c>
      <c r="D96" s="33" t="s">
        <v>651</v>
      </c>
      <c r="E96" s="33" t="s">
        <v>652</v>
      </c>
      <c r="F96" s="28" t="s">
        <v>34</v>
      </c>
      <c r="G96" s="35" t="s">
        <v>384</v>
      </c>
      <c r="H96" s="35" t="s">
        <v>216</v>
      </c>
      <c r="I96" s="28" t="s">
        <v>169</v>
      </c>
      <c r="J96" s="28" t="s">
        <v>38</v>
      </c>
      <c r="K96" s="38" t="s">
        <v>653</v>
      </c>
      <c r="L96" s="38" t="s">
        <v>40</v>
      </c>
      <c r="M96" s="39">
        <v>26776</v>
      </c>
      <c r="N96" s="35">
        <v>959281517</v>
      </c>
      <c r="O96" s="53" t="s">
        <v>654</v>
      </c>
      <c r="P96" s="33" t="s">
        <v>655</v>
      </c>
      <c r="Q96" s="40" t="s">
        <v>376</v>
      </c>
      <c r="R96" s="40" t="s">
        <v>377</v>
      </c>
      <c r="S96" s="32" t="s">
        <v>378</v>
      </c>
      <c r="T96" s="41" t="s">
        <v>95</v>
      </c>
      <c r="U96" s="28" t="s">
        <v>389</v>
      </c>
      <c r="V96" s="34" t="s">
        <v>449</v>
      </c>
      <c r="W96" s="35">
        <v>682211</v>
      </c>
      <c r="X96" s="35" t="s">
        <v>48</v>
      </c>
      <c r="Y96" s="36" t="s">
        <v>449</v>
      </c>
      <c r="Z96" s="36">
        <v>682211</v>
      </c>
      <c r="AA96" s="45" t="s">
        <v>391</v>
      </c>
      <c r="AB96" s="20">
        <v>16</v>
      </c>
      <c r="AC96" s="20" t="s">
        <v>1771</v>
      </c>
      <c r="AD96" s="20">
        <v>15</v>
      </c>
      <c r="AE96" s="20" t="s">
        <v>1771</v>
      </c>
      <c r="AF96" s="20">
        <v>17</v>
      </c>
      <c r="AG96" s="20" t="s">
        <v>1771</v>
      </c>
      <c r="AH96" s="20">
        <v>13</v>
      </c>
      <c r="AI96" s="20" t="s">
        <v>1767</v>
      </c>
      <c r="AJ96" s="19" t="str">
        <f t="shared" si="20"/>
        <v>APROBADO</v>
      </c>
      <c r="AK96" s="217" t="s">
        <v>50</v>
      </c>
    </row>
    <row r="97" spans="1:37" ht="15" hidden="1" customHeight="1" x14ac:dyDescent="0.2">
      <c r="A97" s="9">
        <v>47</v>
      </c>
      <c r="B97" s="10">
        <v>55</v>
      </c>
      <c r="C97" s="10">
        <v>50</v>
      </c>
      <c r="D97" s="33" t="s">
        <v>656</v>
      </c>
      <c r="E97" s="33" t="s">
        <v>657</v>
      </c>
      <c r="F97" s="28" t="s">
        <v>34</v>
      </c>
      <c r="G97" s="35" t="s">
        <v>372</v>
      </c>
      <c r="H97" s="35" t="s">
        <v>297</v>
      </c>
      <c r="I97" s="28" t="s">
        <v>169</v>
      </c>
      <c r="J97" s="28" t="s">
        <v>38</v>
      </c>
      <c r="K97" s="38" t="s">
        <v>658</v>
      </c>
      <c r="L97" s="38" t="s">
        <v>40</v>
      </c>
      <c r="M97" s="39">
        <v>29483</v>
      </c>
      <c r="N97" s="35">
        <v>986125905</v>
      </c>
      <c r="O97" s="33" t="s">
        <v>659</v>
      </c>
      <c r="P97" s="33" t="s">
        <v>660</v>
      </c>
      <c r="Q97" s="32" t="s">
        <v>388</v>
      </c>
      <c r="R97" s="32" t="s">
        <v>377</v>
      </c>
      <c r="S97" s="32" t="s">
        <v>378</v>
      </c>
      <c r="T97" s="41" t="s">
        <v>95</v>
      </c>
      <c r="U97" s="28" t="s">
        <v>389</v>
      </c>
      <c r="V97" s="34">
        <v>601448</v>
      </c>
      <c r="W97" s="35">
        <v>1153964</v>
      </c>
      <c r="X97" s="35" t="s">
        <v>85</v>
      </c>
      <c r="Y97" s="36" t="str">
        <f>IF(X97="NO","NO APLICA","ESCRIBA EL NOMBRE DEL IIEE")</f>
        <v>NO APLICA</v>
      </c>
      <c r="Z97" s="36" t="str">
        <f>IF(Y97="NO APLICA","NO APLICA","ESCRIBA EL CÓDIGO MODULAR")</f>
        <v>NO APLICA</v>
      </c>
      <c r="AA97" s="45" t="s">
        <v>381</v>
      </c>
      <c r="AB97" s="20">
        <v>4</v>
      </c>
      <c r="AC97" s="220" t="s">
        <v>1772</v>
      </c>
      <c r="AD97" s="20">
        <v>0</v>
      </c>
      <c r="AE97" s="220" t="s">
        <v>1772</v>
      </c>
      <c r="AF97" s="20">
        <v>4</v>
      </c>
      <c r="AG97" s="20" t="s">
        <v>1770</v>
      </c>
      <c r="AH97" s="20">
        <v>4</v>
      </c>
      <c r="AI97" s="20" t="s">
        <v>1770</v>
      </c>
      <c r="AJ97" s="219" t="s">
        <v>70</v>
      </c>
      <c r="AK97" s="217" t="s">
        <v>70</v>
      </c>
    </row>
    <row r="98" spans="1:37" ht="15" hidden="1" customHeight="1" x14ac:dyDescent="0.2">
      <c r="A98" s="9">
        <v>47</v>
      </c>
      <c r="B98" s="10">
        <v>52</v>
      </c>
      <c r="C98" s="10">
        <v>51</v>
      </c>
      <c r="D98" s="33" t="s">
        <v>661</v>
      </c>
      <c r="E98" s="33" t="s">
        <v>662</v>
      </c>
      <c r="F98" s="28" t="s">
        <v>34</v>
      </c>
      <c r="G98" s="35" t="s">
        <v>384</v>
      </c>
      <c r="H98" s="35" t="s">
        <v>216</v>
      </c>
      <c r="I98" s="28" t="s">
        <v>169</v>
      </c>
      <c r="J98" s="28" t="s">
        <v>38</v>
      </c>
      <c r="K98" s="38" t="s">
        <v>663</v>
      </c>
      <c r="L98" s="38" t="s">
        <v>40</v>
      </c>
      <c r="M98" s="39">
        <v>28878</v>
      </c>
      <c r="N98" s="35">
        <v>969166919</v>
      </c>
      <c r="O98" s="33" t="s">
        <v>664</v>
      </c>
      <c r="P98" s="33" t="s">
        <v>665</v>
      </c>
      <c r="Q98" s="33" t="s">
        <v>376</v>
      </c>
      <c r="R98" s="40" t="s">
        <v>377</v>
      </c>
      <c r="S98" s="32" t="s">
        <v>378</v>
      </c>
      <c r="T98" s="41" t="s">
        <v>95</v>
      </c>
      <c r="U98" s="28" t="s">
        <v>389</v>
      </c>
      <c r="V98" s="34">
        <v>811</v>
      </c>
      <c r="W98" s="35">
        <v>1527399</v>
      </c>
      <c r="X98" s="35" t="s">
        <v>48</v>
      </c>
      <c r="Y98" s="36">
        <v>811</v>
      </c>
      <c r="Z98" s="36">
        <v>1527399</v>
      </c>
      <c r="AA98" s="45" t="s">
        <v>442</v>
      </c>
      <c r="AB98" s="20">
        <v>16</v>
      </c>
      <c r="AC98" s="20" t="s">
        <v>1771</v>
      </c>
      <c r="AD98" s="20">
        <v>14</v>
      </c>
      <c r="AE98" s="20" t="s">
        <v>1771</v>
      </c>
      <c r="AF98" s="20">
        <v>15</v>
      </c>
      <c r="AG98" s="20" t="s">
        <v>1771</v>
      </c>
      <c r="AH98" s="20">
        <v>13</v>
      </c>
      <c r="AI98" s="20" t="s">
        <v>1767</v>
      </c>
      <c r="AJ98" s="24" t="s">
        <v>50</v>
      </c>
      <c r="AK98" s="217" t="s">
        <v>50</v>
      </c>
    </row>
    <row r="99" spans="1:37" ht="15" hidden="1" customHeight="1" x14ac:dyDescent="0.2">
      <c r="A99" s="9">
        <v>47</v>
      </c>
      <c r="B99" s="10">
        <v>76</v>
      </c>
      <c r="C99" s="10">
        <v>52</v>
      </c>
      <c r="D99" s="27" t="s">
        <v>666</v>
      </c>
      <c r="E99" s="27" t="s">
        <v>667</v>
      </c>
      <c r="F99" s="28" t="s">
        <v>60</v>
      </c>
      <c r="G99" s="28" t="s">
        <v>372</v>
      </c>
      <c r="H99" s="28" t="s">
        <v>385</v>
      </c>
      <c r="I99" s="28" t="s">
        <v>169</v>
      </c>
      <c r="J99" s="28" t="s">
        <v>38</v>
      </c>
      <c r="K99" s="42" t="s">
        <v>668</v>
      </c>
      <c r="L99" s="42" t="s">
        <v>40</v>
      </c>
      <c r="M99" s="43" t="s">
        <v>669</v>
      </c>
      <c r="N99" s="28">
        <v>928657943</v>
      </c>
      <c r="O99" s="66" t="s">
        <v>670</v>
      </c>
      <c r="P99" s="33" t="s">
        <v>671</v>
      </c>
      <c r="Q99" s="33" t="s">
        <v>448</v>
      </c>
      <c r="R99" s="32" t="s">
        <v>377</v>
      </c>
      <c r="S99" s="32" t="s">
        <v>378</v>
      </c>
      <c r="T99" s="41" t="s">
        <v>95</v>
      </c>
      <c r="U99" s="28" t="s">
        <v>389</v>
      </c>
      <c r="V99" s="34">
        <v>60133</v>
      </c>
      <c r="W99" s="35">
        <v>398313</v>
      </c>
      <c r="X99" s="35" t="s">
        <v>85</v>
      </c>
      <c r="Y99" s="36" t="str">
        <f t="shared" ref="Y99:Y101" si="21">IF(X99="NO","NO APLICA","ESCRIBA EL NOMBRE DEL IIEE")</f>
        <v>NO APLICA</v>
      </c>
      <c r="Z99" s="36" t="str">
        <f t="shared" ref="Z99:Z101" si="22">IF(Y99="NO APLICA","NO APLICA","ESCRIBA EL CÓDIGO MODULAR")</f>
        <v>NO APLICA</v>
      </c>
      <c r="AA99" s="45" t="s">
        <v>381</v>
      </c>
      <c r="AB99" s="20">
        <v>12</v>
      </c>
      <c r="AC99" s="20" t="s">
        <v>1771</v>
      </c>
      <c r="AD99" s="20">
        <v>11</v>
      </c>
      <c r="AE99" s="20" t="s">
        <v>1769</v>
      </c>
      <c r="AF99" s="20">
        <v>14</v>
      </c>
      <c r="AG99" s="20" t="s">
        <v>1771</v>
      </c>
      <c r="AH99" s="20">
        <v>11</v>
      </c>
      <c r="AI99" s="20" t="s">
        <v>1769</v>
      </c>
      <c r="AJ99" s="19" t="str">
        <f t="shared" ref="AJ99:AJ104" si="23">IF(AND(AB99&gt;=11,AD99&gt;=11,AF99&gt;=11,AH99&gt;=11),"APROBADO","DESAPROBADO")</f>
        <v>APROBADO</v>
      </c>
      <c r="AK99" s="217" t="s">
        <v>50</v>
      </c>
    </row>
    <row r="100" spans="1:37" ht="15" hidden="1" customHeight="1" x14ac:dyDescent="0.2">
      <c r="A100" s="9">
        <v>47</v>
      </c>
      <c r="B100" s="10">
        <v>72</v>
      </c>
      <c r="C100" s="10">
        <v>53</v>
      </c>
      <c r="D100" s="27" t="s">
        <v>534</v>
      </c>
      <c r="E100" s="27" t="s">
        <v>672</v>
      </c>
      <c r="F100" s="28" t="s">
        <v>34</v>
      </c>
      <c r="G100" s="28" t="s">
        <v>384</v>
      </c>
      <c r="H100" s="28" t="s">
        <v>168</v>
      </c>
      <c r="I100" s="28" t="s">
        <v>169</v>
      </c>
      <c r="J100" s="28" t="s">
        <v>38</v>
      </c>
      <c r="K100" s="42" t="s">
        <v>673</v>
      </c>
      <c r="L100" s="42" t="s">
        <v>40</v>
      </c>
      <c r="M100" s="43" t="s">
        <v>674</v>
      </c>
      <c r="N100" s="28">
        <v>964899237</v>
      </c>
      <c r="O100" s="27" t="s">
        <v>675</v>
      </c>
      <c r="P100" s="27" t="s">
        <v>676</v>
      </c>
      <c r="Q100" s="32" t="s">
        <v>376</v>
      </c>
      <c r="R100" s="32" t="s">
        <v>377</v>
      </c>
      <c r="S100" s="32" t="s">
        <v>378</v>
      </c>
      <c r="T100" s="41" t="s">
        <v>95</v>
      </c>
      <c r="U100" s="28" t="s">
        <v>389</v>
      </c>
      <c r="V100" s="34">
        <v>601331</v>
      </c>
      <c r="W100" s="35">
        <v>1147735</v>
      </c>
      <c r="X100" s="35" t="s">
        <v>85</v>
      </c>
      <c r="Y100" s="36" t="str">
        <f t="shared" si="21"/>
        <v>NO APLICA</v>
      </c>
      <c r="Z100" s="36" t="str">
        <f t="shared" si="22"/>
        <v>NO APLICA</v>
      </c>
      <c r="AA100" s="45" t="s">
        <v>381</v>
      </c>
      <c r="AB100" s="20">
        <v>15</v>
      </c>
      <c r="AC100" s="20" t="s">
        <v>1771</v>
      </c>
      <c r="AD100" s="20">
        <v>14</v>
      </c>
      <c r="AE100" s="20" t="s">
        <v>1771</v>
      </c>
      <c r="AF100" s="20">
        <v>14</v>
      </c>
      <c r="AG100" s="20" t="s">
        <v>1771</v>
      </c>
      <c r="AH100" s="20">
        <v>12</v>
      </c>
      <c r="AI100" s="20" t="s">
        <v>1767</v>
      </c>
      <c r="AJ100" s="19" t="str">
        <f t="shared" si="23"/>
        <v>APROBADO</v>
      </c>
      <c r="AK100" s="217" t="s">
        <v>50</v>
      </c>
    </row>
    <row r="101" spans="1:37" ht="15" hidden="1" customHeight="1" x14ac:dyDescent="0.2">
      <c r="A101" s="9">
        <v>47</v>
      </c>
      <c r="B101" s="10">
        <v>86</v>
      </c>
      <c r="C101" s="10">
        <v>54</v>
      </c>
      <c r="D101" s="33" t="s">
        <v>677</v>
      </c>
      <c r="E101" s="33" t="s">
        <v>678</v>
      </c>
      <c r="F101" s="28" t="s">
        <v>34</v>
      </c>
      <c r="G101" s="35" t="s">
        <v>384</v>
      </c>
      <c r="H101" s="35" t="s">
        <v>216</v>
      </c>
      <c r="I101" s="28" t="s">
        <v>169</v>
      </c>
      <c r="J101" s="28" t="s">
        <v>38</v>
      </c>
      <c r="K101" s="38" t="s">
        <v>679</v>
      </c>
      <c r="L101" s="38" t="s">
        <v>40</v>
      </c>
      <c r="M101" s="39">
        <v>24965</v>
      </c>
      <c r="N101" s="35">
        <v>931527637</v>
      </c>
      <c r="O101" s="33" t="s">
        <v>680</v>
      </c>
      <c r="P101" s="33" t="s">
        <v>681</v>
      </c>
      <c r="Q101" s="40" t="s">
        <v>376</v>
      </c>
      <c r="R101" s="32" t="s">
        <v>377</v>
      </c>
      <c r="S101" s="32" t="s">
        <v>378</v>
      </c>
      <c r="T101" s="41" t="s">
        <v>95</v>
      </c>
      <c r="U101" s="28" t="s">
        <v>389</v>
      </c>
      <c r="V101" s="34">
        <v>60133</v>
      </c>
      <c r="W101" s="35">
        <v>398313</v>
      </c>
      <c r="X101" s="46" t="s">
        <v>85</v>
      </c>
      <c r="Y101" s="36" t="str">
        <f t="shared" si="21"/>
        <v>NO APLICA</v>
      </c>
      <c r="Z101" s="36" t="str">
        <f t="shared" si="22"/>
        <v>NO APLICA</v>
      </c>
      <c r="AA101" s="45" t="s">
        <v>381</v>
      </c>
      <c r="AB101" s="20">
        <v>11</v>
      </c>
      <c r="AC101" s="20" t="s">
        <v>1768</v>
      </c>
      <c r="AD101" s="20">
        <v>11</v>
      </c>
      <c r="AE101" s="20" t="s">
        <v>1769</v>
      </c>
      <c r="AF101" s="20">
        <v>12</v>
      </c>
      <c r="AG101" s="20" t="s">
        <v>1771</v>
      </c>
      <c r="AH101" s="20">
        <v>12</v>
      </c>
      <c r="AI101" s="20" t="s">
        <v>1767</v>
      </c>
      <c r="AJ101" s="19" t="str">
        <f t="shared" si="23"/>
        <v>APROBADO</v>
      </c>
      <c r="AK101" s="217" t="s">
        <v>50</v>
      </c>
    </row>
    <row r="102" spans="1:37" ht="15" customHeight="1" x14ac:dyDescent="0.2">
      <c r="A102" s="9">
        <v>48</v>
      </c>
      <c r="B102" s="10">
        <v>148</v>
      </c>
      <c r="C102" s="10">
        <v>1</v>
      </c>
      <c r="D102" s="67" t="s">
        <v>682</v>
      </c>
      <c r="E102" s="68" t="s">
        <v>683</v>
      </c>
      <c r="F102" s="68" t="s">
        <v>34</v>
      </c>
      <c r="G102" s="68" t="s">
        <v>35</v>
      </c>
      <c r="H102" s="68" t="s">
        <v>101</v>
      </c>
      <c r="I102" s="68" t="s">
        <v>684</v>
      </c>
      <c r="J102" s="68" t="s">
        <v>38</v>
      </c>
      <c r="K102" s="69">
        <v>41621686</v>
      </c>
      <c r="L102" s="69" t="s">
        <v>40</v>
      </c>
      <c r="M102" s="70">
        <v>29872</v>
      </c>
      <c r="N102" s="68">
        <v>925855131</v>
      </c>
      <c r="O102" s="68" t="s">
        <v>685</v>
      </c>
      <c r="P102" s="68" t="s">
        <v>686</v>
      </c>
      <c r="Q102" s="68" t="s">
        <v>687</v>
      </c>
      <c r="R102" s="68" t="s">
        <v>688</v>
      </c>
      <c r="S102" s="68" t="s">
        <v>688</v>
      </c>
      <c r="T102" s="68" t="s">
        <v>689</v>
      </c>
      <c r="U102" s="67" t="s">
        <v>45</v>
      </c>
      <c r="V102" s="67">
        <v>15478</v>
      </c>
      <c r="W102" s="71">
        <v>673780</v>
      </c>
      <c r="X102" s="67" t="s">
        <v>48</v>
      </c>
      <c r="Y102" s="72">
        <v>15478</v>
      </c>
      <c r="Z102" s="72">
        <v>673780</v>
      </c>
      <c r="AA102" s="68" t="s">
        <v>49</v>
      </c>
      <c r="AB102" s="73">
        <v>16</v>
      </c>
      <c r="AC102" s="73" t="s">
        <v>1771</v>
      </c>
      <c r="AD102" s="73">
        <v>17</v>
      </c>
      <c r="AE102" s="73" t="s">
        <v>1767</v>
      </c>
      <c r="AF102" s="73">
        <v>14</v>
      </c>
      <c r="AG102" s="20" t="s">
        <v>1771</v>
      </c>
      <c r="AH102" s="73">
        <v>14</v>
      </c>
      <c r="AI102" s="20" t="s">
        <v>1767</v>
      </c>
      <c r="AJ102" s="19" t="str">
        <f t="shared" si="23"/>
        <v>APROBADO</v>
      </c>
    </row>
    <row r="103" spans="1:37" ht="15" customHeight="1" x14ac:dyDescent="0.2">
      <c r="A103" s="9">
        <v>48</v>
      </c>
      <c r="B103" s="10">
        <v>105</v>
      </c>
      <c r="C103" s="10">
        <v>2</v>
      </c>
      <c r="D103" s="68" t="s">
        <v>690</v>
      </c>
      <c r="E103" s="68" t="s">
        <v>691</v>
      </c>
      <c r="F103" s="68" t="s">
        <v>34</v>
      </c>
      <c r="G103" s="68" t="s">
        <v>35</v>
      </c>
      <c r="H103" s="68" t="s">
        <v>73</v>
      </c>
      <c r="I103" s="68" t="s">
        <v>684</v>
      </c>
      <c r="J103" s="68" t="s">
        <v>38</v>
      </c>
      <c r="K103" s="69" t="s">
        <v>692</v>
      </c>
      <c r="L103" s="69" t="s">
        <v>40</v>
      </c>
      <c r="M103" s="70">
        <v>31164</v>
      </c>
      <c r="N103" s="68">
        <v>943242652</v>
      </c>
      <c r="O103" s="68" t="s">
        <v>693</v>
      </c>
      <c r="P103" s="68" t="s">
        <v>694</v>
      </c>
      <c r="Q103" s="68" t="s">
        <v>695</v>
      </c>
      <c r="R103" s="68" t="s">
        <v>688</v>
      </c>
      <c r="S103" s="68" t="s">
        <v>688</v>
      </c>
      <c r="T103" s="68" t="s">
        <v>68</v>
      </c>
      <c r="U103" s="67" t="s">
        <v>696</v>
      </c>
      <c r="V103" s="67" t="s">
        <v>697</v>
      </c>
      <c r="W103" s="71">
        <v>350496</v>
      </c>
      <c r="X103" s="67" t="s">
        <v>48</v>
      </c>
      <c r="Y103" s="72">
        <v>15219</v>
      </c>
      <c r="Z103" s="72">
        <v>464610</v>
      </c>
      <c r="AA103" s="68" t="s">
        <v>49</v>
      </c>
      <c r="AB103" s="73">
        <v>16</v>
      </c>
      <c r="AC103" s="73" t="s">
        <v>1771</v>
      </c>
      <c r="AD103" s="73">
        <v>16</v>
      </c>
      <c r="AE103" s="73" t="s">
        <v>1767</v>
      </c>
      <c r="AF103" s="73">
        <v>16</v>
      </c>
      <c r="AG103" s="20" t="s">
        <v>1771</v>
      </c>
      <c r="AH103" s="73">
        <v>14</v>
      </c>
      <c r="AI103" s="20" t="s">
        <v>1767</v>
      </c>
      <c r="AJ103" s="19" t="str">
        <f t="shared" si="23"/>
        <v>APROBADO</v>
      </c>
    </row>
    <row r="104" spans="1:37" ht="15" customHeight="1" x14ac:dyDescent="0.2">
      <c r="A104" s="9">
        <v>48</v>
      </c>
      <c r="B104" s="10">
        <v>137</v>
      </c>
      <c r="C104" s="10">
        <v>3</v>
      </c>
      <c r="D104" s="74" t="s">
        <v>698</v>
      </c>
      <c r="E104" s="74" t="s">
        <v>699</v>
      </c>
      <c r="F104" s="74" t="s">
        <v>60</v>
      </c>
      <c r="G104" s="74" t="s">
        <v>35</v>
      </c>
      <c r="H104" s="74" t="s">
        <v>101</v>
      </c>
      <c r="I104" s="74" t="s">
        <v>684</v>
      </c>
      <c r="J104" s="74" t="s">
        <v>38</v>
      </c>
      <c r="K104" s="75" t="s">
        <v>700</v>
      </c>
      <c r="L104" s="76" t="s">
        <v>40</v>
      </c>
      <c r="M104" s="70">
        <v>27394</v>
      </c>
      <c r="N104" s="68">
        <v>959580133</v>
      </c>
      <c r="O104" s="68" t="s">
        <v>701</v>
      </c>
      <c r="P104" s="68" t="s">
        <v>702</v>
      </c>
      <c r="Q104" s="68" t="s">
        <v>703</v>
      </c>
      <c r="R104" s="68" t="s">
        <v>688</v>
      </c>
      <c r="S104" s="68" t="s">
        <v>704</v>
      </c>
      <c r="T104" s="68" t="s">
        <v>705</v>
      </c>
      <c r="U104" s="67" t="s">
        <v>55</v>
      </c>
      <c r="V104" s="67" t="s">
        <v>706</v>
      </c>
      <c r="W104" s="71">
        <v>350447</v>
      </c>
      <c r="X104" s="67" t="s">
        <v>48</v>
      </c>
      <c r="Y104" s="72" t="s">
        <v>706</v>
      </c>
      <c r="Z104" s="72">
        <v>350447</v>
      </c>
      <c r="AA104" s="68" t="s">
        <v>49</v>
      </c>
      <c r="AB104" s="73">
        <v>17</v>
      </c>
      <c r="AC104" s="73" t="s">
        <v>1771</v>
      </c>
      <c r="AD104" s="73">
        <v>16</v>
      </c>
      <c r="AE104" s="73" t="s">
        <v>1767</v>
      </c>
      <c r="AF104" s="73">
        <v>12</v>
      </c>
      <c r="AG104" s="20" t="s">
        <v>1771</v>
      </c>
      <c r="AH104" s="73">
        <v>15</v>
      </c>
      <c r="AI104" s="20" t="s">
        <v>1767</v>
      </c>
      <c r="AJ104" s="19" t="str">
        <f t="shared" si="23"/>
        <v>APROBADO</v>
      </c>
    </row>
    <row r="105" spans="1:37" ht="15" customHeight="1" x14ac:dyDescent="0.2">
      <c r="A105" s="9">
        <v>48</v>
      </c>
      <c r="B105" s="10">
        <v>155</v>
      </c>
      <c r="C105" s="10">
        <v>4</v>
      </c>
      <c r="D105" s="77" t="s">
        <v>707</v>
      </c>
      <c r="E105" s="78" t="s">
        <v>708</v>
      </c>
      <c r="F105" s="79" t="s">
        <v>34</v>
      </c>
      <c r="G105" s="79" t="s">
        <v>35</v>
      </c>
      <c r="H105" s="79" t="s">
        <v>36</v>
      </c>
      <c r="I105" s="79" t="s">
        <v>123</v>
      </c>
      <c r="J105" s="79" t="s">
        <v>38</v>
      </c>
      <c r="K105" s="69" t="s">
        <v>709</v>
      </c>
      <c r="L105" s="69" t="s">
        <v>40</v>
      </c>
      <c r="M105" s="80">
        <v>36154</v>
      </c>
      <c r="N105" s="79">
        <v>978109574</v>
      </c>
      <c r="O105" s="79" t="s">
        <v>710</v>
      </c>
      <c r="P105" s="79" t="s">
        <v>711</v>
      </c>
      <c r="Q105" s="79" t="s">
        <v>712</v>
      </c>
      <c r="R105" s="79" t="s">
        <v>713</v>
      </c>
      <c r="S105" s="79" t="s">
        <v>714</v>
      </c>
      <c r="T105" s="79" t="s">
        <v>715</v>
      </c>
      <c r="U105" s="81" t="s">
        <v>358</v>
      </c>
      <c r="V105" s="81" t="s">
        <v>716</v>
      </c>
      <c r="W105" s="71" t="s">
        <v>716</v>
      </c>
      <c r="X105" s="81" t="s">
        <v>85</v>
      </c>
      <c r="Y105" s="72" t="str">
        <f>IF(X105="NO","NO APLICA","ESCRIBA EL NOMBRE DEL IIEE")</f>
        <v>NO APLICA</v>
      </c>
      <c r="Z105" s="72" t="str">
        <f>IF(Y105="NO APLICA","NO APLICA","ESCRIBA EL CÓDIGO MODULAR")</f>
        <v>NO APLICA</v>
      </c>
      <c r="AA105" s="79" t="s">
        <v>49</v>
      </c>
      <c r="AB105" s="73">
        <v>18</v>
      </c>
      <c r="AC105" s="73" t="s">
        <v>1771</v>
      </c>
      <c r="AD105" s="73">
        <v>11</v>
      </c>
      <c r="AE105" s="73" t="s">
        <v>1769</v>
      </c>
      <c r="AF105" s="73">
        <v>14</v>
      </c>
      <c r="AG105" s="20" t="s">
        <v>1771</v>
      </c>
      <c r="AH105" s="73">
        <v>16</v>
      </c>
      <c r="AI105" s="20" t="s">
        <v>1767</v>
      </c>
      <c r="AJ105" s="19" t="str">
        <f t="shared" ref="AJ105:AJ128" si="24">IF(AND(AB105&gt;=11,AD105&gt;=11,AF105&gt;=11,AH105&gt;=11),"APROBADO","DESAPROBADO")</f>
        <v>APROBADO</v>
      </c>
    </row>
    <row r="106" spans="1:37" ht="15" customHeight="1" x14ac:dyDescent="0.2">
      <c r="A106" s="9">
        <v>48</v>
      </c>
      <c r="B106" s="10">
        <v>154</v>
      </c>
      <c r="C106" s="10">
        <v>5</v>
      </c>
      <c r="D106" s="67" t="s">
        <v>717</v>
      </c>
      <c r="E106" s="68" t="s">
        <v>718</v>
      </c>
      <c r="F106" s="79" t="s">
        <v>34</v>
      </c>
      <c r="G106" s="79" t="s">
        <v>35</v>
      </c>
      <c r="H106" s="79" t="s">
        <v>36</v>
      </c>
      <c r="I106" s="79" t="s">
        <v>684</v>
      </c>
      <c r="J106" s="79" t="s">
        <v>38</v>
      </c>
      <c r="K106" s="69" t="s">
        <v>719</v>
      </c>
      <c r="L106" s="69" t="s">
        <v>40</v>
      </c>
      <c r="M106" s="80">
        <v>34683</v>
      </c>
      <c r="N106" s="79">
        <v>974313709</v>
      </c>
      <c r="O106" s="79" t="s">
        <v>720</v>
      </c>
      <c r="P106" s="79" t="s">
        <v>721</v>
      </c>
      <c r="Q106" s="79" t="s">
        <v>722</v>
      </c>
      <c r="R106" s="68" t="s">
        <v>688</v>
      </c>
      <c r="S106" s="68" t="s">
        <v>688</v>
      </c>
      <c r="T106" s="79" t="s">
        <v>715</v>
      </c>
      <c r="U106" s="81" t="s">
        <v>358</v>
      </c>
      <c r="V106" s="81" t="s">
        <v>716</v>
      </c>
      <c r="W106" s="71" t="s">
        <v>716</v>
      </c>
      <c r="X106" s="81" t="s">
        <v>48</v>
      </c>
      <c r="Y106" s="72" t="s">
        <v>716</v>
      </c>
      <c r="Z106" s="72" t="s">
        <v>716</v>
      </c>
      <c r="AA106" s="79" t="s">
        <v>49</v>
      </c>
      <c r="AB106" s="73">
        <v>17</v>
      </c>
      <c r="AC106" s="73" t="s">
        <v>1771</v>
      </c>
      <c r="AD106" s="73">
        <v>17</v>
      </c>
      <c r="AE106" s="73" t="s">
        <v>1767</v>
      </c>
      <c r="AF106" s="73">
        <v>11</v>
      </c>
      <c r="AG106" s="20" t="s">
        <v>1768</v>
      </c>
      <c r="AH106" s="73">
        <v>16</v>
      </c>
      <c r="AI106" s="20" t="s">
        <v>1767</v>
      </c>
      <c r="AJ106" s="19" t="str">
        <f t="shared" si="24"/>
        <v>APROBADO</v>
      </c>
    </row>
    <row r="107" spans="1:37" ht="15" customHeight="1" x14ac:dyDescent="0.2">
      <c r="A107" s="9">
        <v>48</v>
      </c>
      <c r="B107" s="10">
        <v>101</v>
      </c>
      <c r="C107" s="10">
        <v>6</v>
      </c>
      <c r="D107" s="68" t="s">
        <v>723</v>
      </c>
      <c r="E107" s="68" t="s">
        <v>724</v>
      </c>
      <c r="F107" s="68" t="s">
        <v>155</v>
      </c>
      <c r="G107" s="68" t="s">
        <v>35</v>
      </c>
      <c r="H107" s="68" t="s">
        <v>73</v>
      </c>
      <c r="I107" s="68" t="s">
        <v>684</v>
      </c>
      <c r="J107" s="68" t="s">
        <v>38</v>
      </c>
      <c r="K107" s="69">
        <v>40569793</v>
      </c>
      <c r="L107" s="69" t="s">
        <v>40</v>
      </c>
      <c r="M107" s="70">
        <v>28613</v>
      </c>
      <c r="N107" s="68">
        <v>968178443</v>
      </c>
      <c r="O107" s="68" t="s">
        <v>725</v>
      </c>
      <c r="P107" s="68" t="s">
        <v>726</v>
      </c>
      <c r="Q107" s="68" t="s">
        <v>695</v>
      </c>
      <c r="R107" s="68" t="s">
        <v>704</v>
      </c>
      <c r="S107" s="68" t="s">
        <v>704</v>
      </c>
      <c r="T107" s="68" t="s">
        <v>68</v>
      </c>
      <c r="U107" s="67" t="s">
        <v>715</v>
      </c>
      <c r="V107" s="67" t="s">
        <v>697</v>
      </c>
      <c r="W107" s="71">
        <v>350496</v>
      </c>
      <c r="X107" s="67" t="s">
        <v>48</v>
      </c>
      <c r="Y107" s="72" t="s">
        <v>697</v>
      </c>
      <c r="Z107" s="72">
        <v>350496</v>
      </c>
      <c r="AA107" s="68" t="s">
        <v>49</v>
      </c>
      <c r="AB107" s="73">
        <v>17</v>
      </c>
      <c r="AC107" s="73" t="s">
        <v>1771</v>
      </c>
      <c r="AD107" s="73">
        <v>16</v>
      </c>
      <c r="AE107" s="73" t="s">
        <v>1767</v>
      </c>
      <c r="AF107" s="73">
        <v>16</v>
      </c>
      <c r="AG107" s="20" t="s">
        <v>1771</v>
      </c>
      <c r="AH107" s="73">
        <v>15</v>
      </c>
      <c r="AI107" s="20" t="s">
        <v>1767</v>
      </c>
      <c r="AJ107" s="19" t="str">
        <f t="shared" si="24"/>
        <v>APROBADO</v>
      </c>
    </row>
    <row r="108" spans="1:37" ht="15" customHeight="1" x14ac:dyDescent="0.2">
      <c r="A108" s="9">
        <v>48</v>
      </c>
      <c r="B108" s="10">
        <v>126</v>
      </c>
      <c r="C108" s="10">
        <v>7</v>
      </c>
      <c r="D108" s="74" t="s">
        <v>727</v>
      </c>
      <c r="E108" s="74" t="s">
        <v>728</v>
      </c>
      <c r="F108" s="74" t="s">
        <v>155</v>
      </c>
      <c r="G108" s="74" t="s">
        <v>35</v>
      </c>
      <c r="H108" s="74" t="s">
        <v>73</v>
      </c>
      <c r="I108" s="74" t="s">
        <v>684</v>
      </c>
      <c r="J108" s="74" t="s">
        <v>38</v>
      </c>
      <c r="K108" s="82" t="s">
        <v>729</v>
      </c>
      <c r="L108" s="69" t="s">
        <v>40</v>
      </c>
      <c r="M108" s="70">
        <v>31305</v>
      </c>
      <c r="N108" s="68">
        <v>978074279</v>
      </c>
      <c r="O108" s="68" t="s">
        <v>730</v>
      </c>
      <c r="P108" s="68" t="s">
        <v>731</v>
      </c>
      <c r="Q108" s="68" t="s">
        <v>695</v>
      </c>
      <c r="R108" s="68" t="s">
        <v>688</v>
      </c>
      <c r="S108" s="68" t="s">
        <v>688</v>
      </c>
      <c r="T108" s="68" t="s">
        <v>68</v>
      </c>
      <c r="U108" s="67" t="s">
        <v>369</v>
      </c>
      <c r="V108" s="67" t="s">
        <v>706</v>
      </c>
      <c r="W108" s="71">
        <v>350447</v>
      </c>
      <c r="X108" s="67" t="s">
        <v>48</v>
      </c>
      <c r="Y108" s="72" t="s">
        <v>732</v>
      </c>
      <c r="Z108" s="72">
        <v>2603185</v>
      </c>
      <c r="AA108" s="68" t="s">
        <v>49</v>
      </c>
      <c r="AB108" s="73">
        <v>16</v>
      </c>
      <c r="AC108" s="73" t="s">
        <v>1771</v>
      </c>
      <c r="AD108" s="73">
        <v>15</v>
      </c>
      <c r="AE108" s="73" t="s">
        <v>1767</v>
      </c>
      <c r="AF108" s="73">
        <v>14</v>
      </c>
      <c r="AG108" s="20" t="s">
        <v>1771</v>
      </c>
      <c r="AH108" s="73">
        <v>12</v>
      </c>
      <c r="AI108" s="20" t="s">
        <v>1767</v>
      </c>
      <c r="AJ108" s="19" t="str">
        <f t="shared" si="24"/>
        <v>APROBADO</v>
      </c>
    </row>
    <row r="109" spans="1:37" ht="15" customHeight="1" x14ac:dyDescent="0.2">
      <c r="A109" s="9">
        <v>48</v>
      </c>
      <c r="B109" s="10">
        <v>122</v>
      </c>
      <c r="C109" s="10">
        <v>8</v>
      </c>
      <c r="D109" s="74" t="s">
        <v>733</v>
      </c>
      <c r="E109" s="74" t="s">
        <v>734</v>
      </c>
      <c r="F109" s="74" t="s">
        <v>60</v>
      </c>
      <c r="G109" s="74" t="s">
        <v>61</v>
      </c>
      <c r="H109" s="74" t="s">
        <v>62</v>
      </c>
      <c r="I109" s="74" t="s">
        <v>684</v>
      </c>
      <c r="J109" s="74" t="s">
        <v>38</v>
      </c>
      <c r="K109" s="82" t="s">
        <v>735</v>
      </c>
      <c r="L109" s="69" t="s">
        <v>40</v>
      </c>
      <c r="M109" s="70">
        <v>30226</v>
      </c>
      <c r="N109" s="68">
        <v>901793142</v>
      </c>
      <c r="O109" s="68" t="s">
        <v>736</v>
      </c>
      <c r="P109" s="68" t="s">
        <v>737</v>
      </c>
      <c r="Q109" s="68" t="s">
        <v>703</v>
      </c>
      <c r="R109" s="68" t="s">
        <v>688</v>
      </c>
      <c r="S109" s="68" t="s">
        <v>688</v>
      </c>
      <c r="T109" s="68" t="s">
        <v>68</v>
      </c>
      <c r="U109" s="67" t="s">
        <v>738</v>
      </c>
      <c r="V109" s="67">
        <v>15304</v>
      </c>
      <c r="W109" s="71">
        <v>355271</v>
      </c>
      <c r="X109" s="67" t="s">
        <v>48</v>
      </c>
      <c r="Y109" s="72" t="s">
        <v>739</v>
      </c>
      <c r="Z109" s="72">
        <v>561084</v>
      </c>
      <c r="AA109" s="68" t="s">
        <v>49</v>
      </c>
      <c r="AB109" s="73">
        <v>11</v>
      </c>
      <c r="AC109" s="73" t="s">
        <v>1769</v>
      </c>
      <c r="AD109" s="73">
        <v>15</v>
      </c>
      <c r="AE109" s="73" t="s">
        <v>1767</v>
      </c>
      <c r="AF109" s="73">
        <v>11</v>
      </c>
      <c r="AG109" s="20" t="s">
        <v>1768</v>
      </c>
      <c r="AH109" s="73">
        <v>14</v>
      </c>
      <c r="AI109" s="20" t="s">
        <v>1767</v>
      </c>
      <c r="AJ109" s="19" t="str">
        <f t="shared" si="24"/>
        <v>APROBADO</v>
      </c>
    </row>
    <row r="110" spans="1:37" ht="15" customHeight="1" x14ac:dyDescent="0.2">
      <c r="A110" s="9">
        <v>48</v>
      </c>
      <c r="B110" s="10">
        <v>113</v>
      </c>
      <c r="C110" s="10">
        <v>9</v>
      </c>
      <c r="D110" s="74" t="s">
        <v>740</v>
      </c>
      <c r="E110" s="74" t="s">
        <v>741</v>
      </c>
      <c r="F110" s="74" t="s">
        <v>60</v>
      </c>
      <c r="G110" s="74" t="s">
        <v>61</v>
      </c>
      <c r="H110" s="74" t="s">
        <v>62</v>
      </c>
      <c r="I110" s="74" t="s">
        <v>684</v>
      </c>
      <c r="J110" s="74" t="s">
        <v>38</v>
      </c>
      <c r="K110" s="82" t="s">
        <v>742</v>
      </c>
      <c r="L110" s="69" t="s">
        <v>40</v>
      </c>
      <c r="M110" s="70">
        <v>32108</v>
      </c>
      <c r="N110" s="68">
        <v>945510789</v>
      </c>
      <c r="O110" s="68" t="s">
        <v>743</v>
      </c>
      <c r="P110" s="68" t="s">
        <v>744</v>
      </c>
      <c r="Q110" s="68" t="s">
        <v>703</v>
      </c>
      <c r="R110" s="68" t="s">
        <v>688</v>
      </c>
      <c r="S110" s="68" t="s">
        <v>688</v>
      </c>
      <c r="T110" s="68" t="s">
        <v>68</v>
      </c>
      <c r="U110" s="67" t="s">
        <v>55</v>
      </c>
      <c r="V110" s="67">
        <v>14975</v>
      </c>
      <c r="W110" s="71">
        <v>613943</v>
      </c>
      <c r="X110" s="67" t="s">
        <v>48</v>
      </c>
      <c r="Y110" s="72">
        <v>14975</v>
      </c>
      <c r="Z110" s="72">
        <v>613943</v>
      </c>
      <c r="AA110" s="68" t="s">
        <v>49</v>
      </c>
      <c r="AB110" s="73">
        <v>12</v>
      </c>
      <c r="AC110" s="73" t="s">
        <v>1771</v>
      </c>
      <c r="AD110" s="73">
        <v>14</v>
      </c>
      <c r="AE110" s="73" t="s">
        <v>1767</v>
      </c>
      <c r="AF110" s="73">
        <v>11</v>
      </c>
      <c r="AG110" s="20" t="s">
        <v>1768</v>
      </c>
      <c r="AH110" s="73">
        <v>14</v>
      </c>
      <c r="AI110" s="20" t="s">
        <v>1767</v>
      </c>
      <c r="AJ110" s="19" t="str">
        <f t="shared" si="24"/>
        <v>APROBADO</v>
      </c>
    </row>
    <row r="111" spans="1:37" ht="15" customHeight="1" x14ac:dyDescent="0.2">
      <c r="A111" s="9">
        <v>48</v>
      </c>
      <c r="B111" s="10">
        <v>151</v>
      </c>
      <c r="C111" s="10">
        <v>10</v>
      </c>
      <c r="D111" s="67" t="s">
        <v>745</v>
      </c>
      <c r="E111" s="68" t="s">
        <v>746</v>
      </c>
      <c r="F111" s="68" t="s">
        <v>34</v>
      </c>
      <c r="G111" s="68" t="s">
        <v>35</v>
      </c>
      <c r="H111" s="68" t="s">
        <v>73</v>
      </c>
      <c r="I111" s="68" t="s">
        <v>684</v>
      </c>
      <c r="J111" s="68" t="s">
        <v>38</v>
      </c>
      <c r="K111" s="69" t="s">
        <v>747</v>
      </c>
      <c r="L111" s="69" t="s">
        <v>40</v>
      </c>
      <c r="M111" s="70">
        <v>30128</v>
      </c>
      <c r="N111" s="68">
        <v>931863955</v>
      </c>
      <c r="O111" s="68" t="s">
        <v>748</v>
      </c>
      <c r="P111" s="68" t="s">
        <v>749</v>
      </c>
      <c r="Q111" s="68" t="s">
        <v>703</v>
      </c>
      <c r="R111" s="68" t="s">
        <v>688</v>
      </c>
      <c r="S111" s="68" t="s">
        <v>688</v>
      </c>
      <c r="T111" s="68" t="s">
        <v>715</v>
      </c>
      <c r="U111" s="67" t="s">
        <v>55</v>
      </c>
      <c r="V111" s="67">
        <v>14141</v>
      </c>
      <c r="W111" s="71">
        <v>260307</v>
      </c>
      <c r="X111" s="67" t="s">
        <v>85</v>
      </c>
      <c r="Y111" s="72" t="str">
        <f>IF(X111="NO","NO APLICA","ESCRIBA EL NOMBRE DEL IIEE")</f>
        <v>NO APLICA</v>
      </c>
      <c r="Z111" s="72" t="str">
        <f>IF(Y111="NO APLICA","NO APLICA","ESCRIBA EL CÓDIGO MODULAR")</f>
        <v>NO APLICA</v>
      </c>
      <c r="AA111" s="68" t="s">
        <v>49</v>
      </c>
      <c r="AB111" s="73">
        <v>15</v>
      </c>
      <c r="AC111" s="73" t="s">
        <v>1771</v>
      </c>
      <c r="AD111" s="73">
        <v>14</v>
      </c>
      <c r="AE111" s="73" t="s">
        <v>1767</v>
      </c>
      <c r="AF111" s="73">
        <v>13</v>
      </c>
      <c r="AG111" s="20" t="s">
        <v>1771</v>
      </c>
      <c r="AH111" s="73">
        <v>12</v>
      </c>
      <c r="AI111" s="20" t="s">
        <v>1767</v>
      </c>
      <c r="AJ111" s="19" t="str">
        <f t="shared" si="24"/>
        <v>APROBADO</v>
      </c>
    </row>
    <row r="112" spans="1:37" ht="15" customHeight="1" x14ac:dyDescent="0.2">
      <c r="A112" s="9">
        <v>48</v>
      </c>
      <c r="B112" s="10">
        <v>152</v>
      </c>
      <c r="C112" s="10">
        <v>11</v>
      </c>
      <c r="D112" s="67" t="s">
        <v>750</v>
      </c>
      <c r="E112" s="68" t="s">
        <v>751</v>
      </c>
      <c r="F112" s="68" t="s">
        <v>60</v>
      </c>
      <c r="G112" s="68" t="s">
        <v>61</v>
      </c>
      <c r="H112" s="68" t="s">
        <v>62</v>
      </c>
      <c r="I112" s="68" t="s">
        <v>684</v>
      </c>
      <c r="J112" s="68" t="s">
        <v>38</v>
      </c>
      <c r="K112" s="76" t="s">
        <v>752</v>
      </c>
      <c r="L112" s="76" t="s">
        <v>40</v>
      </c>
      <c r="M112" s="70">
        <v>28272</v>
      </c>
      <c r="N112" s="68">
        <v>968043796</v>
      </c>
      <c r="O112" s="68" t="s">
        <v>753</v>
      </c>
      <c r="P112" s="68" t="s">
        <v>754</v>
      </c>
      <c r="Q112" s="68" t="s">
        <v>703</v>
      </c>
      <c r="R112" s="68" t="s">
        <v>688</v>
      </c>
      <c r="S112" s="68" t="s">
        <v>688</v>
      </c>
      <c r="T112" s="68" t="s">
        <v>689</v>
      </c>
      <c r="U112" s="67" t="s">
        <v>46</v>
      </c>
      <c r="V112" s="67">
        <v>14141</v>
      </c>
      <c r="W112" s="71">
        <v>260307</v>
      </c>
      <c r="X112" s="67" t="s">
        <v>48</v>
      </c>
      <c r="Y112" s="72">
        <v>14141</v>
      </c>
      <c r="Z112" s="72">
        <v>260307</v>
      </c>
      <c r="AA112" s="68" t="s">
        <v>49</v>
      </c>
      <c r="AB112" s="73">
        <v>17</v>
      </c>
      <c r="AC112" s="73" t="s">
        <v>1771</v>
      </c>
      <c r="AD112" s="73">
        <v>16</v>
      </c>
      <c r="AE112" s="73" t="s">
        <v>1767</v>
      </c>
      <c r="AF112" s="73">
        <v>17</v>
      </c>
      <c r="AG112" s="20" t="s">
        <v>1771</v>
      </c>
      <c r="AH112" s="73">
        <v>14</v>
      </c>
      <c r="AI112" s="20" t="s">
        <v>1767</v>
      </c>
      <c r="AJ112" s="19" t="str">
        <f t="shared" si="24"/>
        <v>APROBADO</v>
      </c>
    </row>
    <row r="113" spans="1:36" ht="15" customHeight="1" x14ac:dyDescent="0.2">
      <c r="A113" s="9">
        <v>48</v>
      </c>
      <c r="B113" s="10">
        <v>103</v>
      </c>
      <c r="C113" s="10">
        <v>12</v>
      </c>
      <c r="D113" s="74" t="s">
        <v>755</v>
      </c>
      <c r="E113" s="74" t="s">
        <v>756</v>
      </c>
      <c r="F113" s="74" t="s">
        <v>60</v>
      </c>
      <c r="G113" s="74" t="s">
        <v>61</v>
      </c>
      <c r="H113" s="74" t="s">
        <v>101</v>
      </c>
      <c r="I113" s="74" t="s">
        <v>684</v>
      </c>
      <c r="J113" s="74" t="s">
        <v>38</v>
      </c>
      <c r="K113" s="82" t="s">
        <v>757</v>
      </c>
      <c r="L113" s="69" t="s">
        <v>40</v>
      </c>
      <c r="M113" s="70">
        <v>27492</v>
      </c>
      <c r="N113" s="68">
        <v>969511950</v>
      </c>
      <c r="O113" s="68" t="s">
        <v>758</v>
      </c>
      <c r="P113" s="68" t="s">
        <v>759</v>
      </c>
      <c r="Q113" s="68" t="s">
        <v>695</v>
      </c>
      <c r="R113" s="68" t="s">
        <v>688</v>
      </c>
      <c r="S113" s="68" t="s">
        <v>688</v>
      </c>
      <c r="T113" s="68" t="s">
        <v>68</v>
      </c>
      <c r="U113" s="67" t="s">
        <v>760</v>
      </c>
      <c r="V113" s="67" t="s">
        <v>697</v>
      </c>
      <c r="W113" s="71">
        <v>350496</v>
      </c>
      <c r="X113" s="67" t="s">
        <v>48</v>
      </c>
      <c r="Y113" s="72" t="s">
        <v>697</v>
      </c>
      <c r="Z113" s="72">
        <v>350496</v>
      </c>
      <c r="AA113" s="68" t="s">
        <v>49</v>
      </c>
      <c r="AB113" s="73">
        <v>16</v>
      </c>
      <c r="AC113" s="73" t="s">
        <v>1771</v>
      </c>
      <c r="AD113" s="73">
        <v>15</v>
      </c>
      <c r="AE113" s="73" t="s">
        <v>1767</v>
      </c>
      <c r="AF113" s="73">
        <v>16</v>
      </c>
      <c r="AG113" s="20" t="s">
        <v>1771</v>
      </c>
      <c r="AH113" s="73">
        <v>12</v>
      </c>
      <c r="AI113" s="20" t="s">
        <v>1767</v>
      </c>
      <c r="AJ113" s="19" t="str">
        <f t="shared" si="24"/>
        <v>APROBADO</v>
      </c>
    </row>
    <row r="114" spans="1:36" ht="15" customHeight="1" x14ac:dyDescent="0.2">
      <c r="A114" s="9">
        <v>48</v>
      </c>
      <c r="B114" s="10">
        <v>109</v>
      </c>
      <c r="C114" s="10">
        <v>13</v>
      </c>
      <c r="D114" s="83" t="s">
        <v>761</v>
      </c>
      <c r="E114" s="83" t="s">
        <v>762</v>
      </c>
      <c r="F114" s="83" t="s">
        <v>155</v>
      </c>
      <c r="G114" s="83" t="s">
        <v>35</v>
      </c>
      <c r="H114" s="83" t="s">
        <v>73</v>
      </c>
      <c r="I114" s="83" t="s">
        <v>684</v>
      </c>
      <c r="J114" s="83" t="s">
        <v>38</v>
      </c>
      <c r="K114" s="84" t="s">
        <v>763</v>
      </c>
      <c r="L114" s="85" t="s">
        <v>40</v>
      </c>
      <c r="M114" s="86">
        <v>24070</v>
      </c>
      <c r="N114" s="87">
        <v>920620719</v>
      </c>
      <c r="O114" s="87" t="s">
        <v>764</v>
      </c>
      <c r="P114" s="87" t="s">
        <v>765</v>
      </c>
      <c r="Q114" s="87" t="s">
        <v>695</v>
      </c>
      <c r="R114" s="87" t="s">
        <v>704</v>
      </c>
      <c r="S114" s="87" t="s">
        <v>704</v>
      </c>
      <c r="T114" s="87" t="s">
        <v>68</v>
      </c>
      <c r="U114" s="67" t="s">
        <v>766</v>
      </c>
      <c r="V114" s="67" t="s">
        <v>767</v>
      </c>
      <c r="W114" s="71">
        <v>840595</v>
      </c>
      <c r="X114" s="67" t="s">
        <v>48</v>
      </c>
      <c r="Y114" s="72" t="s">
        <v>767</v>
      </c>
      <c r="Z114" s="72">
        <v>840595</v>
      </c>
      <c r="AA114" s="68" t="s">
        <v>49</v>
      </c>
      <c r="AB114" s="73">
        <v>16</v>
      </c>
      <c r="AC114" s="73" t="s">
        <v>1771</v>
      </c>
      <c r="AD114" s="73">
        <v>15</v>
      </c>
      <c r="AE114" s="73" t="s">
        <v>1767</v>
      </c>
      <c r="AF114" s="73">
        <v>15</v>
      </c>
      <c r="AG114" s="20" t="s">
        <v>1771</v>
      </c>
      <c r="AH114" s="73">
        <v>13</v>
      </c>
      <c r="AI114" s="20" t="s">
        <v>1767</v>
      </c>
      <c r="AJ114" s="19" t="str">
        <f t="shared" si="24"/>
        <v>APROBADO</v>
      </c>
    </row>
    <row r="115" spans="1:36" ht="15" customHeight="1" x14ac:dyDescent="0.2">
      <c r="A115" s="9">
        <v>48</v>
      </c>
      <c r="B115" s="10">
        <v>135</v>
      </c>
      <c r="C115" s="10">
        <v>14</v>
      </c>
      <c r="D115" s="74" t="s">
        <v>768</v>
      </c>
      <c r="E115" s="74" t="s">
        <v>769</v>
      </c>
      <c r="F115" s="74" t="s">
        <v>34</v>
      </c>
      <c r="G115" s="74" t="s">
        <v>35</v>
      </c>
      <c r="H115" s="74" t="s">
        <v>36</v>
      </c>
      <c r="I115" s="74" t="s">
        <v>684</v>
      </c>
      <c r="J115" s="74" t="s">
        <v>38</v>
      </c>
      <c r="K115" s="82">
        <v>45557533</v>
      </c>
      <c r="L115" s="69" t="s">
        <v>40</v>
      </c>
      <c r="M115" s="70">
        <v>32406</v>
      </c>
      <c r="N115" s="68">
        <v>943034397</v>
      </c>
      <c r="O115" s="68" t="s">
        <v>770</v>
      </c>
      <c r="P115" s="68" t="s">
        <v>771</v>
      </c>
      <c r="Q115" s="68" t="s">
        <v>695</v>
      </c>
      <c r="R115" s="68" t="s">
        <v>688</v>
      </c>
      <c r="S115" s="68" t="s">
        <v>688</v>
      </c>
      <c r="T115" s="68" t="s">
        <v>68</v>
      </c>
      <c r="U115" s="67" t="s">
        <v>772</v>
      </c>
      <c r="V115" s="67" t="s">
        <v>706</v>
      </c>
      <c r="W115" s="71">
        <v>350447</v>
      </c>
      <c r="X115" s="67" t="s">
        <v>85</v>
      </c>
      <c r="Y115" s="72" t="str">
        <f t="shared" ref="Y115:Y116" si="25">IF(X115="NO","NO APLICA","ESCRIBA EL NOMBRE DEL IIEE")</f>
        <v>NO APLICA</v>
      </c>
      <c r="Z115" s="72" t="str">
        <f t="shared" ref="Z115:Z116" si="26">IF(Y115="NO APLICA","NO APLICA","ESCRIBA EL CÓDIGO MODULAR")</f>
        <v>NO APLICA</v>
      </c>
      <c r="AA115" s="68" t="s">
        <v>49</v>
      </c>
      <c r="AB115" s="73">
        <v>17</v>
      </c>
      <c r="AC115" s="73" t="s">
        <v>1771</v>
      </c>
      <c r="AD115" s="73">
        <v>15</v>
      </c>
      <c r="AE115" s="73" t="s">
        <v>1767</v>
      </c>
      <c r="AF115" s="73">
        <v>13</v>
      </c>
      <c r="AG115" s="20" t="s">
        <v>1771</v>
      </c>
      <c r="AH115" s="73">
        <v>12</v>
      </c>
      <c r="AI115" s="20" t="s">
        <v>1767</v>
      </c>
      <c r="AJ115" s="19" t="str">
        <f t="shared" si="24"/>
        <v>APROBADO</v>
      </c>
    </row>
    <row r="116" spans="1:36" ht="15" customHeight="1" x14ac:dyDescent="0.2">
      <c r="A116" s="9">
        <v>48</v>
      </c>
      <c r="B116" s="10">
        <v>147</v>
      </c>
      <c r="C116" s="10">
        <v>15</v>
      </c>
      <c r="D116" s="68" t="s">
        <v>773</v>
      </c>
      <c r="E116" s="68" t="s">
        <v>774</v>
      </c>
      <c r="F116" s="68" t="s">
        <v>34</v>
      </c>
      <c r="G116" s="68" t="s">
        <v>35</v>
      </c>
      <c r="H116" s="68" t="s">
        <v>36</v>
      </c>
      <c r="I116" s="68" t="s">
        <v>684</v>
      </c>
      <c r="J116" s="68" t="s">
        <v>38</v>
      </c>
      <c r="K116" s="76" t="s">
        <v>775</v>
      </c>
      <c r="L116" s="76" t="s">
        <v>40</v>
      </c>
      <c r="M116" s="70">
        <v>34909</v>
      </c>
      <c r="N116" s="68">
        <v>928872271</v>
      </c>
      <c r="O116" s="88" t="s">
        <v>776</v>
      </c>
      <c r="P116" s="68" t="s">
        <v>777</v>
      </c>
      <c r="Q116" s="68" t="s">
        <v>703</v>
      </c>
      <c r="R116" s="68" t="s">
        <v>688</v>
      </c>
      <c r="S116" s="68" t="s">
        <v>688</v>
      </c>
      <c r="T116" s="68" t="s">
        <v>68</v>
      </c>
      <c r="U116" s="68" t="s">
        <v>778</v>
      </c>
      <c r="V116" s="67" t="s">
        <v>732</v>
      </c>
      <c r="W116" s="71">
        <v>2603185</v>
      </c>
      <c r="X116" s="67" t="s">
        <v>85</v>
      </c>
      <c r="Y116" s="72" t="str">
        <f t="shared" si="25"/>
        <v>NO APLICA</v>
      </c>
      <c r="Z116" s="72" t="str">
        <f t="shared" si="26"/>
        <v>NO APLICA</v>
      </c>
      <c r="AA116" s="68" t="s">
        <v>49</v>
      </c>
      <c r="AB116" s="73">
        <v>8</v>
      </c>
      <c r="AC116" s="73" t="s">
        <v>1768</v>
      </c>
      <c r="AD116" s="73">
        <v>13</v>
      </c>
      <c r="AE116" s="73" t="s">
        <v>1767</v>
      </c>
      <c r="AF116" s="73">
        <v>8</v>
      </c>
      <c r="AG116" s="73" t="s">
        <v>1768</v>
      </c>
      <c r="AH116" s="73">
        <v>8</v>
      </c>
      <c r="AI116" s="73" t="s">
        <v>1769</v>
      </c>
      <c r="AJ116" s="19" t="str">
        <f t="shared" si="24"/>
        <v>DESAPROBADO</v>
      </c>
    </row>
    <row r="117" spans="1:36" ht="15" customHeight="1" x14ac:dyDescent="0.2">
      <c r="A117" s="9">
        <v>48</v>
      </c>
      <c r="B117" s="10">
        <v>139</v>
      </c>
      <c r="C117" s="10">
        <v>16</v>
      </c>
      <c r="D117" s="74" t="s">
        <v>779</v>
      </c>
      <c r="E117" s="74" t="s">
        <v>780</v>
      </c>
      <c r="F117" s="74" t="s">
        <v>60</v>
      </c>
      <c r="G117" s="74" t="s">
        <v>61</v>
      </c>
      <c r="H117" s="74" t="s">
        <v>62</v>
      </c>
      <c r="I117" s="74" t="s">
        <v>684</v>
      </c>
      <c r="J117" s="74" t="s">
        <v>38</v>
      </c>
      <c r="K117" s="82" t="s">
        <v>781</v>
      </c>
      <c r="L117" s="69" t="s">
        <v>40</v>
      </c>
      <c r="M117" s="70">
        <v>32217</v>
      </c>
      <c r="N117" s="68">
        <v>945631656</v>
      </c>
      <c r="O117" s="68" t="s">
        <v>782</v>
      </c>
      <c r="P117" s="68" t="s">
        <v>783</v>
      </c>
      <c r="Q117" s="68" t="s">
        <v>695</v>
      </c>
      <c r="R117" s="68" t="s">
        <v>688</v>
      </c>
      <c r="S117" s="68" t="s">
        <v>688</v>
      </c>
      <c r="T117" s="68" t="s">
        <v>689</v>
      </c>
      <c r="U117" s="67" t="s">
        <v>784</v>
      </c>
      <c r="V117" s="67">
        <v>15219</v>
      </c>
      <c r="W117" s="71">
        <v>464610</v>
      </c>
      <c r="X117" s="67" t="s">
        <v>48</v>
      </c>
      <c r="Y117" s="72" t="s">
        <v>739</v>
      </c>
      <c r="Z117" s="72">
        <v>561084</v>
      </c>
      <c r="AA117" s="68" t="s">
        <v>49</v>
      </c>
      <c r="AB117" s="73">
        <v>11</v>
      </c>
      <c r="AC117" s="73" t="s">
        <v>1769</v>
      </c>
      <c r="AD117" s="73">
        <v>11</v>
      </c>
      <c r="AE117" s="73" t="s">
        <v>1769</v>
      </c>
      <c r="AF117" s="73">
        <v>11</v>
      </c>
      <c r="AG117" s="73" t="s">
        <v>1768</v>
      </c>
      <c r="AH117" s="73">
        <v>13</v>
      </c>
      <c r="AI117" s="20" t="s">
        <v>1767</v>
      </c>
      <c r="AJ117" s="19" t="str">
        <f t="shared" si="24"/>
        <v>APROBADO</v>
      </c>
    </row>
    <row r="118" spans="1:36" ht="15" customHeight="1" x14ac:dyDescent="0.2">
      <c r="A118" s="9">
        <v>48</v>
      </c>
      <c r="B118" s="10">
        <v>138</v>
      </c>
      <c r="C118" s="10">
        <v>17</v>
      </c>
      <c r="D118" s="74" t="s">
        <v>785</v>
      </c>
      <c r="E118" s="74" t="s">
        <v>786</v>
      </c>
      <c r="F118" s="74" t="s">
        <v>34</v>
      </c>
      <c r="G118" s="74" t="s">
        <v>35</v>
      </c>
      <c r="H118" s="74" t="s">
        <v>73</v>
      </c>
      <c r="I118" s="74" t="s">
        <v>684</v>
      </c>
      <c r="J118" s="74" t="s">
        <v>38</v>
      </c>
      <c r="K118" s="82" t="s">
        <v>787</v>
      </c>
      <c r="L118" s="69" t="s">
        <v>40</v>
      </c>
      <c r="M118" s="70">
        <v>31078</v>
      </c>
      <c r="N118" s="68">
        <v>925968889</v>
      </c>
      <c r="O118" s="68" t="s">
        <v>788</v>
      </c>
      <c r="P118" s="68" t="s">
        <v>789</v>
      </c>
      <c r="Q118" s="89" t="s">
        <v>790</v>
      </c>
      <c r="R118" s="68" t="s">
        <v>688</v>
      </c>
      <c r="S118" s="68" t="s">
        <v>688</v>
      </c>
      <c r="T118" s="68" t="s">
        <v>715</v>
      </c>
      <c r="U118" s="67" t="s">
        <v>791</v>
      </c>
      <c r="V118" s="67" t="s">
        <v>706</v>
      </c>
      <c r="W118" s="71">
        <v>350447</v>
      </c>
      <c r="X118" s="67" t="s">
        <v>85</v>
      </c>
      <c r="Y118" s="72" t="str">
        <f t="shared" ref="Y118:Y120" si="27">IF(X118="NO","NO APLICA","ESCRIBA EL NOMBRE DEL IIEE")</f>
        <v>NO APLICA</v>
      </c>
      <c r="Z118" s="72" t="str">
        <f t="shared" ref="Z118:Z120" si="28">IF(Y118="NO APLICA","NO APLICA","ESCRIBA EL CÓDIGO MODULAR")</f>
        <v>NO APLICA</v>
      </c>
      <c r="AA118" s="68" t="s">
        <v>49</v>
      </c>
      <c r="AB118" s="73">
        <v>17</v>
      </c>
      <c r="AC118" s="73" t="s">
        <v>1771</v>
      </c>
      <c r="AD118" s="73">
        <v>15</v>
      </c>
      <c r="AE118" s="73" t="s">
        <v>1771</v>
      </c>
      <c r="AF118" s="73">
        <v>15</v>
      </c>
      <c r="AG118" s="20" t="s">
        <v>1771</v>
      </c>
      <c r="AH118" s="73">
        <v>13</v>
      </c>
      <c r="AI118" s="20" t="s">
        <v>1767</v>
      </c>
      <c r="AJ118" s="19" t="str">
        <f t="shared" si="24"/>
        <v>APROBADO</v>
      </c>
    </row>
    <row r="119" spans="1:36" ht="15" customHeight="1" x14ac:dyDescent="0.2">
      <c r="A119" s="9">
        <v>48</v>
      </c>
      <c r="B119" s="10">
        <v>153</v>
      </c>
      <c r="C119" s="10">
        <v>18</v>
      </c>
      <c r="D119" s="77" t="s">
        <v>792</v>
      </c>
      <c r="E119" s="78" t="s">
        <v>793</v>
      </c>
      <c r="F119" s="79" t="s">
        <v>155</v>
      </c>
      <c r="G119" s="79" t="s">
        <v>35</v>
      </c>
      <c r="H119" s="79" t="s">
        <v>36</v>
      </c>
      <c r="I119" s="79" t="s">
        <v>37</v>
      </c>
      <c r="J119" s="79" t="s">
        <v>38</v>
      </c>
      <c r="K119" s="69">
        <v>73065275</v>
      </c>
      <c r="L119" s="69" t="s">
        <v>40</v>
      </c>
      <c r="M119" s="80">
        <v>34488</v>
      </c>
      <c r="N119" s="79">
        <v>978844898</v>
      </c>
      <c r="O119" s="79" t="s">
        <v>794</v>
      </c>
      <c r="P119" s="79" t="s">
        <v>795</v>
      </c>
      <c r="Q119" s="79" t="s">
        <v>722</v>
      </c>
      <c r="R119" s="68" t="s">
        <v>688</v>
      </c>
      <c r="S119" s="68" t="s">
        <v>688</v>
      </c>
      <c r="T119" s="79" t="s">
        <v>715</v>
      </c>
      <c r="U119" s="81" t="s">
        <v>358</v>
      </c>
      <c r="V119" s="81" t="s">
        <v>716</v>
      </c>
      <c r="W119" s="71" t="s">
        <v>716</v>
      </c>
      <c r="X119" s="81" t="s">
        <v>85</v>
      </c>
      <c r="Y119" s="72" t="str">
        <f t="shared" si="27"/>
        <v>NO APLICA</v>
      </c>
      <c r="Z119" s="72" t="str">
        <f t="shared" si="28"/>
        <v>NO APLICA</v>
      </c>
      <c r="AA119" s="79" t="s">
        <v>49</v>
      </c>
      <c r="AB119" s="73">
        <v>18</v>
      </c>
      <c r="AC119" s="73" t="s">
        <v>1771</v>
      </c>
      <c r="AD119" s="73">
        <v>17</v>
      </c>
      <c r="AE119" s="73" t="s">
        <v>1771</v>
      </c>
      <c r="AF119" s="73">
        <v>16</v>
      </c>
      <c r="AG119" s="20" t="s">
        <v>1771</v>
      </c>
      <c r="AH119" s="73">
        <v>16</v>
      </c>
      <c r="AI119" s="20" t="s">
        <v>1767</v>
      </c>
      <c r="AJ119" s="19" t="str">
        <f t="shared" si="24"/>
        <v>APROBADO</v>
      </c>
    </row>
    <row r="120" spans="1:36" ht="15" customHeight="1" x14ac:dyDescent="0.2">
      <c r="A120" s="9">
        <v>48</v>
      </c>
      <c r="B120" s="10">
        <v>134</v>
      </c>
      <c r="C120" s="10">
        <v>19</v>
      </c>
      <c r="D120" s="74" t="s">
        <v>796</v>
      </c>
      <c r="E120" s="74" t="s">
        <v>797</v>
      </c>
      <c r="F120" s="74" t="s">
        <v>155</v>
      </c>
      <c r="G120" s="74" t="s">
        <v>35</v>
      </c>
      <c r="H120" s="74" t="s">
        <v>101</v>
      </c>
      <c r="I120" s="74" t="s">
        <v>684</v>
      </c>
      <c r="J120" s="74" t="s">
        <v>38</v>
      </c>
      <c r="K120" s="82">
        <v>42738230</v>
      </c>
      <c r="L120" s="69" t="s">
        <v>40</v>
      </c>
      <c r="M120" s="70">
        <v>30944</v>
      </c>
      <c r="N120" s="68">
        <v>978143907</v>
      </c>
      <c r="O120" s="68" t="s">
        <v>798</v>
      </c>
      <c r="P120" s="68" t="s">
        <v>799</v>
      </c>
      <c r="Q120" s="68" t="s">
        <v>687</v>
      </c>
      <c r="R120" s="68" t="s">
        <v>704</v>
      </c>
      <c r="S120" s="68" t="s">
        <v>704</v>
      </c>
      <c r="T120" s="68" t="s">
        <v>68</v>
      </c>
      <c r="U120" s="67" t="s">
        <v>800</v>
      </c>
      <c r="V120" s="67" t="s">
        <v>706</v>
      </c>
      <c r="W120" s="71">
        <v>350447</v>
      </c>
      <c r="X120" s="67" t="s">
        <v>85</v>
      </c>
      <c r="Y120" s="72" t="str">
        <f t="shared" si="27"/>
        <v>NO APLICA</v>
      </c>
      <c r="Z120" s="72" t="str">
        <f t="shared" si="28"/>
        <v>NO APLICA</v>
      </c>
      <c r="AA120" s="68" t="s">
        <v>49</v>
      </c>
      <c r="AB120" s="73">
        <v>17</v>
      </c>
      <c r="AC120" s="73" t="s">
        <v>1771</v>
      </c>
      <c r="AD120" s="73">
        <v>15</v>
      </c>
      <c r="AE120" s="73" t="s">
        <v>1771</v>
      </c>
      <c r="AF120" s="73">
        <v>14</v>
      </c>
      <c r="AG120" s="20" t="s">
        <v>1771</v>
      </c>
      <c r="AH120" s="73">
        <v>14</v>
      </c>
      <c r="AI120" s="20" t="s">
        <v>1767</v>
      </c>
      <c r="AJ120" s="19" t="str">
        <f t="shared" si="24"/>
        <v>APROBADO</v>
      </c>
    </row>
    <row r="121" spans="1:36" ht="15" customHeight="1" x14ac:dyDescent="0.2">
      <c r="A121" s="9">
        <v>48</v>
      </c>
      <c r="B121" s="10">
        <v>114</v>
      </c>
      <c r="C121" s="10">
        <v>20</v>
      </c>
      <c r="D121" s="74" t="s">
        <v>801</v>
      </c>
      <c r="E121" s="74" t="s">
        <v>802</v>
      </c>
      <c r="F121" s="74" t="s">
        <v>155</v>
      </c>
      <c r="G121" s="74" t="s">
        <v>35</v>
      </c>
      <c r="H121" s="74" t="s">
        <v>73</v>
      </c>
      <c r="I121" s="74" t="s">
        <v>684</v>
      </c>
      <c r="J121" s="74" t="s">
        <v>38</v>
      </c>
      <c r="K121" s="82">
        <v>43782332</v>
      </c>
      <c r="L121" s="69" t="s">
        <v>40</v>
      </c>
      <c r="M121" s="70">
        <v>31522</v>
      </c>
      <c r="N121" s="68">
        <v>983491844</v>
      </c>
      <c r="O121" s="68" t="s">
        <v>803</v>
      </c>
      <c r="P121" s="68" t="s">
        <v>804</v>
      </c>
      <c r="Q121" s="68" t="s">
        <v>695</v>
      </c>
      <c r="R121" s="68" t="s">
        <v>704</v>
      </c>
      <c r="S121" s="68" t="s">
        <v>704</v>
      </c>
      <c r="T121" s="68" t="s">
        <v>68</v>
      </c>
      <c r="U121" s="67" t="s">
        <v>55</v>
      </c>
      <c r="V121" s="67" t="s">
        <v>739</v>
      </c>
      <c r="W121" s="71">
        <v>561084</v>
      </c>
      <c r="X121" s="67" t="s">
        <v>48</v>
      </c>
      <c r="Y121" s="72" t="s">
        <v>767</v>
      </c>
      <c r="Z121" s="72">
        <v>840595</v>
      </c>
      <c r="AA121" s="68" t="s">
        <v>49</v>
      </c>
      <c r="AB121" s="73">
        <v>12</v>
      </c>
      <c r="AC121" s="73" t="s">
        <v>1771</v>
      </c>
      <c r="AD121" s="73">
        <v>16</v>
      </c>
      <c r="AE121" s="73" t="s">
        <v>1771</v>
      </c>
      <c r="AF121" s="73">
        <v>15</v>
      </c>
      <c r="AG121" s="20" t="s">
        <v>1771</v>
      </c>
      <c r="AH121" s="73">
        <v>14</v>
      </c>
      <c r="AI121" s="20" t="s">
        <v>1767</v>
      </c>
      <c r="AJ121" s="19" t="str">
        <f t="shared" si="24"/>
        <v>APROBADO</v>
      </c>
    </row>
    <row r="122" spans="1:36" ht="15" customHeight="1" x14ac:dyDescent="0.2">
      <c r="A122" s="9">
        <v>48</v>
      </c>
      <c r="B122" s="10">
        <v>145</v>
      </c>
      <c r="C122" s="10">
        <v>21</v>
      </c>
      <c r="D122" s="67" t="s">
        <v>805</v>
      </c>
      <c r="E122" s="68" t="s">
        <v>806</v>
      </c>
      <c r="F122" s="68" t="s">
        <v>34</v>
      </c>
      <c r="G122" s="68" t="s">
        <v>384</v>
      </c>
      <c r="H122" s="68" t="s">
        <v>807</v>
      </c>
      <c r="I122" s="68" t="s">
        <v>684</v>
      </c>
      <c r="J122" s="68" t="s">
        <v>38</v>
      </c>
      <c r="K122" s="69">
        <v>41073510</v>
      </c>
      <c r="L122" s="69" t="s">
        <v>40</v>
      </c>
      <c r="M122" s="70">
        <v>29392</v>
      </c>
      <c r="N122" s="68">
        <v>977643920</v>
      </c>
      <c r="O122" s="68" t="s">
        <v>808</v>
      </c>
      <c r="P122" s="68" t="s">
        <v>809</v>
      </c>
      <c r="Q122" s="68" t="s">
        <v>810</v>
      </c>
      <c r="R122" s="68" t="s">
        <v>810</v>
      </c>
      <c r="S122" s="68" t="s">
        <v>688</v>
      </c>
      <c r="T122" s="68" t="s">
        <v>715</v>
      </c>
      <c r="U122" s="67" t="s">
        <v>55</v>
      </c>
      <c r="V122" s="67" t="s">
        <v>732</v>
      </c>
      <c r="W122" s="71">
        <v>2603185</v>
      </c>
      <c r="X122" s="67" t="s">
        <v>85</v>
      </c>
      <c r="Y122" s="72" t="str">
        <f>IF(X122="NO","NO APLICA","ESCRIBA EL NOMBRE DEL IIEE")</f>
        <v>NO APLICA</v>
      </c>
      <c r="Z122" s="72" t="str">
        <f>IF(Y122="NO APLICA","NO APLICA","ESCRIBA EL CÓDIGO MODULAR")</f>
        <v>NO APLICA</v>
      </c>
      <c r="AA122" s="68" t="s">
        <v>49</v>
      </c>
      <c r="AB122" s="73">
        <v>16</v>
      </c>
      <c r="AC122" s="73" t="s">
        <v>1771</v>
      </c>
      <c r="AD122" s="73">
        <v>15</v>
      </c>
      <c r="AE122" s="73" t="s">
        <v>1771</v>
      </c>
      <c r="AF122" s="73">
        <v>12</v>
      </c>
      <c r="AG122" s="20" t="s">
        <v>1771</v>
      </c>
      <c r="AH122" s="73">
        <v>13</v>
      </c>
      <c r="AI122" s="20" t="s">
        <v>1767</v>
      </c>
      <c r="AJ122" s="19" t="str">
        <f t="shared" si="24"/>
        <v>APROBADO</v>
      </c>
    </row>
    <row r="123" spans="1:36" ht="15" customHeight="1" x14ac:dyDescent="0.2">
      <c r="A123" s="9">
        <v>48</v>
      </c>
      <c r="B123" s="10">
        <v>106</v>
      </c>
      <c r="C123" s="10">
        <v>22</v>
      </c>
      <c r="D123" s="68" t="s">
        <v>811</v>
      </c>
      <c r="E123" s="68" t="s">
        <v>812</v>
      </c>
      <c r="F123" s="68" t="s">
        <v>34</v>
      </c>
      <c r="G123" s="68" t="s">
        <v>35</v>
      </c>
      <c r="H123" s="68" t="s">
        <v>73</v>
      </c>
      <c r="I123" s="68" t="s">
        <v>684</v>
      </c>
      <c r="J123" s="68" t="s">
        <v>38</v>
      </c>
      <c r="K123" s="76" t="s">
        <v>813</v>
      </c>
      <c r="L123" s="76" t="s">
        <v>40</v>
      </c>
      <c r="M123" s="70">
        <v>24060</v>
      </c>
      <c r="N123" s="68">
        <v>969497268</v>
      </c>
      <c r="O123" s="68" t="s">
        <v>814</v>
      </c>
      <c r="P123" s="68" t="s">
        <v>815</v>
      </c>
      <c r="Q123" s="68" t="s">
        <v>703</v>
      </c>
      <c r="R123" s="68" t="s">
        <v>688</v>
      </c>
      <c r="S123" s="68" t="s">
        <v>688</v>
      </c>
      <c r="T123" s="68" t="s">
        <v>68</v>
      </c>
      <c r="U123" s="67" t="s">
        <v>55</v>
      </c>
      <c r="V123" s="67" t="s">
        <v>697</v>
      </c>
      <c r="W123" s="71">
        <v>350496</v>
      </c>
      <c r="X123" s="67" t="s">
        <v>48</v>
      </c>
      <c r="Y123" s="72" t="s">
        <v>697</v>
      </c>
      <c r="Z123" s="72">
        <v>350496</v>
      </c>
      <c r="AA123" s="68" t="s">
        <v>49</v>
      </c>
      <c r="AB123" s="73">
        <v>17</v>
      </c>
      <c r="AC123" s="73" t="s">
        <v>1771</v>
      </c>
      <c r="AD123" s="73">
        <v>15</v>
      </c>
      <c r="AE123" s="73" t="s">
        <v>1771</v>
      </c>
      <c r="AF123" s="73">
        <v>16</v>
      </c>
      <c r="AG123" s="20" t="s">
        <v>1771</v>
      </c>
      <c r="AH123" s="73">
        <v>14</v>
      </c>
      <c r="AI123" s="20" t="s">
        <v>1767</v>
      </c>
      <c r="AJ123" s="19" t="str">
        <f t="shared" si="24"/>
        <v>APROBADO</v>
      </c>
    </row>
    <row r="124" spans="1:36" ht="15" customHeight="1" x14ac:dyDescent="0.2">
      <c r="A124" s="9">
        <v>48</v>
      </c>
      <c r="B124" s="10">
        <v>143</v>
      </c>
      <c r="C124" s="10">
        <v>23</v>
      </c>
      <c r="D124" s="68" t="s">
        <v>816</v>
      </c>
      <c r="E124" s="68" t="s">
        <v>817</v>
      </c>
      <c r="F124" s="68" t="s">
        <v>155</v>
      </c>
      <c r="G124" s="68" t="s">
        <v>61</v>
      </c>
      <c r="H124" s="68" t="s">
        <v>62</v>
      </c>
      <c r="I124" s="68" t="s">
        <v>684</v>
      </c>
      <c r="J124" s="68" t="s">
        <v>38</v>
      </c>
      <c r="K124" s="76" t="s">
        <v>818</v>
      </c>
      <c r="L124" s="76" t="s">
        <v>40</v>
      </c>
      <c r="M124" s="70">
        <v>27793</v>
      </c>
      <c r="N124" s="68">
        <v>956497086</v>
      </c>
      <c r="O124" s="68" t="s">
        <v>819</v>
      </c>
      <c r="P124" s="68" t="s">
        <v>820</v>
      </c>
      <c r="Q124" s="68" t="s">
        <v>695</v>
      </c>
      <c r="R124" s="68" t="s">
        <v>704</v>
      </c>
      <c r="S124" s="68" t="s">
        <v>704</v>
      </c>
      <c r="T124" s="68" t="s">
        <v>715</v>
      </c>
      <c r="U124" s="67" t="s">
        <v>55</v>
      </c>
      <c r="V124" s="67" t="s">
        <v>732</v>
      </c>
      <c r="W124" s="71">
        <v>2603185</v>
      </c>
      <c r="X124" s="67" t="s">
        <v>48</v>
      </c>
      <c r="Y124" s="72" t="s">
        <v>732</v>
      </c>
      <c r="Z124" s="72">
        <v>2603185</v>
      </c>
      <c r="AA124" s="68" t="s">
        <v>49</v>
      </c>
      <c r="AB124" s="73">
        <v>16</v>
      </c>
      <c r="AC124" s="73" t="s">
        <v>1771</v>
      </c>
      <c r="AD124" s="73">
        <v>15</v>
      </c>
      <c r="AE124" s="73" t="s">
        <v>1771</v>
      </c>
      <c r="AF124" s="73">
        <v>11</v>
      </c>
      <c r="AG124" s="73" t="s">
        <v>1768</v>
      </c>
      <c r="AH124" s="73">
        <v>11</v>
      </c>
      <c r="AI124" s="73" t="s">
        <v>1768</v>
      </c>
      <c r="AJ124" s="19" t="str">
        <f t="shared" si="24"/>
        <v>APROBADO</v>
      </c>
    </row>
    <row r="125" spans="1:36" ht="15" customHeight="1" x14ac:dyDescent="0.2">
      <c r="A125" s="9">
        <v>48</v>
      </c>
      <c r="B125" s="10">
        <v>128</v>
      </c>
      <c r="C125" s="10">
        <v>24</v>
      </c>
      <c r="D125" s="74" t="s">
        <v>821</v>
      </c>
      <c r="E125" s="74" t="s">
        <v>822</v>
      </c>
      <c r="F125" s="74" t="s">
        <v>34</v>
      </c>
      <c r="G125" s="74" t="s">
        <v>35</v>
      </c>
      <c r="H125" s="74" t="s">
        <v>73</v>
      </c>
      <c r="I125" s="74" t="s">
        <v>684</v>
      </c>
      <c r="J125" s="74" t="s">
        <v>38</v>
      </c>
      <c r="K125" s="82" t="s">
        <v>823</v>
      </c>
      <c r="L125" s="69" t="s">
        <v>40</v>
      </c>
      <c r="M125" s="70">
        <v>28790</v>
      </c>
      <c r="N125" s="68">
        <v>950478609</v>
      </c>
      <c r="O125" s="68" t="s">
        <v>824</v>
      </c>
      <c r="P125" s="68" t="s">
        <v>825</v>
      </c>
      <c r="Q125" s="68" t="s">
        <v>695</v>
      </c>
      <c r="R125" s="68" t="s">
        <v>688</v>
      </c>
      <c r="S125" s="68" t="s">
        <v>688</v>
      </c>
      <c r="T125" s="68" t="s">
        <v>68</v>
      </c>
      <c r="U125" s="67" t="s">
        <v>778</v>
      </c>
      <c r="V125" s="67" t="s">
        <v>706</v>
      </c>
      <c r="W125" s="71">
        <v>350447</v>
      </c>
      <c r="X125" s="67" t="s">
        <v>48</v>
      </c>
      <c r="Y125" s="72" t="s">
        <v>706</v>
      </c>
      <c r="Z125" s="72">
        <v>350447</v>
      </c>
      <c r="AA125" s="68" t="s">
        <v>49</v>
      </c>
      <c r="AB125" s="73">
        <v>17</v>
      </c>
      <c r="AC125" s="73" t="s">
        <v>1771</v>
      </c>
      <c r="AD125" s="73">
        <v>16</v>
      </c>
      <c r="AE125" s="73" t="s">
        <v>1771</v>
      </c>
      <c r="AF125" s="73">
        <v>16</v>
      </c>
      <c r="AG125" s="20" t="s">
        <v>1771</v>
      </c>
      <c r="AH125" s="73">
        <v>13</v>
      </c>
      <c r="AI125" s="20" t="s">
        <v>1767</v>
      </c>
      <c r="AJ125" s="19" t="str">
        <f t="shared" si="24"/>
        <v>APROBADO</v>
      </c>
    </row>
    <row r="126" spans="1:36" ht="15" customHeight="1" x14ac:dyDescent="0.2">
      <c r="A126" s="9">
        <v>48</v>
      </c>
      <c r="B126" s="10">
        <v>150</v>
      </c>
      <c r="C126" s="10">
        <v>25</v>
      </c>
      <c r="D126" s="67" t="s">
        <v>826</v>
      </c>
      <c r="E126" s="68" t="s">
        <v>827</v>
      </c>
      <c r="F126" s="68" t="s">
        <v>34</v>
      </c>
      <c r="G126" s="68" t="s">
        <v>61</v>
      </c>
      <c r="H126" s="68" t="s">
        <v>101</v>
      </c>
      <c r="I126" s="68" t="s">
        <v>684</v>
      </c>
      <c r="J126" s="68" t="s">
        <v>38</v>
      </c>
      <c r="K126" s="69" t="s">
        <v>828</v>
      </c>
      <c r="L126" s="69" t="s">
        <v>40</v>
      </c>
      <c r="M126" s="70">
        <v>30482</v>
      </c>
      <c r="N126" s="68">
        <v>972445703</v>
      </c>
      <c r="O126" s="68" t="s">
        <v>829</v>
      </c>
      <c r="P126" s="68" t="s">
        <v>830</v>
      </c>
      <c r="Q126" s="68" t="s">
        <v>703</v>
      </c>
      <c r="R126" s="68" t="s">
        <v>688</v>
      </c>
      <c r="S126" s="68" t="s">
        <v>688</v>
      </c>
      <c r="T126" s="68" t="s">
        <v>689</v>
      </c>
      <c r="U126" s="67" t="s">
        <v>342</v>
      </c>
      <c r="V126" s="67">
        <v>15220</v>
      </c>
      <c r="W126" s="71">
        <v>464628</v>
      </c>
      <c r="X126" s="67" t="s">
        <v>48</v>
      </c>
      <c r="Y126" s="72">
        <v>15220</v>
      </c>
      <c r="Z126" s="72">
        <v>464628</v>
      </c>
      <c r="AA126" s="68" t="s">
        <v>49</v>
      </c>
      <c r="AB126" s="73">
        <v>18</v>
      </c>
      <c r="AC126" s="73" t="s">
        <v>1771</v>
      </c>
      <c r="AD126" s="73">
        <v>16</v>
      </c>
      <c r="AE126" s="73" t="s">
        <v>1771</v>
      </c>
      <c r="AF126" s="73">
        <v>15</v>
      </c>
      <c r="AG126" s="20" t="s">
        <v>1771</v>
      </c>
      <c r="AH126" s="73">
        <v>15</v>
      </c>
      <c r="AI126" s="20" t="s">
        <v>1767</v>
      </c>
      <c r="AJ126" s="19" t="str">
        <f t="shared" si="24"/>
        <v>APROBADO</v>
      </c>
    </row>
    <row r="127" spans="1:36" ht="15" customHeight="1" x14ac:dyDescent="0.2">
      <c r="A127" s="9">
        <v>48</v>
      </c>
      <c r="B127" s="10">
        <v>120</v>
      </c>
      <c r="C127" s="10">
        <v>26</v>
      </c>
      <c r="D127" s="74" t="s">
        <v>831</v>
      </c>
      <c r="E127" s="74" t="s">
        <v>832</v>
      </c>
      <c r="F127" s="74" t="s">
        <v>34</v>
      </c>
      <c r="G127" s="74" t="s">
        <v>35</v>
      </c>
      <c r="H127" s="74" t="s">
        <v>73</v>
      </c>
      <c r="I127" s="74" t="s">
        <v>684</v>
      </c>
      <c r="J127" s="74" t="s">
        <v>38</v>
      </c>
      <c r="K127" s="75" t="s">
        <v>833</v>
      </c>
      <c r="L127" s="76" t="s">
        <v>40</v>
      </c>
      <c r="M127" s="70">
        <v>28169</v>
      </c>
      <c r="N127" s="68">
        <v>995016507</v>
      </c>
      <c r="O127" s="68" t="s">
        <v>834</v>
      </c>
      <c r="P127" s="68" t="s">
        <v>835</v>
      </c>
      <c r="Q127" s="68" t="s">
        <v>836</v>
      </c>
      <c r="R127" s="68" t="s">
        <v>837</v>
      </c>
      <c r="S127" s="68" t="s">
        <v>688</v>
      </c>
      <c r="T127" s="68" t="s">
        <v>68</v>
      </c>
      <c r="U127" s="67" t="s">
        <v>838</v>
      </c>
      <c r="V127" s="67">
        <v>15304</v>
      </c>
      <c r="W127" s="71">
        <v>355271</v>
      </c>
      <c r="X127" s="67" t="s">
        <v>48</v>
      </c>
      <c r="Y127" s="72" t="s">
        <v>767</v>
      </c>
      <c r="Z127" s="72">
        <v>840595</v>
      </c>
      <c r="AA127" s="68" t="s">
        <v>49</v>
      </c>
      <c r="AB127" s="73">
        <v>18</v>
      </c>
      <c r="AC127" s="73" t="s">
        <v>1771</v>
      </c>
      <c r="AD127" s="73">
        <v>16</v>
      </c>
      <c r="AE127" s="73" t="s">
        <v>1771</v>
      </c>
      <c r="AF127" s="73">
        <v>16</v>
      </c>
      <c r="AG127" s="20" t="s">
        <v>1771</v>
      </c>
      <c r="AH127" s="73">
        <v>15</v>
      </c>
      <c r="AI127" s="20" t="s">
        <v>1767</v>
      </c>
      <c r="AJ127" s="19" t="str">
        <f t="shared" si="24"/>
        <v>APROBADO</v>
      </c>
    </row>
    <row r="128" spans="1:36" ht="15" customHeight="1" x14ac:dyDescent="0.2">
      <c r="A128" s="9">
        <v>48</v>
      </c>
      <c r="B128" s="10">
        <v>131</v>
      </c>
      <c r="C128" s="10">
        <v>27</v>
      </c>
      <c r="D128" s="74" t="s">
        <v>839</v>
      </c>
      <c r="E128" s="74" t="s">
        <v>840</v>
      </c>
      <c r="F128" s="74" t="s">
        <v>34</v>
      </c>
      <c r="G128" s="74" t="s">
        <v>35</v>
      </c>
      <c r="H128" s="74" t="s">
        <v>73</v>
      </c>
      <c r="I128" s="74" t="s">
        <v>684</v>
      </c>
      <c r="J128" s="74" t="s">
        <v>38</v>
      </c>
      <c r="K128" s="82">
        <v>80478064</v>
      </c>
      <c r="L128" s="69" t="s">
        <v>40</v>
      </c>
      <c r="M128" s="70">
        <v>29142</v>
      </c>
      <c r="N128" s="68">
        <v>935723504</v>
      </c>
      <c r="O128" s="68" t="s">
        <v>841</v>
      </c>
      <c r="P128" s="68" t="s">
        <v>842</v>
      </c>
      <c r="Q128" s="68" t="s">
        <v>695</v>
      </c>
      <c r="R128" s="68" t="s">
        <v>688</v>
      </c>
      <c r="S128" s="68" t="s">
        <v>704</v>
      </c>
      <c r="T128" s="68" t="s">
        <v>68</v>
      </c>
      <c r="U128" s="67" t="s">
        <v>55</v>
      </c>
      <c r="V128" s="67" t="s">
        <v>706</v>
      </c>
      <c r="W128" s="71">
        <v>350447</v>
      </c>
      <c r="X128" s="67" t="s">
        <v>48</v>
      </c>
      <c r="Y128" s="72" t="s">
        <v>706</v>
      </c>
      <c r="Z128" s="72">
        <v>350447</v>
      </c>
      <c r="AA128" s="68" t="s">
        <v>49</v>
      </c>
      <c r="AB128" s="73">
        <v>17</v>
      </c>
      <c r="AC128" s="73" t="s">
        <v>1771</v>
      </c>
      <c r="AD128" s="73">
        <v>16</v>
      </c>
      <c r="AE128" s="73" t="s">
        <v>1771</v>
      </c>
      <c r="AF128" s="73">
        <v>15</v>
      </c>
      <c r="AG128" s="20" t="s">
        <v>1771</v>
      </c>
      <c r="AH128" s="73">
        <v>14</v>
      </c>
      <c r="AI128" s="20" t="s">
        <v>1767</v>
      </c>
      <c r="AJ128" s="19" t="str">
        <f t="shared" si="24"/>
        <v>APROBADO</v>
      </c>
    </row>
    <row r="129" spans="1:36" ht="15" customHeight="1" x14ac:dyDescent="0.2">
      <c r="A129" s="9">
        <v>48</v>
      </c>
      <c r="B129" s="10">
        <v>130</v>
      </c>
      <c r="C129" s="10">
        <v>28</v>
      </c>
      <c r="D129" s="74" t="s">
        <v>843</v>
      </c>
      <c r="E129" s="74" t="s">
        <v>844</v>
      </c>
      <c r="F129" s="74" t="s">
        <v>34</v>
      </c>
      <c r="G129" s="74" t="s">
        <v>35</v>
      </c>
      <c r="H129" s="74" t="s">
        <v>73</v>
      </c>
      <c r="I129" s="74" t="s">
        <v>684</v>
      </c>
      <c r="J129" s="74" t="s">
        <v>38</v>
      </c>
      <c r="K129" s="82" t="s">
        <v>845</v>
      </c>
      <c r="L129" s="69" t="s">
        <v>40</v>
      </c>
      <c r="M129" s="70">
        <v>28038</v>
      </c>
      <c r="N129" s="68">
        <v>943009778</v>
      </c>
      <c r="O129" s="68" t="s">
        <v>846</v>
      </c>
      <c r="P129" s="68" t="s">
        <v>847</v>
      </c>
      <c r="Q129" s="68" t="s">
        <v>695</v>
      </c>
      <c r="R129" s="68" t="s">
        <v>688</v>
      </c>
      <c r="S129" s="68" t="s">
        <v>688</v>
      </c>
      <c r="T129" s="68" t="s">
        <v>68</v>
      </c>
      <c r="U129" s="67" t="s">
        <v>848</v>
      </c>
      <c r="V129" s="67" t="s">
        <v>706</v>
      </c>
      <c r="W129" s="71">
        <v>350447</v>
      </c>
      <c r="X129" s="67" t="s">
        <v>85</v>
      </c>
      <c r="Y129" s="72" t="str">
        <f>IF(X129="NO","NO APLICA","ESCRIBA EL NOMBRE DEL IIEE")</f>
        <v>NO APLICA</v>
      </c>
      <c r="Z129" s="72" t="str">
        <f>IF(Y129="NO APLICA","NO APLICA","ESCRIBA EL CÓDIGO MODULAR")</f>
        <v>NO APLICA</v>
      </c>
      <c r="AA129" s="68" t="s">
        <v>49</v>
      </c>
      <c r="AB129" s="73">
        <v>15</v>
      </c>
      <c r="AC129" s="73" t="s">
        <v>1771</v>
      </c>
      <c r="AD129" s="73">
        <v>15</v>
      </c>
      <c r="AE129" s="73" t="s">
        <v>1771</v>
      </c>
      <c r="AF129" s="73">
        <v>14</v>
      </c>
      <c r="AG129" s="20" t="s">
        <v>1771</v>
      </c>
      <c r="AH129" s="73">
        <v>12</v>
      </c>
      <c r="AI129" s="20" t="s">
        <v>1767</v>
      </c>
      <c r="AJ129" s="19" t="str">
        <f t="shared" ref="AJ129:AJ133" si="29">IF(AND(AB129&gt;=11,AD129&gt;=11,AF129&gt;=11,AH129&gt;=11),"APROBADO","DESAPROBADO")</f>
        <v>APROBADO</v>
      </c>
    </row>
    <row r="130" spans="1:36" ht="15" customHeight="1" x14ac:dyDescent="0.2">
      <c r="A130" s="9">
        <v>48</v>
      </c>
      <c r="B130" s="10">
        <v>144</v>
      </c>
      <c r="C130" s="10">
        <v>29</v>
      </c>
      <c r="D130" s="67" t="s">
        <v>849</v>
      </c>
      <c r="E130" s="68" t="s">
        <v>850</v>
      </c>
      <c r="F130" s="68" t="s">
        <v>60</v>
      </c>
      <c r="G130" s="68" t="s">
        <v>61</v>
      </c>
      <c r="H130" s="68" t="s">
        <v>62</v>
      </c>
      <c r="I130" s="68" t="s">
        <v>684</v>
      </c>
      <c r="J130" s="68" t="s">
        <v>38</v>
      </c>
      <c r="K130" s="76" t="s">
        <v>851</v>
      </c>
      <c r="L130" s="76" t="s">
        <v>40</v>
      </c>
      <c r="M130" s="70">
        <v>24740</v>
      </c>
      <c r="N130" s="68">
        <v>944614070</v>
      </c>
      <c r="O130" s="68" t="s">
        <v>852</v>
      </c>
      <c r="P130" s="68" t="s">
        <v>853</v>
      </c>
      <c r="Q130" s="68" t="s">
        <v>703</v>
      </c>
      <c r="R130" s="68" t="s">
        <v>688</v>
      </c>
      <c r="S130" s="68" t="s">
        <v>688</v>
      </c>
      <c r="T130" s="68" t="s">
        <v>715</v>
      </c>
      <c r="U130" s="67" t="s">
        <v>55</v>
      </c>
      <c r="V130" s="67" t="s">
        <v>732</v>
      </c>
      <c r="W130" s="71">
        <v>2603185</v>
      </c>
      <c r="X130" s="67" t="s">
        <v>48</v>
      </c>
      <c r="Y130" s="72" t="s">
        <v>732</v>
      </c>
      <c r="Z130" s="72">
        <v>2603185</v>
      </c>
      <c r="AA130" s="68" t="s">
        <v>49</v>
      </c>
      <c r="AB130" s="73">
        <v>15</v>
      </c>
      <c r="AC130" s="73" t="s">
        <v>1767</v>
      </c>
      <c r="AD130" s="73">
        <v>15</v>
      </c>
      <c r="AE130" s="73" t="s">
        <v>1771</v>
      </c>
      <c r="AF130" s="73">
        <v>3</v>
      </c>
      <c r="AG130" s="73" t="s">
        <v>1770</v>
      </c>
      <c r="AH130" s="73">
        <v>13</v>
      </c>
      <c r="AI130" s="20" t="s">
        <v>1767</v>
      </c>
      <c r="AJ130" s="19" t="str">
        <f t="shared" si="29"/>
        <v>DESAPROBADO</v>
      </c>
    </row>
    <row r="131" spans="1:36" ht="15" customHeight="1" x14ac:dyDescent="0.2">
      <c r="A131" s="9">
        <v>48</v>
      </c>
      <c r="B131" s="10">
        <v>107</v>
      </c>
      <c r="C131" s="10">
        <v>30</v>
      </c>
      <c r="D131" s="68" t="s">
        <v>854</v>
      </c>
      <c r="E131" s="68" t="s">
        <v>855</v>
      </c>
      <c r="F131" s="68" t="s">
        <v>34</v>
      </c>
      <c r="G131" s="68" t="s">
        <v>61</v>
      </c>
      <c r="H131" s="68" t="s">
        <v>101</v>
      </c>
      <c r="I131" s="68" t="s">
        <v>684</v>
      </c>
      <c r="J131" s="68" t="s">
        <v>38</v>
      </c>
      <c r="K131" s="69" t="s">
        <v>856</v>
      </c>
      <c r="L131" s="69" t="s">
        <v>40</v>
      </c>
      <c r="M131" s="70">
        <v>29748</v>
      </c>
      <c r="N131" s="68">
        <v>942665754</v>
      </c>
      <c r="O131" s="68" t="s">
        <v>857</v>
      </c>
      <c r="P131" s="68" t="s">
        <v>858</v>
      </c>
      <c r="Q131" s="68" t="s">
        <v>703</v>
      </c>
      <c r="R131" s="68" t="s">
        <v>688</v>
      </c>
      <c r="S131" s="68" t="s">
        <v>688</v>
      </c>
      <c r="T131" s="68" t="s">
        <v>68</v>
      </c>
      <c r="U131" s="67" t="s">
        <v>859</v>
      </c>
      <c r="V131" s="67" t="s">
        <v>767</v>
      </c>
      <c r="W131" s="71">
        <v>840595</v>
      </c>
      <c r="X131" s="67" t="s">
        <v>48</v>
      </c>
      <c r="Y131" s="72" t="s">
        <v>706</v>
      </c>
      <c r="Z131" s="72">
        <v>350447</v>
      </c>
      <c r="AA131" s="68" t="s">
        <v>49</v>
      </c>
      <c r="AB131" s="73">
        <v>17</v>
      </c>
      <c r="AC131" s="73" t="s">
        <v>1771</v>
      </c>
      <c r="AD131" s="73">
        <v>15</v>
      </c>
      <c r="AE131" s="73" t="s">
        <v>1771</v>
      </c>
      <c r="AF131" s="73">
        <v>14</v>
      </c>
      <c r="AG131" s="20" t="s">
        <v>1771</v>
      </c>
      <c r="AH131" s="73">
        <v>12</v>
      </c>
      <c r="AI131" s="20" t="s">
        <v>1767</v>
      </c>
      <c r="AJ131" s="19" t="str">
        <f t="shared" si="29"/>
        <v>APROBADO</v>
      </c>
    </row>
    <row r="132" spans="1:36" ht="15" customHeight="1" x14ac:dyDescent="0.2">
      <c r="A132" s="9">
        <v>48</v>
      </c>
      <c r="B132" s="10">
        <v>156</v>
      </c>
      <c r="C132" s="10">
        <v>31</v>
      </c>
      <c r="D132" s="67" t="s">
        <v>860</v>
      </c>
      <c r="E132" s="68" t="s">
        <v>861</v>
      </c>
      <c r="F132" s="79" t="s">
        <v>60</v>
      </c>
      <c r="G132" s="79" t="s">
        <v>61</v>
      </c>
      <c r="H132" s="79" t="s">
        <v>101</v>
      </c>
      <c r="I132" s="79" t="s">
        <v>862</v>
      </c>
      <c r="J132" s="79" t="s">
        <v>38</v>
      </c>
      <c r="K132" s="76" t="s">
        <v>863</v>
      </c>
      <c r="L132" s="76" t="s">
        <v>40</v>
      </c>
      <c r="M132" s="80">
        <v>28664</v>
      </c>
      <c r="N132" s="79">
        <v>958033530</v>
      </c>
      <c r="O132" s="79" t="s">
        <v>864</v>
      </c>
      <c r="P132" s="79" t="s">
        <v>865</v>
      </c>
      <c r="Q132" s="79" t="s">
        <v>703</v>
      </c>
      <c r="R132" s="68" t="s">
        <v>688</v>
      </c>
      <c r="S132" s="68" t="s">
        <v>688</v>
      </c>
      <c r="T132" s="79" t="s">
        <v>866</v>
      </c>
      <c r="U132" s="81" t="s">
        <v>867</v>
      </c>
      <c r="V132" s="81" t="s">
        <v>716</v>
      </c>
      <c r="W132" s="71" t="s">
        <v>716</v>
      </c>
      <c r="X132" s="81" t="s">
        <v>48</v>
      </c>
      <c r="Y132" s="72" t="s">
        <v>716</v>
      </c>
      <c r="Z132" s="72" t="s">
        <v>716</v>
      </c>
      <c r="AA132" s="79" t="s">
        <v>49</v>
      </c>
      <c r="AB132" s="73">
        <v>11</v>
      </c>
      <c r="AC132" s="73" t="s">
        <v>1769</v>
      </c>
      <c r="AD132" s="73">
        <v>16</v>
      </c>
      <c r="AE132" s="73" t="s">
        <v>1771</v>
      </c>
      <c r="AF132" s="73">
        <v>11</v>
      </c>
      <c r="AG132" s="73" t="s">
        <v>1768</v>
      </c>
      <c r="AH132" s="73">
        <v>16</v>
      </c>
      <c r="AI132" s="20" t="s">
        <v>1767</v>
      </c>
      <c r="AJ132" s="19" t="str">
        <f t="shared" si="29"/>
        <v>APROBADO</v>
      </c>
    </row>
    <row r="133" spans="1:36" ht="15" customHeight="1" x14ac:dyDescent="0.2">
      <c r="A133" s="9">
        <v>48</v>
      </c>
      <c r="B133" s="10">
        <v>132</v>
      </c>
      <c r="C133" s="10">
        <v>32</v>
      </c>
      <c r="D133" s="74" t="s">
        <v>868</v>
      </c>
      <c r="E133" s="74" t="s">
        <v>869</v>
      </c>
      <c r="F133" s="74" t="s">
        <v>34</v>
      </c>
      <c r="G133" s="74" t="s">
        <v>35</v>
      </c>
      <c r="H133" s="74" t="s">
        <v>101</v>
      </c>
      <c r="I133" s="74" t="s">
        <v>684</v>
      </c>
      <c r="J133" s="74" t="s">
        <v>38</v>
      </c>
      <c r="K133" s="75" t="s">
        <v>870</v>
      </c>
      <c r="L133" s="76" t="s">
        <v>40</v>
      </c>
      <c r="M133" s="70">
        <v>24290</v>
      </c>
      <c r="N133" s="68">
        <v>931074912</v>
      </c>
      <c r="O133" s="68" t="s">
        <v>871</v>
      </c>
      <c r="P133" s="68" t="s">
        <v>872</v>
      </c>
      <c r="Q133" s="68" t="s">
        <v>695</v>
      </c>
      <c r="R133" s="68" t="s">
        <v>688</v>
      </c>
      <c r="S133" s="68" t="s">
        <v>688</v>
      </c>
      <c r="T133" s="68" t="s">
        <v>68</v>
      </c>
      <c r="U133" s="67" t="s">
        <v>873</v>
      </c>
      <c r="V133" s="67" t="s">
        <v>706</v>
      </c>
      <c r="W133" s="71">
        <v>350447</v>
      </c>
      <c r="X133" s="67" t="s">
        <v>48</v>
      </c>
      <c r="Y133" s="72" t="s">
        <v>706</v>
      </c>
      <c r="Z133" s="72">
        <v>350447</v>
      </c>
      <c r="AA133" s="68" t="s">
        <v>49</v>
      </c>
      <c r="AB133" s="73">
        <v>17</v>
      </c>
      <c r="AC133" s="73" t="s">
        <v>1771</v>
      </c>
      <c r="AD133" s="73">
        <v>15</v>
      </c>
      <c r="AE133" s="73" t="s">
        <v>1771</v>
      </c>
      <c r="AF133" s="73">
        <v>11</v>
      </c>
      <c r="AG133" s="73" t="s">
        <v>1768</v>
      </c>
      <c r="AH133" s="73">
        <v>14</v>
      </c>
      <c r="AI133" s="20" t="s">
        <v>1767</v>
      </c>
      <c r="AJ133" s="19" t="str">
        <f t="shared" si="29"/>
        <v>APROBADO</v>
      </c>
    </row>
    <row r="134" spans="1:36" ht="15" customHeight="1" x14ac:dyDescent="0.2">
      <c r="A134" s="9">
        <v>48</v>
      </c>
      <c r="B134" s="10">
        <v>118</v>
      </c>
      <c r="C134" s="10">
        <v>33</v>
      </c>
      <c r="D134" s="74" t="s">
        <v>874</v>
      </c>
      <c r="E134" s="74" t="s">
        <v>875</v>
      </c>
      <c r="F134" s="74" t="s">
        <v>242</v>
      </c>
      <c r="G134" s="74" t="s">
        <v>61</v>
      </c>
      <c r="H134" s="74" t="s">
        <v>101</v>
      </c>
      <c r="I134" s="74" t="s">
        <v>684</v>
      </c>
      <c r="J134" s="74" t="s">
        <v>38</v>
      </c>
      <c r="K134" s="82">
        <v>42549732</v>
      </c>
      <c r="L134" s="69" t="s">
        <v>40</v>
      </c>
      <c r="M134" s="70">
        <v>29344</v>
      </c>
      <c r="N134" s="68">
        <v>945417954</v>
      </c>
      <c r="O134" s="68" t="s">
        <v>876</v>
      </c>
      <c r="P134" s="68" t="s">
        <v>877</v>
      </c>
      <c r="Q134" s="68" t="s">
        <v>695</v>
      </c>
      <c r="R134" s="68" t="s">
        <v>688</v>
      </c>
      <c r="S134" s="68" t="s">
        <v>704</v>
      </c>
      <c r="T134" s="68" t="s">
        <v>68</v>
      </c>
      <c r="U134" s="67" t="s">
        <v>68</v>
      </c>
      <c r="V134" s="67" t="s">
        <v>739</v>
      </c>
      <c r="W134" s="71">
        <v>561084</v>
      </c>
      <c r="X134" s="67" t="s">
        <v>48</v>
      </c>
      <c r="Y134" s="72">
        <v>15304</v>
      </c>
      <c r="Z134" s="72">
        <v>355271</v>
      </c>
      <c r="AA134" s="68" t="s">
        <v>49</v>
      </c>
      <c r="AB134" s="73">
        <v>17</v>
      </c>
      <c r="AC134" s="73" t="s">
        <v>1771</v>
      </c>
      <c r="AD134" s="73">
        <v>16</v>
      </c>
      <c r="AE134" s="73" t="s">
        <v>1771</v>
      </c>
      <c r="AF134" s="73">
        <v>11</v>
      </c>
      <c r="AG134" s="73" t="s">
        <v>1768</v>
      </c>
      <c r="AH134" s="73">
        <v>14</v>
      </c>
      <c r="AI134" s="20" t="s">
        <v>1767</v>
      </c>
      <c r="AJ134" s="19" t="str">
        <f t="shared" ref="AJ134:AJ141" si="30">IF(AND(AB134&gt;=11,AD134&gt;=11,AF134&gt;=11,AH134&gt;=11),"APROBADO","DESAPROBADO")</f>
        <v>APROBADO</v>
      </c>
    </row>
    <row r="135" spans="1:36" ht="15" customHeight="1" x14ac:dyDescent="0.2">
      <c r="A135" s="9">
        <v>48</v>
      </c>
      <c r="B135" s="10">
        <v>115</v>
      </c>
      <c r="C135" s="10">
        <v>34</v>
      </c>
      <c r="D135" s="74" t="s">
        <v>878</v>
      </c>
      <c r="E135" s="74" t="s">
        <v>879</v>
      </c>
      <c r="F135" s="74" t="s">
        <v>242</v>
      </c>
      <c r="G135" s="74" t="s">
        <v>61</v>
      </c>
      <c r="H135" s="74" t="s">
        <v>101</v>
      </c>
      <c r="I135" s="74" t="s">
        <v>684</v>
      </c>
      <c r="J135" s="74" t="s">
        <v>38</v>
      </c>
      <c r="K135" s="75" t="s">
        <v>880</v>
      </c>
      <c r="L135" s="76" t="s">
        <v>40</v>
      </c>
      <c r="M135" s="70">
        <v>27730</v>
      </c>
      <c r="N135" s="68">
        <v>979749156</v>
      </c>
      <c r="O135" s="68" t="s">
        <v>881</v>
      </c>
      <c r="P135" s="68" t="s">
        <v>882</v>
      </c>
      <c r="Q135" s="68" t="s">
        <v>695</v>
      </c>
      <c r="R135" s="68" t="s">
        <v>688</v>
      </c>
      <c r="S135" s="68" t="s">
        <v>704</v>
      </c>
      <c r="T135" s="68" t="s">
        <v>883</v>
      </c>
      <c r="U135" s="67" t="s">
        <v>77</v>
      </c>
      <c r="V135" s="67" t="s">
        <v>739</v>
      </c>
      <c r="W135" s="71">
        <v>561084</v>
      </c>
      <c r="X135" s="67" t="s">
        <v>85</v>
      </c>
      <c r="Y135" s="72" t="str">
        <f>IF(X135="NO","NO APLICA","ESCRIBA EL NOMBRE DEL IIEE")</f>
        <v>NO APLICA</v>
      </c>
      <c r="Z135" s="72" t="str">
        <f>IF(Y135="NO APLICA","NO APLICA","ESCRIBA EL CÓDIGO MODULAR")</f>
        <v>NO APLICA</v>
      </c>
      <c r="AA135" s="68" t="s">
        <v>49</v>
      </c>
      <c r="AB135" s="73">
        <v>17</v>
      </c>
      <c r="AC135" s="73" t="s">
        <v>1771</v>
      </c>
      <c r="AD135" s="73">
        <v>15</v>
      </c>
      <c r="AE135" s="73" t="s">
        <v>1771</v>
      </c>
      <c r="AF135" s="73">
        <v>12</v>
      </c>
      <c r="AG135" s="20" t="s">
        <v>1771</v>
      </c>
      <c r="AH135" s="73">
        <v>13</v>
      </c>
      <c r="AI135" s="20" t="s">
        <v>1767</v>
      </c>
      <c r="AJ135" s="19" t="str">
        <f t="shared" si="30"/>
        <v>APROBADO</v>
      </c>
    </row>
    <row r="136" spans="1:36" ht="15" customHeight="1" x14ac:dyDescent="0.2">
      <c r="A136" s="9">
        <v>48</v>
      </c>
      <c r="B136" s="10">
        <v>123</v>
      </c>
      <c r="C136" s="10">
        <v>35</v>
      </c>
      <c r="D136" s="74" t="s">
        <v>71</v>
      </c>
      <c r="E136" s="74" t="s">
        <v>884</v>
      </c>
      <c r="F136" s="74" t="s">
        <v>155</v>
      </c>
      <c r="G136" s="74" t="s">
        <v>35</v>
      </c>
      <c r="H136" s="74" t="s">
        <v>73</v>
      </c>
      <c r="I136" s="74" t="s">
        <v>684</v>
      </c>
      <c r="J136" s="74" t="s">
        <v>38</v>
      </c>
      <c r="K136" s="82" t="s">
        <v>885</v>
      </c>
      <c r="L136" s="69" t="s">
        <v>40</v>
      </c>
      <c r="M136" s="70">
        <v>28476</v>
      </c>
      <c r="N136" s="68">
        <v>933866909</v>
      </c>
      <c r="O136" s="68" t="s">
        <v>886</v>
      </c>
      <c r="P136" s="68" t="s">
        <v>887</v>
      </c>
      <c r="Q136" s="68" t="s">
        <v>695</v>
      </c>
      <c r="R136" s="68" t="s">
        <v>688</v>
      </c>
      <c r="S136" s="68" t="s">
        <v>704</v>
      </c>
      <c r="T136" s="68" t="s">
        <v>883</v>
      </c>
      <c r="U136" s="67" t="s">
        <v>45</v>
      </c>
      <c r="V136" s="67">
        <v>20123</v>
      </c>
      <c r="W136" s="71">
        <v>840504</v>
      </c>
      <c r="X136" s="67" t="s">
        <v>48</v>
      </c>
      <c r="Y136" s="72" t="s">
        <v>739</v>
      </c>
      <c r="Z136" s="72">
        <v>561084</v>
      </c>
      <c r="AA136" s="68" t="s">
        <v>49</v>
      </c>
      <c r="AB136" s="73">
        <v>16</v>
      </c>
      <c r="AC136" s="73" t="s">
        <v>1771</v>
      </c>
      <c r="AD136" s="73">
        <v>15</v>
      </c>
      <c r="AE136" s="73" t="s">
        <v>1771</v>
      </c>
      <c r="AF136" s="73">
        <v>13</v>
      </c>
      <c r="AG136" s="20" t="s">
        <v>1771</v>
      </c>
      <c r="AH136" s="73">
        <v>13</v>
      </c>
      <c r="AI136" s="20" t="s">
        <v>1767</v>
      </c>
      <c r="AJ136" s="19" t="str">
        <f t="shared" si="30"/>
        <v>APROBADO</v>
      </c>
    </row>
    <row r="137" spans="1:36" ht="15" customHeight="1" x14ac:dyDescent="0.2">
      <c r="A137" s="9">
        <v>48</v>
      </c>
      <c r="B137" s="10">
        <v>121</v>
      </c>
      <c r="C137" s="10">
        <v>36</v>
      </c>
      <c r="D137" s="74" t="s">
        <v>888</v>
      </c>
      <c r="E137" s="74" t="s">
        <v>889</v>
      </c>
      <c r="F137" s="74" t="s">
        <v>155</v>
      </c>
      <c r="G137" s="74" t="s">
        <v>35</v>
      </c>
      <c r="H137" s="74" t="s">
        <v>890</v>
      </c>
      <c r="I137" s="74" t="s">
        <v>684</v>
      </c>
      <c r="J137" s="74" t="s">
        <v>38</v>
      </c>
      <c r="K137" s="75" t="s">
        <v>891</v>
      </c>
      <c r="L137" s="76" t="s">
        <v>40</v>
      </c>
      <c r="M137" s="70">
        <v>24203</v>
      </c>
      <c r="N137" s="68">
        <v>948667951</v>
      </c>
      <c r="O137" s="68" t="s">
        <v>892</v>
      </c>
      <c r="P137" s="68" t="s">
        <v>893</v>
      </c>
      <c r="Q137" s="68" t="s">
        <v>695</v>
      </c>
      <c r="R137" s="68" t="s">
        <v>688</v>
      </c>
      <c r="S137" s="68" t="s">
        <v>704</v>
      </c>
      <c r="T137" s="68" t="s">
        <v>883</v>
      </c>
      <c r="U137" s="67" t="s">
        <v>68</v>
      </c>
      <c r="V137" s="67">
        <v>15304</v>
      </c>
      <c r="W137" s="71">
        <v>355271</v>
      </c>
      <c r="X137" s="67" t="s">
        <v>48</v>
      </c>
      <c r="Y137" s="72">
        <v>15304</v>
      </c>
      <c r="Z137" s="72">
        <v>355271</v>
      </c>
      <c r="AA137" s="68" t="s">
        <v>49</v>
      </c>
      <c r="AB137" s="73">
        <v>15</v>
      </c>
      <c r="AC137" s="73" t="s">
        <v>1771</v>
      </c>
      <c r="AD137" s="73">
        <v>15</v>
      </c>
      <c r="AE137" s="73" t="s">
        <v>1771</v>
      </c>
      <c r="AF137" s="73">
        <v>14</v>
      </c>
      <c r="AG137" s="20" t="s">
        <v>1771</v>
      </c>
      <c r="AH137" s="73">
        <v>12</v>
      </c>
      <c r="AI137" s="20" t="s">
        <v>1767</v>
      </c>
      <c r="AJ137" s="19" t="str">
        <f t="shared" si="30"/>
        <v>APROBADO</v>
      </c>
    </row>
    <row r="138" spans="1:36" ht="15" customHeight="1" x14ac:dyDescent="0.2">
      <c r="A138" s="9">
        <v>48</v>
      </c>
      <c r="B138" s="10">
        <v>146</v>
      </c>
      <c r="C138" s="10">
        <v>37</v>
      </c>
      <c r="D138" s="67" t="s">
        <v>894</v>
      </c>
      <c r="E138" s="68" t="s">
        <v>895</v>
      </c>
      <c r="F138" s="68" t="s">
        <v>60</v>
      </c>
      <c r="G138" s="68" t="s">
        <v>61</v>
      </c>
      <c r="H138" s="68" t="s">
        <v>62</v>
      </c>
      <c r="I138" s="68" t="s">
        <v>684</v>
      </c>
      <c r="J138" s="68" t="s">
        <v>38</v>
      </c>
      <c r="K138" s="76" t="s">
        <v>896</v>
      </c>
      <c r="L138" s="76" t="s">
        <v>40</v>
      </c>
      <c r="M138" s="70">
        <v>25586</v>
      </c>
      <c r="N138" s="68" t="s">
        <v>897</v>
      </c>
      <c r="O138" s="68" t="s">
        <v>898</v>
      </c>
      <c r="P138" s="68" t="s">
        <v>899</v>
      </c>
      <c r="Q138" s="68" t="s">
        <v>703</v>
      </c>
      <c r="R138" s="68" t="s">
        <v>688</v>
      </c>
      <c r="S138" s="68" t="s">
        <v>688</v>
      </c>
      <c r="T138" s="68" t="s">
        <v>689</v>
      </c>
      <c r="U138" s="67" t="s">
        <v>55</v>
      </c>
      <c r="V138" s="67" t="s">
        <v>732</v>
      </c>
      <c r="W138" s="71">
        <v>2603185</v>
      </c>
      <c r="X138" s="67" t="s">
        <v>48</v>
      </c>
      <c r="Y138" s="72" t="s">
        <v>697</v>
      </c>
      <c r="Z138" s="72">
        <v>350496</v>
      </c>
      <c r="AA138" s="68" t="s">
        <v>49</v>
      </c>
      <c r="AB138" s="73">
        <v>11</v>
      </c>
      <c r="AC138" s="73" t="s">
        <v>1769</v>
      </c>
      <c r="AD138" s="73">
        <v>9</v>
      </c>
      <c r="AE138" s="73" t="s">
        <v>1769</v>
      </c>
      <c r="AF138" s="73">
        <v>10</v>
      </c>
      <c r="AG138" s="73" t="s">
        <v>1768</v>
      </c>
      <c r="AH138" s="73">
        <v>12</v>
      </c>
      <c r="AI138" s="20" t="s">
        <v>1767</v>
      </c>
      <c r="AJ138" s="19" t="str">
        <f t="shared" si="30"/>
        <v>DESAPROBADO</v>
      </c>
    </row>
    <row r="139" spans="1:36" ht="15" customHeight="1" x14ac:dyDescent="0.2">
      <c r="A139" s="9">
        <v>48</v>
      </c>
      <c r="B139" s="10">
        <v>117</v>
      </c>
      <c r="C139" s="10">
        <v>38</v>
      </c>
      <c r="D139" s="74" t="s">
        <v>900</v>
      </c>
      <c r="E139" s="74" t="s">
        <v>901</v>
      </c>
      <c r="F139" s="74" t="s">
        <v>155</v>
      </c>
      <c r="G139" s="74" t="s">
        <v>35</v>
      </c>
      <c r="H139" s="74" t="s">
        <v>73</v>
      </c>
      <c r="I139" s="74" t="s">
        <v>684</v>
      </c>
      <c r="J139" s="74" t="s">
        <v>38</v>
      </c>
      <c r="K139" s="82" t="s">
        <v>902</v>
      </c>
      <c r="L139" s="69" t="s">
        <v>40</v>
      </c>
      <c r="M139" s="70">
        <v>28670</v>
      </c>
      <c r="N139" s="68">
        <v>968864237</v>
      </c>
      <c r="O139" s="68" t="s">
        <v>903</v>
      </c>
      <c r="P139" s="68" t="s">
        <v>904</v>
      </c>
      <c r="Q139" s="68" t="s">
        <v>695</v>
      </c>
      <c r="R139" s="68" t="s">
        <v>704</v>
      </c>
      <c r="S139" s="68" t="s">
        <v>704</v>
      </c>
      <c r="T139" s="68" t="s">
        <v>68</v>
      </c>
      <c r="U139" s="67" t="s">
        <v>905</v>
      </c>
      <c r="V139" s="67" t="s">
        <v>739</v>
      </c>
      <c r="W139" s="71">
        <v>561084</v>
      </c>
      <c r="X139" s="67" t="s">
        <v>85</v>
      </c>
      <c r="Y139" s="72" t="str">
        <f>IF(X139="NO","NO APLICA","ESCRIBA EL NOMBRE DEL IIEE")</f>
        <v>NO APLICA</v>
      </c>
      <c r="Z139" s="72" t="str">
        <f>IF(Y139="NO APLICA","NO APLICA","ESCRIBA EL CÓDIGO MODULAR")</f>
        <v>NO APLICA</v>
      </c>
      <c r="AA139" s="68" t="s">
        <v>49</v>
      </c>
      <c r="AB139" s="73">
        <v>11</v>
      </c>
      <c r="AC139" s="73" t="s">
        <v>1769</v>
      </c>
      <c r="AD139" s="73">
        <v>15</v>
      </c>
      <c r="AE139" s="73" t="s">
        <v>1771</v>
      </c>
      <c r="AF139" s="73">
        <v>15</v>
      </c>
      <c r="AG139" s="20" t="s">
        <v>1771</v>
      </c>
      <c r="AH139" s="73">
        <v>12</v>
      </c>
      <c r="AI139" s="20" t="s">
        <v>1767</v>
      </c>
      <c r="AJ139" s="19" t="str">
        <f t="shared" si="30"/>
        <v>APROBADO</v>
      </c>
    </row>
    <row r="140" spans="1:36" ht="15" customHeight="1" x14ac:dyDescent="0.2">
      <c r="A140" s="9">
        <v>48</v>
      </c>
      <c r="B140" s="10">
        <v>125</v>
      </c>
      <c r="C140" s="10">
        <v>39</v>
      </c>
      <c r="D140" s="74" t="s">
        <v>906</v>
      </c>
      <c r="E140" s="74" t="s">
        <v>907</v>
      </c>
      <c r="F140" s="74" t="s">
        <v>60</v>
      </c>
      <c r="G140" s="74" t="s">
        <v>61</v>
      </c>
      <c r="H140" s="74" t="s">
        <v>193</v>
      </c>
      <c r="I140" s="74" t="s">
        <v>684</v>
      </c>
      <c r="J140" s="74" t="s">
        <v>38</v>
      </c>
      <c r="K140" s="82" t="s">
        <v>908</v>
      </c>
      <c r="L140" s="69" t="s">
        <v>40</v>
      </c>
      <c r="M140" s="70">
        <v>28978</v>
      </c>
      <c r="N140" s="68">
        <v>969941854</v>
      </c>
      <c r="O140" s="68" t="s">
        <v>909</v>
      </c>
      <c r="P140" s="68" t="s">
        <v>910</v>
      </c>
      <c r="Q140" s="68" t="s">
        <v>703</v>
      </c>
      <c r="R140" s="68" t="s">
        <v>688</v>
      </c>
      <c r="S140" s="68" t="s">
        <v>688</v>
      </c>
      <c r="T140" s="68" t="s">
        <v>68</v>
      </c>
      <c r="U140" s="67" t="s">
        <v>911</v>
      </c>
      <c r="V140" s="67">
        <v>14975</v>
      </c>
      <c r="W140" s="71">
        <v>613943</v>
      </c>
      <c r="X140" s="67" t="s">
        <v>48</v>
      </c>
      <c r="Y140" s="72" t="s">
        <v>697</v>
      </c>
      <c r="Z140" s="72">
        <v>350496</v>
      </c>
      <c r="AA140" s="68" t="s">
        <v>49</v>
      </c>
      <c r="AB140" s="73">
        <v>16</v>
      </c>
      <c r="AC140" s="73" t="s">
        <v>1771</v>
      </c>
      <c r="AD140" s="73">
        <v>16</v>
      </c>
      <c r="AE140" s="73" t="s">
        <v>1771</v>
      </c>
      <c r="AF140" s="73">
        <v>14</v>
      </c>
      <c r="AG140" s="20" t="s">
        <v>1771</v>
      </c>
      <c r="AH140" s="73">
        <v>14</v>
      </c>
      <c r="AI140" s="20" t="s">
        <v>1767</v>
      </c>
      <c r="AJ140" s="19" t="str">
        <f t="shared" si="30"/>
        <v>APROBADO</v>
      </c>
    </row>
    <row r="141" spans="1:36" ht="15" customHeight="1" x14ac:dyDescent="0.2">
      <c r="A141" s="9">
        <v>48</v>
      </c>
      <c r="B141" s="10">
        <v>111</v>
      </c>
      <c r="C141" s="10">
        <v>40</v>
      </c>
      <c r="D141" s="83" t="s">
        <v>912</v>
      </c>
      <c r="E141" s="83" t="s">
        <v>913</v>
      </c>
      <c r="F141" s="83" t="s">
        <v>60</v>
      </c>
      <c r="G141" s="74" t="s">
        <v>61</v>
      </c>
      <c r="H141" s="83" t="s">
        <v>62</v>
      </c>
      <c r="I141" s="83" t="s">
        <v>684</v>
      </c>
      <c r="J141" s="83" t="s">
        <v>38</v>
      </c>
      <c r="K141" s="90">
        <v>40379022</v>
      </c>
      <c r="L141" s="91" t="s">
        <v>40</v>
      </c>
      <c r="M141" s="86">
        <v>29576</v>
      </c>
      <c r="N141" s="87">
        <v>954683330</v>
      </c>
      <c r="O141" s="87" t="s">
        <v>914</v>
      </c>
      <c r="P141" s="87" t="s">
        <v>915</v>
      </c>
      <c r="Q141" s="87" t="s">
        <v>695</v>
      </c>
      <c r="R141" s="87" t="s">
        <v>704</v>
      </c>
      <c r="S141" s="87" t="s">
        <v>704</v>
      </c>
      <c r="T141" s="68" t="s">
        <v>883</v>
      </c>
      <c r="U141" s="67" t="s">
        <v>916</v>
      </c>
      <c r="V141" s="67" t="s">
        <v>706</v>
      </c>
      <c r="W141" s="71">
        <v>350447</v>
      </c>
      <c r="X141" s="67" t="s">
        <v>48</v>
      </c>
      <c r="Y141" s="72" t="s">
        <v>706</v>
      </c>
      <c r="Z141" s="72">
        <v>350447</v>
      </c>
      <c r="AA141" s="68" t="s">
        <v>49</v>
      </c>
      <c r="AB141" s="73">
        <v>18</v>
      </c>
      <c r="AC141" s="73" t="s">
        <v>1771</v>
      </c>
      <c r="AD141" s="73">
        <v>16</v>
      </c>
      <c r="AE141" s="73" t="s">
        <v>1771</v>
      </c>
      <c r="AF141" s="73">
        <v>16</v>
      </c>
      <c r="AG141" s="20" t="s">
        <v>1771</v>
      </c>
      <c r="AH141" s="73">
        <v>15</v>
      </c>
      <c r="AI141" s="20" t="s">
        <v>1767</v>
      </c>
      <c r="AJ141" s="19" t="str">
        <f t="shared" si="30"/>
        <v>APROBADO</v>
      </c>
    </row>
    <row r="142" spans="1:36" ht="15" customHeight="1" x14ac:dyDescent="0.2">
      <c r="A142" s="9">
        <v>48</v>
      </c>
      <c r="B142" s="10">
        <v>112</v>
      </c>
      <c r="C142" s="10">
        <v>41</v>
      </c>
      <c r="D142" s="74" t="s">
        <v>917</v>
      </c>
      <c r="E142" s="74" t="s">
        <v>918</v>
      </c>
      <c r="F142" s="74" t="s">
        <v>155</v>
      </c>
      <c r="G142" s="74" t="s">
        <v>35</v>
      </c>
      <c r="H142" s="83" t="s">
        <v>36</v>
      </c>
      <c r="I142" s="74" t="s">
        <v>684</v>
      </c>
      <c r="J142" s="74" t="s">
        <v>38</v>
      </c>
      <c r="K142" s="82" t="s">
        <v>919</v>
      </c>
      <c r="L142" s="69" t="s">
        <v>40</v>
      </c>
      <c r="M142" s="70">
        <v>28926</v>
      </c>
      <c r="N142" s="68">
        <v>951963267</v>
      </c>
      <c r="O142" s="68" t="s">
        <v>920</v>
      </c>
      <c r="P142" s="68" t="s">
        <v>921</v>
      </c>
      <c r="Q142" s="68" t="s">
        <v>695</v>
      </c>
      <c r="R142" s="68" t="s">
        <v>704</v>
      </c>
      <c r="S142" s="68" t="s">
        <v>704</v>
      </c>
      <c r="T142" s="68" t="s">
        <v>68</v>
      </c>
      <c r="U142" s="67" t="s">
        <v>45</v>
      </c>
      <c r="V142" s="67">
        <v>14975</v>
      </c>
      <c r="W142" s="71">
        <v>613943</v>
      </c>
      <c r="X142" s="67" t="s">
        <v>48</v>
      </c>
      <c r="Y142" s="72">
        <v>14975</v>
      </c>
      <c r="Z142" s="72">
        <v>613943</v>
      </c>
      <c r="AA142" s="68" t="s">
        <v>49</v>
      </c>
      <c r="AB142" s="73">
        <v>17</v>
      </c>
      <c r="AC142" s="73" t="s">
        <v>1771</v>
      </c>
      <c r="AD142" s="73">
        <v>15</v>
      </c>
      <c r="AE142" s="73" t="s">
        <v>1771</v>
      </c>
      <c r="AF142" s="73">
        <v>13</v>
      </c>
      <c r="AG142" s="20" t="s">
        <v>1771</v>
      </c>
      <c r="AH142" s="73">
        <v>12</v>
      </c>
      <c r="AI142" s="20" t="s">
        <v>1767</v>
      </c>
      <c r="AJ142" s="19" t="str">
        <f t="shared" ref="AJ142:AJ149" si="31">IF(AND(AB142&gt;=11,AD142&gt;=11,AF142&gt;=11,AH142&gt;=11),"APROBADO","DESAPROBADO")</f>
        <v>APROBADO</v>
      </c>
    </row>
    <row r="143" spans="1:36" ht="15" customHeight="1" x14ac:dyDescent="0.2">
      <c r="A143" s="9">
        <v>48</v>
      </c>
      <c r="B143" s="10">
        <v>141</v>
      </c>
      <c r="C143" s="10">
        <v>42</v>
      </c>
      <c r="D143" s="68" t="s">
        <v>922</v>
      </c>
      <c r="E143" s="68" t="s">
        <v>923</v>
      </c>
      <c r="F143" s="68" t="s">
        <v>60</v>
      </c>
      <c r="G143" s="68" t="s">
        <v>61</v>
      </c>
      <c r="H143" s="68" t="s">
        <v>62</v>
      </c>
      <c r="I143" s="68" t="s">
        <v>684</v>
      </c>
      <c r="J143" s="68" t="s">
        <v>38</v>
      </c>
      <c r="K143" s="76" t="s">
        <v>924</v>
      </c>
      <c r="L143" s="76" t="s">
        <v>40</v>
      </c>
      <c r="M143" s="70">
        <v>26903</v>
      </c>
      <c r="N143" s="68">
        <v>944407431</v>
      </c>
      <c r="O143" s="68" t="s">
        <v>925</v>
      </c>
      <c r="P143" s="68" t="s">
        <v>926</v>
      </c>
      <c r="Q143" s="68" t="s">
        <v>687</v>
      </c>
      <c r="R143" s="68" t="s">
        <v>688</v>
      </c>
      <c r="S143" s="68" t="s">
        <v>688</v>
      </c>
      <c r="T143" s="68" t="s">
        <v>715</v>
      </c>
      <c r="U143" s="67" t="s">
        <v>55</v>
      </c>
      <c r="V143" s="67" t="s">
        <v>732</v>
      </c>
      <c r="W143" s="71">
        <v>2603185</v>
      </c>
      <c r="X143" s="67" t="s">
        <v>48</v>
      </c>
      <c r="Y143" s="72">
        <v>14045</v>
      </c>
      <c r="Z143" s="72">
        <v>674995</v>
      </c>
      <c r="AA143" s="68" t="s">
        <v>49</v>
      </c>
      <c r="AB143" s="73">
        <v>16</v>
      </c>
      <c r="AC143" s="73" t="s">
        <v>1771</v>
      </c>
      <c r="AD143" s="73">
        <v>16</v>
      </c>
      <c r="AE143" s="73" t="s">
        <v>1771</v>
      </c>
      <c r="AF143" s="73">
        <v>13</v>
      </c>
      <c r="AG143" s="20" t="s">
        <v>1771</v>
      </c>
      <c r="AH143" s="73">
        <v>14</v>
      </c>
      <c r="AI143" s="20" t="s">
        <v>1767</v>
      </c>
      <c r="AJ143" s="19" t="str">
        <f t="shared" si="31"/>
        <v>APROBADO</v>
      </c>
    </row>
    <row r="144" spans="1:36" ht="15" customHeight="1" x14ac:dyDescent="0.2">
      <c r="A144" s="9">
        <v>48</v>
      </c>
      <c r="B144" s="10">
        <v>124</v>
      </c>
      <c r="C144" s="10">
        <v>43</v>
      </c>
      <c r="D144" s="74" t="s">
        <v>927</v>
      </c>
      <c r="E144" s="74" t="s">
        <v>928</v>
      </c>
      <c r="F144" s="74" t="s">
        <v>34</v>
      </c>
      <c r="G144" s="74" t="s">
        <v>35</v>
      </c>
      <c r="H144" s="74" t="s">
        <v>73</v>
      </c>
      <c r="I144" s="74" t="s">
        <v>684</v>
      </c>
      <c r="J144" s="74" t="s">
        <v>38</v>
      </c>
      <c r="K144" s="82">
        <v>41600353</v>
      </c>
      <c r="L144" s="69" t="s">
        <v>40</v>
      </c>
      <c r="M144" s="70">
        <v>30211</v>
      </c>
      <c r="N144" s="68">
        <v>959178564</v>
      </c>
      <c r="O144" s="68" t="s">
        <v>929</v>
      </c>
      <c r="P144" s="68" t="s">
        <v>930</v>
      </c>
      <c r="Q144" s="68" t="s">
        <v>695</v>
      </c>
      <c r="R144" s="68" t="s">
        <v>704</v>
      </c>
      <c r="S144" s="68" t="s">
        <v>688</v>
      </c>
      <c r="T144" s="68" t="s">
        <v>68</v>
      </c>
      <c r="U144" s="67" t="s">
        <v>45</v>
      </c>
      <c r="V144" s="67" t="s">
        <v>706</v>
      </c>
      <c r="W144" s="71">
        <v>350447</v>
      </c>
      <c r="X144" s="67" t="s">
        <v>48</v>
      </c>
      <c r="Y144" s="72" t="s">
        <v>739</v>
      </c>
      <c r="Z144" s="72">
        <v>561084</v>
      </c>
      <c r="AA144" s="68" t="s">
        <v>49</v>
      </c>
      <c r="AB144" s="73">
        <v>16</v>
      </c>
      <c r="AC144" s="73" t="s">
        <v>1771</v>
      </c>
      <c r="AD144" s="73">
        <v>16</v>
      </c>
      <c r="AE144" s="73" t="s">
        <v>1771</v>
      </c>
      <c r="AF144" s="73">
        <v>16</v>
      </c>
      <c r="AG144" s="20" t="s">
        <v>1771</v>
      </c>
      <c r="AH144" s="73">
        <v>11</v>
      </c>
      <c r="AI144" s="73" t="s">
        <v>1768</v>
      </c>
      <c r="AJ144" s="19" t="str">
        <f t="shared" si="31"/>
        <v>APROBADO</v>
      </c>
    </row>
    <row r="145" spans="1:36" ht="15" customHeight="1" x14ac:dyDescent="0.2">
      <c r="A145" s="9">
        <v>48</v>
      </c>
      <c r="B145" s="10">
        <v>104</v>
      </c>
      <c r="C145" s="10">
        <v>44</v>
      </c>
      <c r="D145" s="68" t="s">
        <v>931</v>
      </c>
      <c r="E145" s="68" t="s">
        <v>932</v>
      </c>
      <c r="F145" s="68" t="s">
        <v>155</v>
      </c>
      <c r="G145" s="68" t="s">
        <v>35</v>
      </c>
      <c r="H145" s="68" t="s">
        <v>73</v>
      </c>
      <c r="I145" s="68" t="s">
        <v>684</v>
      </c>
      <c r="J145" s="68" t="s">
        <v>38</v>
      </c>
      <c r="K145" s="76" t="s">
        <v>933</v>
      </c>
      <c r="L145" s="76" t="s">
        <v>40</v>
      </c>
      <c r="M145" s="70">
        <v>25491</v>
      </c>
      <c r="N145" s="68">
        <v>985495559</v>
      </c>
      <c r="O145" s="68" t="s">
        <v>934</v>
      </c>
      <c r="P145" s="68" t="s">
        <v>935</v>
      </c>
      <c r="Q145" s="68" t="s">
        <v>695</v>
      </c>
      <c r="R145" s="68" t="s">
        <v>704</v>
      </c>
      <c r="S145" s="68" t="s">
        <v>704</v>
      </c>
      <c r="T145" s="68" t="s">
        <v>68</v>
      </c>
      <c r="U145" s="67" t="s">
        <v>45</v>
      </c>
      <c r="V145" s="67" t="s">
        <v>697</v>
      </c>
      <c r="W145" s="71">
        <v>350496</v>
      </c>
      <c r="X145" s="67" t="s">
        <v>48</v>
      </c>
      <c r="Y145" s="72" t="s">
        <v>697</v>
      </c>
      <c r="Z145" s="72">
        <v>350496</v>
      </c>
      <c r="AA145" s="68" t="s">
        <v>49</v>
      </c>
      <c r="AB145" s="73">
        <v>17</v>
      </c>
      <c r="AC145" s="73" t="s">
        <v>1771</v>
      </c>
      <c r="AD145" s="73">
        <v>16</v>
      </c>
      <c r="AE145" s="73" t="s">
        <v>1771</v>
      </c>
      <c r="AF145" s="73">
        <v>16</v>
      </c>
      <c r="AG145" s="20" t="s">
        <v>1771</v>
      </c>
      <c r="AH145" s="73">
        <v>14</v>
      </c>
      <c r="AI145" s="20" t="s">
        <v>1767</v>
      </c>
      <c r="AJ145" s="19" t="str">
        <f t="shared" si="31"/>
        <v>APROBADO</v>
      </c>
    </row>
    <row r="146" spans="1:36" ht="15" customHeight="1" x14ac:dyDescent="0.2">
      <c r="A146" s="9">
        <v>48</v>
      </c>
      <c r="B146" s="10">
        <v>119</v>
      </c>
      <c r="C146" s="10">
        <v>45</v>
      </c>
      <c r="D146" s="74" t="s">
        <v>936</v>
      </c>
      <c r="E146" s="74" t="s">
        <v>937</v>
      </c>
      <c r="F146" s="74" t="s">
        <v>155</v>
      </c>
      <c r="G146" s="74" t="s">
        <v>35</v>
      </c>
      <c r="H146" s="74" t="s">
        <v>73</v>
      </c>
      <c r="I146" s="74" t="s">
        <v>684</v>
      </c>
      <c r="J146" s="74" t="s">
        <v>38</v>
      </c>
      <c r="K146" s="82" t="s">
        <v>938</v>
      </c>
      <c r="L146" s="69" t="s">
        <v>40</v>
      </c>
      <c r="M146" s="70">
        <v>31704</v>
      </c>
      <c r="N146" s="68">
        <v>985778438</v>
      </c>
      <c r="O146" s="68" t="s">
        <v>939</v>
      </c>
      <c r="P146" s="68" t="s">
        <v>940</v>
      </c>
      <c r="Q146" s="68" t="s">
        <v>695</v>
      </c>
      <c r="R146" s="68" t="s">
        <v>704</v>
      </c>
      <c r="S146" s="68" t="s">
        <v>704</v>
      </c>
      <c r="T146" s="68" t="s">
        <v>68</v>
      </c>
      <c r="U146" s="67" t="s">
        <v>760</v>
      </c>
      <c r="V146" s="67" t="s">
        <v>739</v>
      </c>
      <c r="W146" s="71">
        <v>561084</v>
      </c>
      <c r="X146" s="67" t="s">
        <v>85</v>
      </c>
      <c r="Y146" s="72" t="str">
        <f t="shared" ref="Y146:Y147" si="32">IF(X146="NO","NO APLICA","ESCRIBA EL NOMBRE DEL IIEE")</f>
        <v>NO APLICA</v>
      </c>
      <c r="Z146" s="72" t="str">
        <f t="shared" ref="Z146:Z147" si="33">IF(Y146="NO APLICA","NO APLICA","ESCRIBA EL CÓDIGO MODULAR")</f>
        <v>NO APLICA</v>
      </c>
      <c r="AA146" s="68" t="s">
        <v>49</v>
      </c>
      <c r="AB146" s="73">
        <v>16</v>
      </c>
      <c r="AC146" s="73" t="s">
        <v>1771</v>
      </c>
      <c r="AD146" s="73">
        <v>15</v>
      </c>
      <c r="AE146" s="73" t="s">
        <v>1771</v>
      </c>
      <c r="AF146" s="73">
        <v>15</v>
      </c>
      <c r="AG146" s="20" t="s">
        <v>1771</v>
      </c>
      <c r="AH146" s="73">
        <v>13</v>
      </c>
      <c r="AI146" s="20" t="s">
        <v>1767</v>
      </c>
      <c r="AJ146" s="19" t="str">
        <f t="shared" si="31"/>
        <v>APROBADO</v>
      </c>
    </row>
    <row r="147" spans="1:36" ht="15" customHeight="1" x14ac:dyDescent="0.2">
      <c r="A147" s="9">
        <v>48</v>
      </c>
      <c r="B147" s="10">
        <v>136</v>
      </c>
      <c r="C147" s="10">
        <v>46</v>
      </c>
      <c r="D147" s="74" t="s">
        <v>941</v>
      </c>
      <c r="E147" s="74" t="s">
        <v>942</v>
      </c>
      <c r="F147" s="74" t="s">
        <v>34</v>
      </c>
      <c r="G147" s="74" t="s">
        <v>35</v>
      </c>
      <c r="H147" s="74" t="s">
        <v>36</v>
      </c>
      <c r="I147" s="74" t="s">
        <v>684</v>
      </c>
      <c r="J147" s="74" t="s">
        <v>38</v>
      </c>
      <c r="K147" s="82">
        <v>41311657</v>
      </c>
      <c r="L147" s="69" t="s">
        <v>40</v>
      </c>
      <c r="M147" s="70">
        <v>29274</v>
      </c>
      <c r="N147" s="68">
        <v>945416054</v>
      </c>
      <c r="O147" s="68" t="s">
        <v>943</v>
      </c>
      <c r="P147" s="68" t="s">
        <v>944</v>
      </c>
      <c r="Q147" s="68" t="s">
        <v>703</v>
      </c>
      <c r="R147" s="68" t="s">
        <v>704</v>
      </c>
      <c r="S147" s="68" t="s">
        <v>704</v>
      </c>
      <c r="T147" s="68" t="s">
        <v>715</v>
      </c>
      <c r="U147" s="67" t="s">
        <v>715</v>
      </c>
      <c r="V147" s="67" t="s">
        <v>706</v>
      </c>
      <c r="W147" s="71">
        <v>350447</v>
      </c>
      <c r="X147" s="67" t="s">
        <v>85</v>
      </c>
      <c r="Y147" s="72" t="str">
        <f t="shared" si="32"/>
        <v>NO APLICA</v>
      </c>
      <c r="Z147" s="72" t="str">
        <f t="shared" si="33"/>
        <v>NO APLICA</v>
      </c>
      <c r="AA147" s="68" t="s">
        <v>49</v>
      </c>
      <c r="AB147" s="73">
        <v>16</v>
      </c>
      <c r="AC147" s="73" t="s">
        <v>1771</v>
      </c>
      <c r="AD147" s="73">
        <v>15</v>
      </c>
      <c r="AE147" s="73" t="s">
        <v>1771</v>
      </c>
      <c r="AF147" s="73">
        <v>15</v>
      </c>
      <c r="AG147" s="20" t="s">
        <v>1771</v>
      </c>
      <c r="AH147" s="73">
        <v>12</v>
      </c>
      <c r="AI147" s="20" t="s">
        <v>1767</v>
      </c>
      <c r="AJ147" s="19" t="str">
        <f t="shared" si="31"/>
        <v>APROBADO</v>
      </c>
    </row>
    <row r="148" spans="1:36" ht="15" customHeight="1" x14ac:dyDescent="0.2">
      <c r="A148" s="9">
        <v>48</v>
      </c>
      <c r="B148" s="10">
        <v>133</v>
      </c>
      <c r="C148" s="10">
        <v>47</v>
      </c>
      <c r="D148" s="74" t="s">
        <v>945</v>
      </c>
      <c r="E148" s="74" t="s">
        <v>946</v>
      </c>
      <c r="F148" s="74" t="s">
        <v>34</v>
      </c>
      <c r="G148" s="74" t="s">
        <v>35</v>
      </c>
      <c r="H148" s="74" t="s">
        <v>890</v>
      </c>
      <c r="I148" s="74" t="s">
        <v>684</v>
      </c>
      <c r="J148" s="74" t="s">
        <v>38</v>
      </c>
      <c r="K148" s="75" t="s">
        <v>947</v>
      </c>
      <c r="L148" s="76" t="s">
        <v>40</v>
      </c>
      <c r="M148" s="70">
        <v>25868</v>
      </c>
      <c r="N148" s="68">
        <v>967697205</v>
      </c>
      <c r="O148" s="68" t="s">
        <v>948</v>
      </c>
      <c r="P148" s="68" t="s">
        <v>949</v>
      </c>
      <c r="Q148" s="68" t="s">
        <v>703</v>
      </c>
      <c r="R148" s="68" t="s">
        <v>688</v>
      </c>
      <c r="S148" s="68" t="s">
        <v>688</v>
      </c>
      <c r="T148" s="68" t="s">
        <v>68</v>
      </c>
      <c r="U148" s="67" t="s">
        <v>950</v>
      </c>
      <c r="V148" s="67" t="s">
        <v>706</v>
      </c>
      <c r="W148" s="71">
        <v>350447</v>
      </c>
      <c r="X148" s="67" t="s">
        <v>48</v>
      </c>
      <c r="Y148" s="72" t="s">
        <v>706</v>
      </c>
      <c r="Z148" s="72">
        <v>350447</v>
      </c>
      <c r="AA148" s="68" t="s">
        <v>49</v>
      </c>
      <c r="AB148" s="73">
        <v>17</v>
      </c>
      <c r="AC148" s="73" t="s">
        <v>1771</v>
      </c>
      <c r="AD148" s="73">
        <v>14</v>
      </c>
      <c r="AE148" s="73" t="s">
        <v>1771</v>
      </c>
      <c r="AF148" s="73">
        <v>15</v>
      </c>
      <c r="AG148" s="20" t="s">
        <v>1771</v>
      </c>
      <c r="AH148" s="73">
        <v>14</v>
      </c>
      <c r="AI148" s="20" t="s">
        <v>1767</v>
      </c>
      <c r="AJ148" s="19" t="str">
        <f t="shared" si="31"/>
        <v>APROBADO</v>
      </c>
    </row>
    <row r="149" spans="1:36" ht="15" customHeight="1" x14ac:dyDescent="0.2">
      <c r="A149" s="9">
        <v>48</v>
      </c>
      <c r="B149" s="10">
        <v>129</v>
      </c>
      <c r="C149" s="10">
        <v>48</v>
      </c>
      <c r="D149" s="74" t="s">
        <v>951</v>
      </c>
      <c r="E149" s="74" t="s">
        <v>952</v>
      </c>
      <c r="F149" s="74" t="s">
        <v>34</v>
      </c>
      <c r="G149" s="74" t="s">
        <v>35</v>
      </c>
      <c r="H149" s="74" t="s">
        <v>73</v>
      </c>
      <c r="I149" s="74" t="s">
        <v>684</v>
      </c>
      <c r="J149" s="74" t="s">
        <v>38</v>
      </c>
      <c r="K149" s="75" t="s">
        <v>953</v>
      </c>
      <c r="L149" s="76" t="s">
        <v>40</v>
      </c>
      <c r="M149" s="70">
        <v>26995</v>
      </c>
      <c r="N149" s="68">
        <v>996189233</v>
      </c>
      <c r="O149" s="68" t="s">
        <v>954</v>
      </c>
      <c r="P149" s="68" t="s">
        <v>955</v>
      </c>
      <c r="Q149" s="68" t="s">
        <v>703</v>
      </c>
      <c r="R149" s="68" t="s">
        <v>688</v>
      </c>
      <c r="S149" s="68" t="s">
        <v>704</v>
      </c>
      <c r="T149" s="68" t="s">
        <v>68</v>
      </c>
      <c r="U149" s="67" t="s">
        <v>956</v>
      </c>
      <c r="V149" s="67" t="s">
        <v>706</v>
      </c>
      <c r="W149" s="71">
        <v>350447</v>
      </c>
      <c r="X149" s="67" t="s">
        <v>48</v>
      </c>
      <c r="Y149" s="72" t="s">
        <v>706</v>
      </c>
      <c r="Z149" s="72">
        <v>350447</v>
      </c>
      <c r="AA149" s="68" t="s">
        <v>49</v>
      </c>
      <c r="AB149" s="73">
        <v>17</v>
      </c>
      <c r="AC149" s="73" t="s">
        <v>1771</v>
      </c>
      <c r="AD149" s="73">
        <v>15</v>
      </c>
      <c r="AE149" s="73" t="s">
        <v>1771</v>
      </c>
      <c r="AF149" s="73">
        <v>16</v>
      </c>
      <c r="AG149" s="20" t="s">
        <v>1771</v>
      </c>
      <c r="AH149" s="73">
        <v>13</v>
      </c>
      <c r="AI149" s="20" t="s">
        <v>1767</v>
      </c>
      <c r="AJ149" s="19" t="str">
        <f t="shared" si="31"/>
        <v>APROBADO</v>
      </c>
    </row>
    <row r="150" spans="1:36" ht="15" customHeight="1" x14ac:dyDescent="0.2">
      <c r="A150" s="9">
        <v>48</v>
      </c>
      <c r="B150" s="10">
        <v>108</v>
      </c>
      <c r="C150" s="10">
        <v>49</v>
      </c>
      <c r="D150" s="74" t="s">
        <v>957</v>
      </c>
      <c r="E150" s="74" t="s">
        <v>958</v>
      </c>
      <c r="F150" s="74" t="s">
        <v>34</v>
      </c>
      <c r="G150" s="74" t="s">
        <v>35</v>
      </c>
      <c r="H150" s="74" t="s">
        <v>73</v>
      </c>
      <c r="I150" s="74" t="s">
        <v>684</v>
      </c>
      <c r="J150" s="74" t="s">
        <v>38</v>
      </c>
      <c r="K150" s="75" t="s">
        <v>959</v>
      </c>
      <c r="L150" s="76" t="s">
        <v>40</v>
      </c>
      <c r="M150" s="70">
        <v>25204</v>
      </c>
      <c r="N150" s="68">
        <v>996372832</v>
      </c>
      <c r="O150" s="68" t="s">
        <v>960</v>
      </c>
      <c r="P150" s="68" t="s">
        <v>961</v>
      </c>
      <c r="Q150" s="68" t="s">
        <v>962</v>
      </c>
      <c r="R150" s="68" t="s">
        <v>704</v>
      </c>
      <c r="S150" s="68" t="s">
        <v>704</v>
      </c>
      <c r="T150" s="68" t="s">
        <v>883</v>
      </c>
      <c r="U150" s="67" t="s">
        <v>963</v>
      </c>
      <c r="V150" s="67" t="s">
        <v>767</v>
      </c>
      <c r="W150" s="71">
        <v>840595</v>
      </c>
      <c r="X150" s="67" t="s">
        <v>48</v>
      </c>
      <c r="Y150" s="72" t="s">
        <v>767</v>
      </c>
      <c r="Z150" s="72">
        <v>840595</v>
      </c>
      <c r="AA150" s="68" t="s">
        <v>49</v>
      </c>
      <c r="AB150" s="73">
        <v>16</v>
      </c>
      <c r="AC150" s="73" t="s">
        <v>1771</v>
      </c>
      <c r="AD150" s="73">
        <v>15</v>
      </c>
      <c r="AE150" s="73" t="s">
        <v>1771</v>
      </c>
      <c r="AF150" s="73">
        <v>13</v>
      </c>
      <c r="AG150" s="20" t="s">
        <v>1771</v>
      </c>
      <c r="AH150" s="73">
        <v>11</v>
      </c>
      <c r="AI150" s="73" t="s">
        <v>1769</v>
      </c>
      <c r="AJ150" s="19" t="str">
        <f t="shared" ref="AJ150:AJ181" si="34">IF(AND(AB150&gt;=11,AD150&gt;=11,AF150&gt;=11,AH150&gt;=11),"APROBADO","DESAPROBADO")</f>
        <v>APROBADO</v>
      </c>
    </row>
    <row r="151" spans="1:36" ht="15" customHeight="1" x14ac:dyDescent="0.2">
      <c r="A151" s="9">
        <v>48</v>
      </c>
      <c r="B151" s="10">
        <v>110</v>
      </c>
      <c r="C151" s="10">
        <v>50</v>
      </c>
      <c r="D151" s="74" t="s">
        <v>964</v>
      </c>
      <c r="E151" s="74" t="s">
        <v>965</v>
      </c>
      <c r="F151" s="74" t="s">
        <v>155</v>
      </c>
      <c r="G151" s="74" t="s">
        <v>35</v>
      </c>
      <c r="H151" s="74" t="s">
        <v>73</v>
      </c>
      <c r="I151" s="74" t="s">
        <v>684</v>
      </c>
      <c r="J151" s="74" t="s">
        <v>38</v>
      </c>
      <c r="K151" s="75" t="s">
        <v>966</v>
      </c>
      <c r="L151" s="76" t="s">
        <v>40</v>
      </c>
      <c r="M151" s="70">
        <v>44233</v>
      </c>
      <c r="N151" s="68">
        <v>975894016</v>
      </c>
      <c r="O151" s="68" t="s">
        <v>967</v>
      </c>
      <c r="P151" s="68" t="s">
        <v>968</v>
      </c>
      <c r="Q151" s="68" t="s">
        <v>695</v>
      </c>
      <c r="R151" s="68" t="s">
        <v>704</v>
      </c>
      <c r="S151" s="68" t="s">
        <v>688</v>
      </c>
      <c r="T151" s="68" t="s">
        <v>68</v>
      </c>
      <c r="U151" s="67" t="s">
        <v>294</v>
      </c>
      <c r="V151" s="67" t="s">
        <v>767</v>
      </c>
      <c r="W151" s="71">
        <v>840595</v>
      </c>
      <c r="X151" s="67" t="s">
        <v>85</v>
      </c>
      <c r="Y151" s="72" t="str">
        <f t="shared" ref="Y151:Y153" si="35">IF(X151="NO","NO APLICA","ESCRIBA EL NOMBRE DEL IIEE")</f>
        <v>NO APLICA</v>
      </c>
      <c r="Z151" s="72" t="str">
        <f t="shared" ref="Z151:Z153" si="36">IF(Y151="NO APLICA","NO APLICA","ESCRIBA EL CÓDIGO MODULAR")</f>
        <v>NO APLICA</v>
      </c>
      <c r="AA151" s="68" t="s">
        <v>49</v>
      </c>
      <c r="AB151" s="73">
        <v>15</v>
      </c>
      <c r="AC151" s="73" t="s">
        <v>1771</v>
      </c>
      <c r="AD151" s="73">
        <v>15</v>
      </c>
      <c r="AE151" s="73" t="s">
        <v>1771</v>
      </c>
      <c r="AF151" s="73">
        <v>14</v>
      </c>
      <c r="AG151" s="20" t="s">
        <v>1771</v>
      </c>
      <c r="AH151" s="73">
        <v>12</v>
      </c>
      <c r="AI151" s="20" t="s">
        <v>1767</v>
      </c>
      <c r="AJ151" s="19" t="str">
        <f t="shared" si="34"/>
        <v>APROBADO</v>
      </c>
    </row>
    <row r="152" spans="1:36" ht="15" customHeight="1" x14ac:dyDescent="0.2">
      <c r="A152" s="9">
        <v>48</v>
      </c>
      <c r="B152" s="10">
        <v>102</v>
      </c>
      <c r="C152" s="10">
        <v>51</v>
      </c>
      <c r="D152" s="68" t="s">
        <v>969</v>
      </c>
      <c r="E152" s="68" t="s">
        <v>970</v>
      </c>
      <c r="F152" s="68" t="s">
        <v>34</v>
      </c>
      <c r="G152" s="68" t="s">
        <v>35</v>
      </c>
      <c r="H152" s="68" t="s">
        <v>36</v>
      </c>
      <c r="I152" s="68" t="s">
        <v>684</v>
      </c>
      <c r="J152" s="68" t="s">
        <v>38</v>
      </c>
      <c r="K152" s="69" t="s">
        <v>971</v>
      </c>
      <c r="L152" s="69" t="s">
        <v>40</v>
      </c>
      <c r="M152" s="70">
        <v>31370</v>
      </c>
      <c r="N152" s="68">
        <v>999347469</v>
      </c>
      <c r="O152" s="68" t="s">
        <v>972</v>
      </c>
      <c r="P152" s="68" t="s">
        <v>973</v>
      </c>
      <c r="Q152" s="68" t="s">
        <v>810</v>
      </c>
      <c r="R152" s="68" t="s">
        <v>810</v>
      </c>
      <c r="S152" s="68" t="s">
        <v>688</v>
      </c>
      <c r="T152" s="68" t="s">
        <v>68</v>
      </c>
      <c r="U152" s="67" t="s">
        <v>974</v>
      </c>
      <c r="V152" s="67" t="s">
        <v>697</v>
      </c>
      <c r="W152" s="71">
        <v>350496</v>
      </c>
      <c r="X152" s="67" t="s">
        <v>85</v>
      </c>
      <c r="Y152" s="72" t="str">
        <f t="shared" si="35"/>
        <v>NO APLICA</v>
      </c>
      <c r="Z152" s="72" t="str">
        <f t="shared" si="36"/>
        <v>NO APLICA</v>
      </c>
      <c r="AA152" s="68" t="s">
        <v>49</v>
      </c>
      <c r="AB152" s="73">
        <v>17</v>
      </c>
      <c r="AC152" s="73" t="s">
        <v>1771</v>
      </c>
      <c r="AD152" s="73">
        <v>15</v>
      </c>
      <c r="AE152" s="73" t="s">
        <v>1771</v>
      </c>
      <c r="AF152" s="73">
        <v>15</v>
      </c>
      <c r="AG152" s="20" t="s">
        <v>1771</v>
      </c>
      <c r="AH152" s="73">
        <v>15</v>
      </c>
      <c r="AI152" s="20" t="s">
        <v>1767</v>
      </c>
      <c r="AJ152" s="19" t="str">
        <f t="shared" si="34"/>
        <v>APROBADO</v>
      </c>
    </row>
    <row r="153" spans="1:36" ht="15" customHeight="1" x14ac:dyDescent="0.2">
      <c r="A153" s="9">
        <v>48</v>
      </c>
      <c r="B153" s="10">
        <v>127</v>
      </c>
      <c r="C153" s="10">
        <v>52</v>
      </c>
      <c r="D153" s="74" t="s">
        <v>975</v>
      </c>
      <c r="E153" s="74" t="s">
        <v>976</v>
      </c>
      <c r="F153" s="74" t="s">
        <v>34</v>
      </c>
      <c r="G153" s="74" t="s">
        <v>35</v>
      </c>
      <c r="H153" s="74" t="s">
        <v>36</v>
      </c>
      <c r="I153" s="74" t="s">
        <v>684</v>
      </c>
      <c r="J153" s="74" t="s">
        <v>38</v>
      </c>
      <c r="K153" s="82" t="s">
        <v>977</v>
      </c>
      <c r="L153" s="69" t="s">
        <v>40</v>
      </c>
      <c r="M153" s="70">
        <v>35099</v>
      </c>
      <c r="N153" s="68">
        <v>969977391</v>
      </c>
      <c r="O153" s="68" t="s">
        <v>978</v>
      </c>
      <c r="P153" s="68" t="s">
        <v>979</v>
      </c>
      <c r="Q153" s="68" t="s">
        <v>980</v>
      </c>
      <c r="R153" s="68" t="s">
        <v>688</v>
      </c>
      <c r="S153" s="68" t="s">
        <v>688</v>
      </c>
      <c r="T153" s="68" t="s">
        <v>68</v>
      </c>
      <c r="U153" s="67" t="s">
        <v>981</v>
      </c>
      <c r="V153" s="67" t="s">
        <v>706</v>
      </c>
      <c r="W153" s="71">
        <v>350447</v>
      </c>
      <c r="X153" s="67" t="s">
        <v>85</v>
      </c>
      <c r="Y153" s="72" t="str">
        <f t="shared" si="35"/>
        <v>NO APLICA</v>
      </c>
      <c r="Z153" s="72" t="str">
        <f t="shared" si="36"/>
        <v>NO APLICA</v>
      </c>
      <c r="AA153" s="68" t="s">
        <v>49</v>
      </c>
      <c r="AB153" s="73">
        <v>17</v>
      </c>
      <c r="AC153" s="73" t="s">
        <v>1771</v>
      </c>
      <c r="AD153" s="73">
        <v>15</v>
      </c>
      <c r="AE153" s="73" t="s">
        <v>1771</v>
      </c>
      <c r="AF153" s="73">
        <v>14</v>
      </c>
      <c r="AG153" s="20" t="s">
        <v>1771</v>
      </c>
      <c r="AH153" s="73">
        <v>14</v>
      </c>
      <c r="AI153" s="20" t="s">
        <v>1767</v>
      </c>
      <c r="AJ153" s="19" t="str">
        <f t="shared" si="34"/>
        <v>APROBADO</v>
      </c>
    </row>
    <row r="154" spans="1:36" ht="15" customHeight="1" x14ac:dyDescent="0.2">
      <c r="A154" s="9">
        <v>48</v>
      </c>
      <c r="B154" s="10">
        <v>140</v>
      </c>
      <c r="C154" s="10">
        <v>53</v>
      </c>
      <c r="D154" s="74" t="s">
        <v>982</v>
      </c>
      <c r="E154" s="74" t="s">
        <v>983</v>
      </c>
      <c r="F154" s="74" t="s">
        <v>242</v>
      </c>
      <c r="G154" s="74" t="s">
        <v>61</v>
      </c>
      <c r="H154" s="74" t="s">
        <v>62</v>
      </c>
      <c r="I154" s="74" t="s">
        <v>684</v>
      </c>
      <c r="J154" s="74" t="s">
        <v>38</v>
      </c>
      <c r="K154" s="82" t="s">
        <v>984</v>
      </c>
      <c r="L154" s="69" t="s">
        <v>40</v>
      </c>
      <c r="M154" s="70">
        <v>24358</v>
      </c>
      <c r="N154" s="68">
        <v>969254742</v>
      </c>
      <c r="O154" s="68" t="s">
        <v>985</v>
      </c>
      <c r="P154" s="68" t="s">
        <v>986</v>
      </c>
      <c r="Q154" s="68" t="s">
        <v>704</v>
      </c>
      <c r="R154" s="68" t="s">
        <v>704</v>
      </c>
      <c r="S154" s="68" t="s">
        <v>704</v>
      </c>
      <c r="T154" s="68" t="s">
        <v>715</v>
      </c>
      <c r="U154" s="67" t="s">
        <v>987</v>
      </c>
      <c r="V154" s="67">
        <v>15383</v>
      </c>
      <c r="W154" s="71">
        <v>355289</v>
      </c>
      <c r="X154" s="67" t="s">
        <v>48</v>
      </c>
      <c r="Y154" s="72">
        <v>15383</v>
      </c>
      <c r="Z154" s="72">
        <v>355289</v>
      </c>
      <c r="AA154" s="68" t="s">
        <v>49</v>
      </c>
      <c r="AB154" s="73">
        <v>16</v>
      </c>
      <c r="AC154" s="73" t="s">
        <v>1771</v>
      </c>
      <c r="AD154" s="73">
        <v>15</v>
      </c>
      <c r="AE154" s="73" t="s">
        <v>1771</v>
      </c>
      <c r="AF154" s="73">
        <v>15</v>
      </c>
      <c r="AG154" s="20" t="s">
        <v>1771</v>
      </c>
      <c r="AH154" s="73">
        <v>13</v>
      </c>
      <c r="AI154" s="20" t="s">
        <v>1767</v>
      </c>
      <c r="AJ154" s="19" t="str">
        <f t="shared" si="34"/>
        <v>APROBADO</v>
      </c>
    </row>
    <row r="155" spans="1:36" ht="15" customHeight="1" x14ac:dyDescent="0.2">
      <c r="A155" s="9">
        <v>48</v>
      </c>
      <c r="B155" s="10">
        <v>149</v>
      </c>
      <c r="C155" s="10">
        <v>54</v>
      </c>
      <c r="D155" s="67" t="s">
        <v>988</v>
      </c>
      <c r="E155" s="68" t="s">
        <v>989</v>
      </c>
      <c r="F155" s="68" t="s">
        <v>155</v>
      </c>
      <c r="G155" s="68" t="s">
        <v>35</v>
      </c>
      <c r="H155" s="68" t="s">
        <v>890</v>
      </c>
      <c r="I155" s="68" t="s">
        <v>684</v>
      </c>
      <c r="J155" s="68" t="s">
        <v>38</v>
      </c>
      <c r="K155" s="69" t="s">
        <v>990</v>
      </c>
      <c r="L155" s="69" t="s">
        <v>40</v>
      </c>
      <c r="M155" s="70">
        <v>27032</v>
      </c>
      <c r="N155" s="68">
        <v>927876059</v>
      </c>
      <c r="O155" s="68" t="s">
        <v>991</v>
      </c>
      <c r="P155" s="68" t="s">
        <v>992</v>
      </c>
      <c r="Q155" s="68" t="s">
        <v>695</v>
      </c>
      <c r="R155" s="68" t="s">
        <v>704</v>
      </c>
      <c r="S155" s="68" t="s">
        <v>704</v>
      </c>
      <c r="T155" s="68" t="s">
        <v>689</v>
      </c>
      <c r="U155" s="67" t="s">
        <v>993</v>
      </c>
      <c r="V155" s="67">
        <v>14045</v>
      </c>
      <c r="W155" s="71">
        <v>674995</v>
      </c>
      <c r="X155" s="67" t="s">
        <v>48</v>
      </c>
      <c r="Y155" s="72">
        <v>20123</v>
      </c>
      <c r="Z155" s="72">
        <v>840504</v>
      </c>
      <c r="AA155" s="68" t="s">
        <v>49</v>
      </c>
      <c r="AB155" s="73">
        <v>16</v>
      </c>
      <c r="AC155" s="73" t="s">
        <v>1771</v>
      </c>
      <c r="AD155" s="73">
        <v>14</v>
      </c>
      <c r="AE155" s="73" t="s">
        <v>1771</v>
      </c>
      <c r="AF155" s="73">
        <v>14</v>
      </c>
      <c r="AG155" s="20" t="s">
        <v>1771</v>
      </c>
      <c r="AH155" s="73">
        <v>13</v>
      </c>
      <c r="AI155" s="20" t="s">
        <v>1767</v>
      </c>
      <c r="AJ155" s="19" t="str">
        <f t="shared" si="34"/>
        <v>APROBADO</v>
      </c>
    </row>
    <row r="156" spans="1:36" ht="15" customHeight="1" x14ac:dyDescent="0.2">
      <c r="A156" s="9">
        <v>48</v>
      </c>
      <c r="B156" s="10">
        <v>142</v>
      </c>
      <c r="C156" s="10">
        <v>55</v>
      </c>
      <c r="D156" s="68" t="s">
        <v>994</v>
      </c>
      <c r="E156" s="68" t="s">
        <v>995</v>
      </c>
      <c r="F156" s="68" t="s">
        <v>34</v>
      </c>
      <c r="G156" s="68" t="s">
        <v>35</v>
      </c>
      <c r="H156" s="68" t="s">
        <v>73</v>
      </c>
      <c r="I156" s="68" t="s">
        <v>684</v>
      </c>
      <c r="J156" s="68" t="s">
        <v>38</v>
      </c>
      <c r="K156" s="76" t="s">
        <v>996</v>
      </c>
      <c r="L156" s="76" t="s">
        <v>40</v>
      </c>
      <c r="M156" s="70">
        <v>25498</v>
      </c>
      <c r="N156" s="68">
        <v>968724688</v>
      </c>
      <c r="O156" s="68" t="s">
        <v>997</v>
      </c>
      <c r="P156" s="68" t="s">
        <v>998</v>
      </c>
      <c r="Q156" s="68" t="s">
        <v>980</v>
      </c>
      <c r="R156" s="68" t="s">
        <v>688</v>
      </c>
      <c r="S156" s="68" t="s">
        <v>688</v>
      </c>
      <c r="T156" s="68" t="s">
        <v>715</v>
      </c>
      <c r="U156" s="67" t="s">
        <v>55</v>
      </c>
      <c r="V156" s="67" t="s">
        <v>732</v>
      </c>
      <c r="W156" s="71">
        <v>2603185</v>
      </c>
      <c r="X156" s="67" t="s">
        <v>48</v>
      </c>
      <c r="Y156" s="72" t="s">
        <v>732</v>
      </c>
      <c r="Z156" s="72">
        <v>2603185</v>
      </c>
      <c r="AA156" s="68" t="s">
        <v>49</v>
      </c>
      <c r="AB156" s="73">
        <v>18</v>
      </c>
      <c r="AC156" s="73" t="s">
        <v>1771</v>
      </c>
      <c r="AD156" s="73">
        <v>16</v>
      </c>
      <c r="AE156" s="73" t="s">
        <v>1771</v>
      </c>
      <c r="AF156" s="73">
        <v>14</v>
      </c>
      <c r="AG156" s="20" t="s">
        <v>1771</v>
      </c>
      <c r="AH156" s="73">
        <v>14</v>
      </c>
      <c r="AI156" s="20" t="s">
        <v>1767</v>
      </c>
      <c r="AJ156" s="19" t="str">
        <f t="shared" si="34"/>
        <v>APROBADO</v>
      </c>
    </row>
    <row r="157" spans="1:36" ht="15" customHeight="1" x14ac:dyDescent="0.2">
      <c r="A157" s="9">
        <v>48</v>
      </c>
      <c r="B157" s="10">
        <v>116</v>
      </c>
      <c r="C157" s="10">
        <v>56</v>
      </c>
      <c r="D157" s="74" t="s">
        <v>999</v>
      </c>
      <c r="E157" s="74" t="s">
        <v>1000</v>
      </c>
      <c r="F157" s="74" t="s">
        <v>155</v>
      </c>
      <c r="G157" s="74" t="s">
        <v>35</v>
      </c>
      <c r="H157" s="74" t="s">
        <v>73</v>
      </c>
      <c r="I157" s="74" t="s">
        <v>684</v>
      </c>
      <c r="J157" s="74" t="s">
        <v>38</v>
      </c>
      <c r="K157" s="82" t="s">
        <v>1001</v>
      </c>
      <c r="L157" s="69" t="s">
        <v>40</v>
      </c>
      <c r="M157" s="70">
        <v>27184</v>
      </c>
      <c r="N157" s="68">
        <v>948475391</v>
      </c>
      <c r="O157" s="68" t="s">
        <v>1002</v>
      </c>
      <c r="P157" s="68" t="s">
        <v>1003</v>
      </c>
      <c r="Q157" s="68" t="s">
        <v>695</v>
      </c>
      <c r="R157" s="68" t="s">
        <v>704</v>
      </c>
      <c r="S157" s="68" t="s">
        <v>704</v>
      </c>
      <c r="T157" s="68" t="s">
        <v>68</v>
      </c>
      <c r="U157" s="67" t="s">
        <v>848</v>
      </c>
      <c r="V157" s="67" t="s">
        <v>739</v>
      </c>
      <c r="W157" s="71">
        <v>561084</v>
      </c>
      <c r="X157" s="67" t="s">
        <v>48</v>
      </c>
      <c r="Y157" s="72">
        <v>14975</v>
      </c>
      <c r="Z157" s="72">
        <v>613943</v>
      </c>
      <c r="AA157" s="68" t="s">
        <v>49</v>
      </c>
      <c r="AB157" s="73">
        <v>16</v>
      </c>
      <c r="AC157" s="73" t="s">
        <v>1771</v>
      </c>
      <c r="AD157" s="73">
        <v>15</v>
      </c>
      <c r="AE157" s="73" t="s">
        <v>1771</v>
      </c>
      <c r="AF157" s="73">
        <v>13</v>
      </c>
      <c r="AG157" s="20" t="s">
        <v>1771</v>
      </c>
      <c r="AH157" s="73">
        <v>13</v>
      </c>
      <c r="AI157" s="20" t="s">
        <v>1767</v>
      </c>
      <c r="AJ157" s="19" t="str">
        <f t="shared" si="34"/>
        <v>APROBADO</v>
      </c>
    </row>
    <row r="158" spans="1:36" ht="15" hidden="1" customHeight="1" x14ac:dyDescent="0.2">
      <c r="A158" s="9">
        <v>54</v>
      </c>
      <c r="B158" s="10">
        <v>170</v>
      </c>
      <c r="C158" s="10">
        <v>1</v>
      </c>
      <c r="D158" s="92" t="s">
        <v>1004</v>
      </c>
      <c r="E158" s="92" t="s">
        <v>1005</v>
      </c>
      <c r="F158" s="92" t="s">
        <v>34</v>
      </c>
      <c r="G158" s="92" t="s">
        <v>35</v>
      </c>
      <c r="H158" s="92" t="s">
        <v>1006</v>
      </c>
      <c r="I158" s="92" t="s">
        <v>37</v>
      </c>
      <c r="J158" s="92" t="s">
        <v>38</v>
      </c>
      <c r="K158" s="93">
        <v>33340174</v>
      </c>
      <c r="L158" s="94" t="s">
        <v>40</v>
      </c>
      <c r="M158" s="95">
        <v>25355</v>
      </c>
      <c r="N158" s="96">
        <v>954969123</v>
      </c>
      <c r="O158" s="96" t="s">
        <v>1007</v>
      </c>
      <c r="P158" s="96" t="s">
        <v>1008</v>
      </c>
      <c r="Q158" s="96" t="s">
        <v>1009</v>
      </c>
      <c r="R158" s="97" t="s">
        <v>1010</v>
      </c>
      <c r="S158" s="96" t="s">
        <v>1011</v>
      </c>
      <c r="T158" s="96" t="s">
        <v>55</v>
      </c>
      <c r="U158" s="96" t="s">
        <v>358</v>
      </c>
      <c r="V158" s="98" t="s">
        <v>1012</v>
      </c>
      <c r="W158" s="99" t="s">
        <v>1012</v>
      </c>
      <c r="X158" s="98" t="s">
        <v>85</v>
      </c>
      <c r="Y158" s="94" t="str">
        <f>IF(X158="NO","NO APLICA","ESCRIBA EL NOMBRE DEL IIEE")</f>
        <v>NO APLICA</v>
      </c>
      <c r="Z158" s="94" t="str">
        <f>IF(Y158="NO APLICA","NO APLICA","ESCRIBA EL CÓDIGO MODULAR")</f>
        <v>NO APLICA</v>
      </c>
      <c r="AA158" s="97" t="s">
        <v>190</v>
      </c>
      <c r="AB158" s="100">
        <v>17</v>
      </c>
      <c r="AC158" s="73" t="s">
        <v>1771</v>
      </c>
      <c r="AD158" s="100">
        <v>16</v>
      </c>
      <c r="AE158" s="73" t="s">
        <v>1771</v>
      </c>
      <c r="AF158" s="100">
        <v>16</v>
      </c>
      <c r="AG158" s="20" t="s">
        <v>1771</v>
      </c>
      <c r="AH158" s="100">
        <v>12</v>
      </c>
      <c r="AI158" s="20" t="s">
        <v>1767</v>
      </c>
      <c r="AJ158" s="19" t="str">
        <f t="shared" si="34"/>
        <v>APROBADO</v>
      </c>
    </row>
    <row r="159" spans="1:36" ht="15" hidden="1" customHeight="1" x14ac:dyDescent="0.2">
      <c r="A159" s="9">
        <v>54</v>
      </c>
      <c r="B159" s="10">
        <v>163</v>
      </c>
      <c r="C159" s="10">
        <v>2</v>
      </c>
      <c r="D159" s="101" t="s">
        <v>1013</v>
      </c>
      <c r="E159" s="101" t="s">
        <v>1014</v>
      </c>
      <c r="F159" s="92" t="s">
        <v>34</v>
      </c>
      <c r="G159" s="101" t="s">
        <v>61</v>
      </c>
      <c r="H159" s="101" t="s">
        <v>193</v>
      </c>
      <c r="I159" s="102" t="s">
        <v>1015</v>
      </c>
      <c r="J159" s="101" t="s">
        <v>38</v>
      </c>
      <c r="K159" s="103">
        <v>46860916</v>
      </c>
      <c r="L159" s="104" t="s">
        <v>40</v>
      </c>
      <c r="M159" s="105">
        <v>33232</v>
      </c>
      <c r="N159" s="106">
        <v>976415931</v>
      </c>
      <c r="O159" s="106" t="s">
        <v>1016</v>
      </c>
      <c r="P159" s="106" t="s">
        <v>1017</v>
      </c>
      <c r="Q159" s="106" t="s">
        <v>1018</v>
      </c>
      <c r="R159" s="107" t="s">
        <v>1019</v>
      </c>
      <c r="S159" s="106" t="s">
        <v>1011</v>
      </c>
      <c r="T159" s="106" t="s">
        <v>55</v>
      </c>
      <c r="U159" s="106" t="s">
        <v>358</v>
      </c>
      <c r="V159" s="98" t="s">
        <v>1012</v>
      </c>
      <c r="W159" s="99" t="s">
        <v>1012</v>
      </c>
      <c r="X159" s="108" t="s">
        <v>48</v>
      </c>
      <c r="Y159" s="94" t="s">
        <v>1012</v>
      </c>
      <c r="Z159" s="94" t="s">
        <v>1012</v>
      </c>
      <c r="AA159" s="107" t="s">
        <v>49</v>
      </c>
      <c r="AB159" s="100">
        <v>18</v>
      </c>
      <c r="AC159" s="73" t="s">
        <v>1771</v>
      </c>
      <c r="AD159" s="100">
        <v>18</v>
      </c>
      <c r="AE159" s="73" t="s">
        <v>1771</v>
      </c>
      <c r="AF159" s="100">
        <v>19</v>
      </c>
      <c r="AG159" s="20" t="s">
        <v>1771</v>
      </c>
      <c r="AH159" s="100">
        <v>14</v>
      </c>
      <c r="AI159" s="20" t="s">
        <v>1767</v>
      </c>
      <c r="AJ159" s="19" t="str">
        <f t="shared" si="34"/>
        <v>APROBADO</v>
      </c>
    </row>
    <row r="160" spans="1:36" ht="15" hidden="1" customHeight="1" x14ac:dyDescent="0.2">
      <c r="A160" s="9">
        <v>54</v>
      </c>
      <c r="B160" s="10">
        <v>162</v>
      </c>
      <c r="C160" s="10">
        <v>3</v>
      </c>
      <c r="D160" s="92" t="s">
        <v>1020</v>
      </c>
      <c r="E160" s="92" t="s">
        <v>1021</v>
      </c>
      <c r="F160" s="92" t="s">
        <v>34</v>
      </c>
      <c r="G160" s="92" t="s">
        <v>35</v>
      </c>
      <c r="H160" s="92" t="s">
        <v>141</v>
      </c>
      <c r="I160" s="92" t="s">
        <v>123</v>
      </c>
      <c r="J160" s="92" t="s">
        <v>38</v>
      </c>
      <c r="K160" s="93">
        <v>46200724</v>
      </c>
      <c r="L160" s="94" t="s">
        <v>40</v>
      </c>
      <c r="M160" s="95">
        <v>32933</v>
      </c>
      <c r="N160" s="96">
        <v>949742382</v>
      </c>
      <c r="O160" s="96" t="s">
        <v>1022</v>
      </c>
      <c r="P160" s="96" t="s">
        <v>1023</v>
      </c>
      <c r="Q160" s="96" t="s">
        <v>1019</v>
      </c>
      <c r="R160" s="97" t="s">
        <v>1019</v>
      </c>
      <c r="S160" s="96" t="s">
        <v>1011</v>
      </c>
      <c r="T160" s="96" t="s">
        <v>55</v>
      </c>
      <c r="U160" s="96" t="s">
        <v>55</v>
      </c>
      <c r="V160" s="98" t="s">
        <v>1024</v>
      </c>
      <c r="W160" s="99">
        <v>414987</v>
      </c>
      <c r="X160" s="98" t="s">
        <v>85</v>
      </c>
      <c r="Y160" s="94" t="str">
        <f t="shared" ref="Y160:Y161" si="37">IF(X160="NO","NO APLICA","ESCRIBA EL NOMBRE DEL IIEE")</f>
        <v>NO APLICA</v>
      </c>
      <c r="Z160" s="94" t="str">
        <f t="shared" ref="Z160:Z161" si="38">IF(Y160="NO APLICA","NO APLICA","ESCRIBA EL CÓDIGO MODULAR")</f>
        <v>NO APLICA</v>
      </c>
      <c r="AA160" s="97" t="s">
        <v>49</v>
      </c>
      <c r="AB160" s="100">
        <v>12</v>
      </c>
      <c r="AC160" s="73" t="s">
        <v>1771</v>
      </c>
      <c r="AD160" s="100">
        <v>16</v>
      </c>
      <c r="AE160" s="73" t="s">
        <v>1771</v>
      </c>
      <c r="AF160" s="100">
        <v>12</v>
      </c>
      <c r="AG160" s="20" t="s">
        <v>1771</v>
      </c>
      <c r="AH160" s="100">
        <v>11</v>
      </c>
      <c r="AI160" s="100" t="s">
        <v>1769</v>
      </c>
      <c r="AJ160" s="19" t="str">
        <f t="shared" si="34"/>
        <v>APROBADO</v>
      </c>
    </row>
    <row r="161" spans="1:37" ht="15" hidden="1" customHeight="1" x14ac:dyDescent="0.2">
      <c r="A161" s="9">
        <v>54</v>
      </c>
      <c r="B161" s="10">
        <v>172</v>
      </c>
      <c r="C161" s="10">
        <v>4</v>
      </c>
      <c r="D161" s="109" t="s">
        <v>1025</v>
      </c>
      <c r="E161" s="109" t="s">
        <v>1026</v>
      </c>
      <c r="F161" s="109" t="s">
        <v>34</v>
      </c>
      <c r="G161" s="109" t="s">
        <v>35</v>
      </c>
      <c r="H161" s="109" t="s">
        <v>101</v>
      </c>
      <c r="I161" s="109" t="s">
        <v>123</v>
      </c>
      <c r="J161" s="92" t="s">
        <v>38</v>
      </c>
      <c r="K161" s="110">
        <v>33344184</v>
      </c>
      <c r="L161" s="111" t="s">
        <v>40</v>
      </c>
      <c r="M161" s="112">
        <v>27322</v>
      </c>
      <c r="N161" s="97">
        <v>916754938</v>
      </c>
      <c r="O161" s="113" t="s">
        <v>1027</v>
      </c>
      <c r="P161" s="97" t="s">
        <v>1028</v>
      </c>
      <c r="Q161" s="97" t="s">
        <v>1010</v>
      </c>
      <c r="R161" s="97" t="s">
        <v>1010</v>
      </c>
      <c r="S161" s="96" t="s">
        <v>1011</v>
      </c>
      <c r="T161" s="96" t="s">
        <v>55</v>
      </c>
      <c r="U161" s="97" t="s">
        <v>55</v>
      </c>
      <c r="V161" s="114" t="s">
        <v>1024</v>
      </c>
      <c r="W161" s="99">
        <v>414987</v>
      </c>
      <c r="X161" s="114" t="s">
        <v>85</v>
      </c>
      <c r="Y161" s="94" t="str">
        <f t="shared" si="37"/>
        <v>NO APLICA</v>
      </c>
      <c r="Z161" s="94" t="str">
        <f t="shared" si="38"/>
        <v>NO APLICA</v>
      </c>
      <c r="AA161" s="97" t="s">
        <v>49</v>
      </c>
      <c r="AB161" s="100">
        <v>0</v>
      </c>
      <c r="AC161" s="100" t="s">
        <v>1772</v>
      </c>
      <c r="AD161" s="100">
        <v>0</v>
      </c>
      <c r="AE161" s="100" t="s">
        <v>1770</v>
      </c>
      <c r="AF161" s="100">
        <v>0</v>
      </c>
      <c r="AG161" s="100" t="s">
        <v>1770</v>
      </c>
      <c r="AH161" s="100">
        <v>0</v>
      </c>
      <c r="AI161" s="100" t="s">
        <v>1770</v>
      </c>
      <c r="AJ161" s="19" t="s">
        <v>70</v>
      </c>
    </row>
    <row r="162" spans="1:37" ht="15" hidden="1" customHeight="1" x14ac:dyDescent="0.2">
      <c r="A162" s="9">
        <v>54</v>
      </c>
      <c r="B162" s="10">
        <v>164</v>
      </c>
      <c r="C162" s="10">
        <v>5</v>
      </c>
      <c r="D162" s="92" t="s">
        <v>1029</v>
      </c>
      <c r="E162" s="92" t="s">
        <v>1030</v>
      </c>
      <c r="F162" s="92" t="s">
        <v>34</v>
      </c>
      <c r="G162" s="92" t="s">
        <v>35</v>
      </c>
      <c r="H162" s="92" t="s">
        <v>36</v>
      </c>
      <c r="I162" s="102" t="s">
        <v>132</v>
      </c>
      <c r="J162" s="92" t="s">
        <v>38</v>
      </c>
      <c r="K162" s="93">
        <v>31604694</v>
      </c>
      <c r="L162" s="94" t="s">
        <v>40</v>
      </c>
      <c r="M162" s="95">
        <v>24124</v>
      </c>
      <c r="N162" s="96">
        <v>943219467</v>
      </c>
      <c r="O162" s="96" t="s">
        <v>1031</v>
      </c>
      <c r="P162" s="96" t="s">
        <v>1032</v>
      </c>
      <c r="Q162" s="96" t="s">
        <v>1018</v>
      </c>
      <c r="R162" s="97" t="s">
        <v>1019</v>
      </c>
      <c r="S162" s="96" t="s">
        <v>1011</v>
      </c>
      <c r="T162" s="96" t="s">
        <v>55</v>
      </c>
      <c r="U162" s="96" t="s">
        <v>55</v>
      </c>
      <c r="V162" s="98" t="s">
        <v>1024</v>
      </c>
      <c r="W162" s="99">
        <v>414987</v>
      </c>
      <c r="X162" s="98" t="s">
        <v>48</v>
      </c>
      <c r="Y162" s="94" t="s">
        <v>1024</v>
      </c>
      <c r="Z162" s="94">
        <v>414987</v>
      </c>
      <c r="AA162" s="97" t="s">
        <v>49</v>
      </c>
      <c r="AB162" s="100">
        <v>13</v>
      </c>
      <c r="AC162" s="73" t="s">
        <v>1771</v>
      </c>
      <c r="AD162" s="100">
        <v>16</v>
      </c>
      <c r="AE162" s="73" t="s">
        <v>1771</v>
      </c>
      <c r="AF162" s="100">
        <v>15</v>
      </c>
      <c r="AG162" s="20" t="s">
        <v>1771</v>
      </c>
      <c r="AH162" s="100">
        <v>12</v>
      </c>
      <c r="AI162" s="20" t="s">
        <v>1767</v>
      </c>
      <c r="AJ162" s="19" t="str">
        <f t="shared" si="34"/>
        <v>APROBADO</v>
      </c>
    </row>
    <row r="163" spans="1:37" ht="15" hidden="1" customHeight="1" x14ac:dyDescent="0.2">
      <c r="A163" s="9">
        <v>54</v>
      </c>
      <c r="B163" s="10">
        <v>165</v>
      </c>
      <c r="C163" s="10">
        <v>6</v>
      </c>
      <c r="D163" s="92" t="s">
        <v>1033</v>
      </c>
      <c r="E163" s="92" t="s">
        <v>1034</v>
      </c>
      <c r="F163" s="92" t="s">
        <v>34</v>
      </c>
      <c r="G163" s="92" t="s">
        <v>61</v>
      </c>
      <c r="H163" s="92" t="s">
        <v>193</v>
      </c>
      <c r="I163" s="92" t="s">
        <v>102</v>
      </c>
      <c r="J163" s="92" t="s">
        <v>38</v>
      </c>
      <c r="K163" s="93">
        <v>46273947</v>
      </c>
      <c r="L163" s="94" t="s">
        <v>40</v>
      </c>
      <c r="M163" s="95">
        <v>31219</v>
      </c>
      <c r="N163" s="96">
        <v>963582538</v>
      </c>
      <c r="O163" s="96" t="s">
        <v>1035</v>
      </c>
      <c r="P163" s="96" t="s">
        <v>1036</v>
      </c>
      <c r="Q163" s="96" t="s">
        <v>1037</v>
      </c>
      <c r="R163" s="97" t="s">
        <v>1038</v>
      </c>
      <c r="S163" s="96" t="s">
        <v>1011</v>
      </c>
      <c r="T163" s="96" t="s">
        <v>55</v>
      </c>
      <c r="U163" s="96" t="s">
        <v>1039</v>
      </c>
      <c r="V163" s="98" t="s">
        <v>1024</v>
      </c>
      <c r="W163" s="99">
        <v>414987</v>
      </c>
      <c r="X163" s="98" t="s">
        <v>85</v>
      </c>
      <c r="Y163" s="94" t="str">
        <f t="shared" ref="Y163:Y164" si="39">IF(X163="NO","NO APLICA","ESCRIBA EL NOMBRE DEL IIEE")</f>
        <v>NO APLICA</v>
      </c>
      <c r="Z163" s="94" t="str">
        <f t="shared" ref="Z163:Z164" si="40">IF(Y163="NO APLICA","NO APLICA","ESCRIBA EL CÓDIGO MODULAR")</f>
        <v>NO APLICA</v>
      </c>
      <c r="AA163" s="97" t="s">
        <v>49</v>
      </c>
      <c r="AB163" s="100">
        <v>13</v>
      </c>
      <c r="AC163" s="73" t="s">
        <v>1771</v>
      </c>
      <c r="AD163" s="100">
        <v>16</v>
      </c>
      <c r="AE163" s="73" t="s">
        <v>1771</v>
      </c>
      <c r="AF163" s="100">
        <v>11</v>
      </c>
      <c r="AG163" s="100" t="s">
        <v>1768</v>
      </c>
      <c r="AH163" s="100">
        <v>11</v>
      </c>
      <c r="AI163" s="100" t="s">
        <v>1769</v>
      </c>
      <c r="AJ163" s="19" t="str">
        <f t="shared" si="34"/>
        <v>APROBADO</v>
      </c>
    </row>
    <row r="164" spans="1:37" ht="15" hidden="1" customHeight="1" x14ac:dyDescent="0.2">
      <c r="A164" s="9">
        <v>54</v>
      </c>
      <c r="B164" s="10">
        <v>161</v>
      </c>
      <c r="C164" s="10">
        <v>7</v>
      </c>
      <c r="D164" s="92" t="s">
        <v>1040</v>
      </c>
      <c r="E164" s="92" t="s">
        <v>1041</v>
      </c>
      <c r="F164" s="92" t="s">
        <v>34</v>
      </c>
      <c r="G164" s="92" t="s">
        <v>61</v>
      </c>
      <c r="H164" s="92" t="s">
        <v>193</v>
      </c>
      <c r="I164" s="92" t="s">
        <v>123</v>
      </c>
      <c r="J164" s="92" t="s">
        <v>38</v>
      </c>
      <c r="K164" s="93">
        <v>75129843</v>
      </c>
      <c r="L164" s="94" t="s">
        <v>40</v>
      </c>
      <c r="M164" s="95">
        <v>34985</v>
      </c>
      <c r="N164" s="96">
        <v>955610633</v>
      </c>
      <c r="O164" s="96" t="s">
        <v>1042</v>
      </c>
      <c r="P164" s="96" t="s">
        <v>1043</v>
      </c>
      <c r="Q164" s="96" t="s">
        <v>1044</v>
      </c>
      <c r="R164" s="97" t="s">
        <v>1045</v>
      </c>
      <c r="S164" s="96" t="s">
        <v>1045</v>
      </c>
      <c r="T164" s="96" t="s">
        <v>55</v>
      </c>
      <c r="U164" s="96" t="s">
        <v>358</v>
      </c>
      <c r="V164" s="98" t="s">
        <v>1012</v>
      </c>
      <c r="W164" s="99" t="s">
        <v>1012</v>
      </c>
      <c r="X164" s="98" t="s">
        <v>85</v>
      </c>
      <c r="Y164" s="94" t="str">
        <f t="shared" si="39"/>
        <v>NO APLICA</v>
      </c>
      <c r="Z164" s="94" t="str">
        <f t="shared" si="40"/>
        <v>NO APLICA</v>
      </c>
      <c r="AA164" s="97" t="s">
        <v>49</v>
      </c>
      <c r="AB164" s="100">
        <v>17</v>
      </c>
      <c r="AC164" s="73" t="s">
        <v>1771</v>
      </c>
      <c r="AD164" s="100">
        <v>16</v>
      </c>
      <c r="AE164" s="73" t="s">
        <v>1771</v>
      </c>
      <c r="AF164" s="100">
        <v>16</v>
      </c>
      <c r="AG164" s="20" t="s">
        <v>1771</v>
      </c>
      <c r="AH164" s="100">
        <v>14</v>
      </c>
      <c r="AI164" s="20" t="s">
        <v>1767</v>
      </c>
      <c r="AJ164" s="19" t="str">
        <f t="shared" si="34"/>
        <v>APROBADO</v>
      </c>
    </row>
    <row r="165" spans="1:37" ht="15" hidden="1" customHeight="1" x14ac:dyDescent="0.2">
      <c r="A165" s="9">
        <v>54</v>
      </c>
      <c r="B165" s="10">
        <v>171</v>
      </c>
      <c r="C165" s="10">
        <v>8</v>
      </c>
      <c r="D165" s="109" t="s">
        <v>1046</v>
      </c>
      <c r="E165" s="109" t="s">
        <v>1047</v>
      </c>
      <c r="F165" s="109" t="s">
        <v>60</v>
      </c>
      <c r="G165" s="109" t="s">
        <v>61</v>
      </c>
      <c r="H165" s="109" t="s">
        <v>62</v>
      </c>
      <c r="I165" s="109" t="s">
        <v>132</v>
      </c>
      <c r="J165" s="92" t="s">
        <v>38</v>
      </c>
      <c r="K165" s="110">
        <v>32382910</v>
      </c>
      <c r="L165" s="111" t="s">
        <v>40</v>
      </c>
      <c r="M165" s="112">
        <v>24119</v>
      </c>
      <c r="N165" s="97">
        <v>943325555</v>
      </c>
      <c r="O165" s="97" t="s">
        <v>1048</v>
      </c>
      <c r="P165" s="97" t="s">
        <v>1049</v>
      </c>
      <c r="Q165" s="97" t="s">
        <v>1050</v>
      </c>
      <c r="R165" s="97" t="s">
        <v>1051</v>
      </c>
      <c r="S165" s="96" t="s">
        <v>1011</v>
      </c>
      <c r="T165" s="96" t="s">
        <v>55</v>
      </c>
      <c r="U165" s="97" t="s">
        <v>55</v>
      </c>
      <c r="V165" s="114" t="s">
        <v>1024</v>
      </c>
      <c r="W165" s="99">
        <v>414987</v>
      </c>
      <c r="X165" s="114" t="s">
        <v>48</v>
      </c>
      <c r="Y165" s="94" t="s">
        <v>1024</v>
      </c>
      <c r="Z165" s="94">
        <v>414987</v>
      </c>
      <c r="AA165" s="97" t="s">
        <v>49</v>
      </c>
      <c r="AB165" s="100">
        <v>13</v>
      </c>
      <c r="AC165" s="73" t="s">
        <v>1771</v>
      </c>
      <c r="AD165" s="100">
        <v>14</v>
      </c>
      <c r="AE165" s="73" t="s">
        <v>1771</v>
      </c>
      <c r="AF165" s="100">
        <v>12</v>
      </c>
      <c r="AG165" s="20" t="s">
        <v>1771</v>
      </c>
      <c r="AH165" s="100">
        <v>12</v>
      </c>
      <c r="AI165" s="20" t="s">
        <v>1767</v>
      </c>
      <c r="AJ165" s="19" t="str">
        <f t="shared" si="34"/>
        <v>APROBADO</v>
      </c>
    </row>
    <row r="166" spans="1:37" ht="15" hidden="1" customHeight="1" x14ac:dyDescent="0.2">
      <c r="A166" s="9">
        <v>54</v>
      </c>
      <c r="B166" s="10">
        <v>159</v>
      </c>
      <c r="C166" s="10">
        <v>9</v>
      </c>
      <c r="D166" s="92" t="s">
        <v>1052</v>
      </c>
      <c r="E166" s="92" t="s">
        <v>1053</v>
      </c>
      <c r="F166" s="92" t="s">
        <v>34</v>
      </c>
      <c r="G166" s="92" t="s">
        <v>35</v>
      </c>
      <c r="H166" s="92" t="s">
        <v>73</v>
      </c>
      <c r="I166" s="102" t="s">
        <v>1015</v>
      </c>
      <c r="J166" s="92" t="s">
        <v>38</v>
      </c>
      <c r="K166" s="93">
        <v>31659730</v>
      </c>
      <c r="L166" s="94" t="s">
        <v>40</v>
      </c>
      <c r="M166" s="95">
        <v>25968</v>
      </c>
      <c r="N166" s="96">
        <v>963672224</v>
      </c>
      <c r="O166" s="96" t="s">
        <v>1054</v>
      </c>
      <c r="P166" s="96" t="s">
        <v>1055</v>
      </c>
      <c r="Q166" s="96" t="s">
        <v>1018</v>
      </c>
      <c r="R166" s="97" t="s">
        <v>1019</v>
      </c>
      <c r="S166" s="96" t="s">
        <v>1011</v>
      </c>
      <c r="T166" s="98" t="s">
        <v>1056</v>
      </c>
      <c r="U166" s="98" t="s">
        <v>689</v>
      </c>
      <c r="V166" s="98" t="s">
        <v>1057</v>
      </c>
      <c r="W166" s="99">
        <v>541201</v>
      </c>
      <c r="X166" s="98" t="s">
        <v>85</v>
      </c>
      <c r="Y166" s="94" t="str">
        <f>IF(X166="NO","NO APLICA","ESCRIBA EL NOMBRE DEL IIEE")</f>
        <v>NO APLICA</v>
      </c>
      <c r="Z166" s="94" t="str">
        <f>IF(Y166="NO APLICA","NO APLICA","ESCRIBA EL CÓDIGO MODULAR")</f>
        <v>NO APLICA</v>
      </c>
      <c r="AA166" s="97" t="s">
        <v>49</v>
      </c>
      <c r="AB166" s="100">
        <v>14</v>
      </c>
      <c r="AC166" s="73" t="s">
        <v>1771</v>
      </c>
      <c r="AD166" s="100">
        <v>14</v>
      </c>
      <c r="AE166" s="73" t="s">
        <v>1771</v>
      </c>
      <c r="AF166" s="100">
        <v>13</v>
      </c>
      <c r="AG166" s="20" t="s">
        <v>1771</v>
      </c>
      <c r="AH166" s="100">
        <v>11</v>
      </c>
      <c r="AI166" s="100" t="s">
        <v>1769</v>
      </c>
      <c r="AJ166" s="19" t="str">
        <f t="shared" si="34"/>
        <v>APROBADO</v>
      </c>
    </row>
    <row r="167" spans="1:37" ht="15" hidden="1" customHeight="1" x14ac:dyDescent="0.2">
      <c r="A167" s="9">
        <v>54</v>
      </c>
      <c r="B167" s="10">
        <v>169</v>
      </c>
      <c r="C167" s="10">
        <v>10</v>
      </c>
      <c r="D167" s="92" t="s">
        <v>1058</v>
      </c>
      <c r="E167" s="92" t="s">
        <v>1059</v>
      </c>
      <c r="F167" s="92" t="s">
        <v>34</v>
      </c>
      <c r="G167" s="92" t="s">
        <v>35</v>
      </c>
      <c r="H167" s="92" t="s">
        <v>73</v>
      </c>
      <c r="I167" s="102" t="s">
        <v>1015</v>
      </c>
      <c r="J167" s="92" t="s">
        <v>38</v>
      </c>
      <c r="K167" s="93">
        <v>32404263</v>
      </c>
      <c r="L167" s="94" t="s">
        <v>40</v>
      </c>
      <c r="M167" s="95">
        <v>27179</v>
      </c>
      <c r="N167" s="96">
        <v>985678194</v>
      </c>
      <c r="O167" s="96" t="s">
        <v>1060</v>
      </c>
      <c r="P167" s="96" t="s">
        <v>1061</v>
      </c>
      <c r="Q167" s="96" t="s">
        <v>1018</v>
      </c>
      <c r="R167" s="97" t="s">
        <v>1019</v>
      </c>
      <c r="S167" s="96" t="s">
        <v>1011</v>
      </c>
      <c r="T167" s="96" t="s">
        <v>55</v>
      </c>
      <c r="U167" s="96" t="s">
        <v>1062</v>
      </c>
      <c r="V167" s="98" t="s">
        <v>1063</v>
      </c>
      <c r="W167" s="99">
        <v>1678879</v>
      </c>
      <c r="X167" s="98" t="s">
        <v>48</v>
      </c>
      <c r="Y167" s="94" t="s">
        <v>1063</v>
      </c>
      <c r="Z167" s="94">
        <v>1678879</v>
      </c>
      <c r="AA167" s="97" t="s">
        <v>190</v>
      </c>
      <c r="AB167" s="100">
        <v>15</v>
      </c>
      <c r="AC167" s="73" t="s">
        <v>1771</v>
      </c>
      <c r="AD167" s="100">
        <v>16</v>
      </c>
      <c r="AE167" s="73" t="s">
        <v>1771</v>
      </c>
      <c r="AF167" s="100">
        <v>16</v>
      </c>
      <c r="AG167" s="20" t="s">
        <v>1771</v>
      </c>
      <c r="AH167" s="100">
        <v>12</v>
      </c>
      <c r="AI167" s="100" t="s">
        <v>1767</v>
      </c>
      <c r="AJ167" s="19" t="str">
        <f t="shared" si="34"/>
        <v>APROBADO</v>
      </c>
    </row>
    <row r="168" spans="1:37" ht="15" hidden="1" customHeight="1" x14ac:dyDescent="0.2">
      <c r="A168" s="9">
        <v>54</v>
      </c>
      <c r="B168" s="10">
        <v>166</v>
      </c>
      <c r="C168" s="10">
        <v>11</v>
      </c>
      <c r="D168" s="92" t="s">
        <v>1064</v>
      </c>
      <c r="E168" s="92" t="s">
        <v>1065</v>
      </c>
      <c r="F168" s="92" t="s">
        <v>34</v>
      </c>
      <c r="G168" s="92" t="s">
        <v>35</v>
      </c>
      <c r="H168" s="92" t="s">
        <v>36</v>
      </c>
      <c r="I168" s="102" t="s">
        <v>1015</v>
      </c>
      <c r="J168" s="92" t="s">
        <v>38</v>
      </c>
      <c r="K168" s="93">
        <v>71322121</v>
      </c>
      <c r="L168" s="94" t="s">
        <v>40</v>
      </c>
      <c r="M168" s="95">
        <v>35304</v>
      </c>
      <c r="N168" s="96">
        <v>931255522</v>
      </c>
      <c r="O168" s="96" t="s">
        <v>1066</v>
      </c>
      <c r="P168" s="96" t="s">
        <v>1067</v>
      </c>
      <c r="Q168" s="96" t="s">
        <v>1010</v>
      </c>
      <c r="R168" s="97" t="s">
        <v>1010</v>
      </c>
      <c r="S168" s="96" t="s">
        <v>1011</v>
      </c>
      <c r="T168" s="96" t="s">
        <v>55</v>
      </c>
      <c r="U168" s="96" t="s">
        <v>1062</v>
      </c>
      <c r="V168" s="98" t="s">
        <v>1057</v>
      </c>
      <c r="W168" s="99">
        <v>1376318</v>
      </c>
      <c r="X168" s="98" t="s">
        <v>85</v>
      </c>
      <c r="Y168" s="94" t="str">
        <f>IF(X168="NO","NO APLICA","ESCRIBA EL NOMBRE DEL IIEE")</f>
        <v>NO APLICA</v>
      </c>
      <c r="Z168" s="94" t="str">
        <f>IF(Y168="NO APLICA","NO APLICA","ESCRIBA EL CÓDIGO MODULAR")</f>
        <v>NO APLICA</v>
      </c>
      <c r="AA168" s="97" t="s">
        <v>190</v>
      </c>
      <c r="AB168" s="100">
        <v>16</v>
      </c>
      <c r="AC168" s="73" t="s">
        <v>1771</v>
      </c>
      <c r="AD168" s="100">
        <v>16</v>
      </c>
      <c r="AE168" s="73" t="s">
        <v>1771</v>
      </c>
      <c r="AF168" s="100">
        <v>15</v>
      </c>
      <c r="AG168" s="20" t="s">
        <v>1771</v>
      </c>
      <c r="AH168" s="100">
        <v>11</v>
      </c>
      <c r="AI168" s="100" t="s">
        <v>1769</v>
      </c>
      <c r="AJ168" s="19" t="str">
        <f t="shared" si="34"/>
        <v>APROBADO</v>
      </c>
    </row>
    <row r="169" spans="1:37" ht="15" hidden="1" customHeight="1" x14ac:dyDescent="0.2">
      <c r="A169" s="9">
        <v>54</v>
      </c>
      <c r="B169" s="10">
        <v>167</v>
      </c>
      <c r="C169" s="10">
        <v>12</v>
      </c>
      <c r="D169" s="92" t="s">
        <v>1068</v>
      </c>
      <c r="E169" s="92" t="s">
        <v>1069</v>
      </c>
      <c r="F169" s="92" t="s">
        <v>34</v>
      </c>
      <c r="G169" s="92" t="s">
        <v>35</v>
      </c>
      <c r="H169" s="92" t="s">
        <v>36</v>
      </c>
      <c r="I169" s="92" t="s">
        <v>102</v>
      </c>
      <c r="J169" s="92" t="s">
        <v>38</v>
      </c>
      <c r="K169" s="93">
        <v>71564428</v>
      </c>
      <c r="L169" s="94" t="s">
        <v>40</v>
      </c>
      <c r="M169" s="95">
        <v>33427</v>
      </c>
      <c r="N169" s="96">
        <v>928038697</v>
      </c>
      <c r="O169" s="96" t="s">
        <v>1070</v>
      </c>
      <c r="P169" s="96" t="s">
        <v>1071</v>
      </c>
      <c r="Q169" s="96" t="s">
        <v>1010</v>
      </c>
      <c r="R169" s="97" t="s">
        <v>1010</v>
      </c>
      <c r="S169" s="96" t="s">
        <v>1011</v>
      </c>
      <c r="T169" s="96" t="s">
        <v>55</v>
      </c>
      <c r="U169" s="96" t="s">
        <v>1062</v>
      </c>
      <c r="V169" s="98" t="s">
        <v>1024</v>
      </c>
      <c r="W169" s="99">
        <v>1376268</v>
      </c>
      <c r="X169" s="98" t="s">
        <v>48</v>
      </c>
      <c r="Y169" s="94" t="s">
        <v>1024</v>
      </c>
      <c r="Z169" s="94">
        <v>1376268</v>
      </c>
      <c r="AA169" s="97" t="s">
        <v>190</v>
      </c>
      <c r="AB169" s="100">
        <v>0</v>
      </c>
      <c r="AC169" s="100" t="s">
        <v>1772</v>
      </c>
      <c r="AD169" s="100">
        <v>0</v>
      </c>
      <c r="AE169" s="100" t="s">
        <v>1770</v>
      </c>
      <c r="AF169" s="100">
        <v>0</v>
      </c>
      <c r="AG169" s="100" t="s">
        <v>1770</v>
      </c>
      <c r="AH169" s="100">
        <v>0</v>
      </c>
      <c r="AI169" s="100" t="s">
        <v>1770</v>
      </c>
      <c r="AJ169" s="19" t="s">
        <v>70</v>
      </c>
    </row>
    <row r="170" spans="1:37" ht="15" hidden="1" customHeight="1" x14ac:dyDescent="0.2">
      <c r="A170" s="9">
        <v>54</v>
      </c>
      <c r="B170" s="10">
        <v>158</v>
      </c>
      <c r="C170" s="10">
        <v>13</v>
      </c>
      <c r="D170" s="92" t="s">
        <v>1072</v>
      </c>
      <c r="E170" s="92" t="s">
        <v>1073</v>
      </c>
      <c r="F170" s="92" t="s">
        <v>34</v>
      </c>
      <c r="G170" s="92" t="s">
        <v>61</v>
      </c>
      <c r="H170" s="92" t="s">
        <v>193</v>
      </c>
      <c r="I170" s="92" t="s">
        <v>132</v>
      </c>
      <c r="J170" s="92" t="s">
        <v>38</v>
      </c>
      <c r="K170" s="93">
        <v>32387017</v>
      </c>
      <c r="L170" s="94" t="s">
        <v>40</v>
      </c>
      <c r="M170" s="95">
        <v>25154</v>
      </c>
      <c r="N170" s="96">
        <v>995071772</v>
      </c>
      <c r="O170" s="96" t="s">
        <v>1074</v>
      </c>
      <c r="P170" s="96" t="s">
        <v>1075</v>
      </c>
      <c r="Q170" s="96" t="s">
        <v>1076</v>
      </c>
      <c r="R170" s="97" t="s">
        <v>1051</v>
      </c>
      <c r="S170" s="96" t="s">
        <v>1011</v>
      </c>
      <c r="T170" s="96" t="s">
        <v>55</v>
      </c>
      <c r="U170" s="96" t="s">
        <v>55</v>
      </c>
      <c r="V170" s="98" t="s">
        <v>1077</v>
      </c>
      <c r="W170" s="99">
        <v>520221</v>
      </c>
      <c r="X170" s="98" t="s">
        <v>48</v>
      </c>
      <c r="Y170" s="94" t="s">
        <v>1077</v>
      </c>
      <c r="Z170" s="94">
        <v>520221</v>
      </c>
      <c r="AA170" s="97" t="s">
        <v>49</v>
      </c>
      <c r="AB170" s="100">
        <v>13</v>
      </c>
      <c r="AC170" s="73" t="s">
        <v>1771</v>
      </c>
      <c r="AD170" s="100">
        <v>13</v>
      </c>
      <c r="AE170" s="73" t="s">
        <v>1771</v>
      </c>
      <c r="AF170" s="100">
        <v>12</v>
      </c>
      <c r="AG170" s="20" t="s">
        <v>1771</v>
      </c>
      <c r="AH170" s="100">
        <v>11</v>
      </c>
      <c r="AI170" s="100" t="s">
        <v>1768</v>
      </c>
      <c r="AJ170" s="19" t="str">
        <f t="shared" si="34"/>
        <v>APROBADO</v>
      </c>
    </row>
    <row r="171" spans="1:37" ht="15" hidden="1" customHeight="1" x14ac:dyDescent="0.2">
      <c r="A171" s="9">
        <v>54</v>
      </c>
      <c r="B171" s="10">
        <v>157</v>
      </c>
      <c r="C171" s="10">
        <v>14</v>
      </c>
      <c r="D171" s="92" t="s">
        <v>1078</v>
      </c>
      <c r="E171" s="92" t="s">
        <v>1079</v>
      </c>
      <c r="F171" s="92" t="s">
        <v>34</v>
      </c>
      <c r="G171" s="92" t="s">
        <v>61</v>
      </c>
      <c r="H171" s="92" t="s">
        <v>193</v>
      </c>
      <c r="I171" s="92" t="s">
        <v>132</v>
      </c>
      <c r="J171" s="92" t="s">
        <v>38</v>
      </c>
      <c r="K171" s="93">
        <v>40534975</v>
      </c>
      <c r="L171" s="94" t="s">
        <v>40</v>
      </c>
      <c r="M171" s="95">
        <v>28735</v>
      </c>
      <c r="N171" s="96">
        <v>935780524</v>
      </c>
      <c r="O171" s="96" t="s">
        <v>1080</v>
      </c>
      <c r="P171" s="96" t="s">
        <v>1081</v>
      </c>
      <c r="Q171" s="96" t="s">
        <v>1082</v>
      </c>
      <c r="R171" s="97" t="s">
        <v>1010</v>
      </c>
      <c r="S171" s="96" t="s">
        <v>1011</v>
      </c>
      <c r="T171" s="96" t="s">
        <v>55</v>
      </c>
      <c r="U171" s="98" t="s">
        <v>1083</v>
      </c>
      <c r="V171" s="98" t="s">
        <v>1077</v>
      </c>
      <c r="W171" s="99">
        <v>520221</v>
      </c>
      <c r="X171" s="98" t="s">
        <v>48</v>
      </c>
      <c r="Y171" s="94" t="s">
        <v>1077</v>
      </c>
      <c r="Z171" s="94">
        <v>520221</v>
      </c>
      <c r="AA171" s="97" t="s">
        <v>49</v>
      </c>
      <c r="AB171" s="100">
        <v>18</v>
      </c>
      <c r="AC171" s="73" t="s">
        <v>1771</v>
      </c>
      <c r="AD171" s="100">
        <v>16</v>
      </c>
      <c r="AE171" s="73" t="s">
        <v>1771</v>
      </c>
      <c r="AF171" s="100">
        <v>18</v>
      </c>
      <c r="AG171" s="20" t="s">
        <v>1771</v>
      </c>
      <c r="AH171" s="100">
        <v>13</v>
      </c>
      <c r="AI171" s="100" t="s">
        <v>1767</v>
      </c>
      <c r="AJ171" s="19" t="str">
        <f t="shared" si="34"/>
        <v>APROBADO</v>
      </c>
    </row>
    <row r="172" spans="1:37" ht="15" hidden="1" customHeight="1" x14ac:dyDescent="0.2">
      <c r="A172" s="9">
        <v>54</v>
      </c>
      <c r="B172" s="10">
        <v>168</v>
      </c>
      <c r="C172" s="10">
        <v>15</v>
      </c>
      <c r="D172" s="92" t="s">
        <v>1084</v>
      </c>
      <c r="E172" s="92" t="s">
        <v>1085</v>
      </c>
      <c r="F172" s="92" t="s">
        <v>34</v>
      </c>
      <c r="G172" s="92" t="s">
        <v>35</v>
      </c>
      <c r="H172" s="92" t="s">
        <v>36</v>
      </c>
      <c r="I172" s="92" t="s">
        <v>102</v>
      </c>
      <c r="J172" s="92" t="s">
        <v>38</v>
      </c>
      <c r="K172" s="93">
        <v>76417008</v>
      </c>
      <c r="L172" s="94" t="s">
        <v>40</v>
      </c>
      <c r="M172" s="95">
        <v>34893</v>
      </c>
      <c r="N172" s="96" t="s">
        <v>1086</v>
      </c>
      <c r="O172" s="96" t="s">
        <v>1087</v>
      </c>
      <c r="P172" s="96" t="s">
        <v>1088</v>
      </c>
      <c r="Q172" s="96" t="s">
        <v>1009</v>
      </c>
      <c r="R172" s="97" t="s">
        <v>1010</v>
      </c>
      <c r="S172" s="96" t="s">
        <v>1011</v>
      </c>
      <c r="T172" s="96" t="s">
        <v>45</v>
      </c>
      <c r="U172" s="96" t="s">
        <v>55</v>
      </c>
      <c r="V172" s="98" t="s">
        <v>1024</v>
      </c>
      <c r="W172" s="99">
        <v>1376268</v>
      </c>
      <c r="X172" s="98" t="s">
        <v>85</v>
      </c>
      <c r="Y172" s="94" t="str">
        <f>IF(X172="NO","NO APLICA","ESCRIBA EL NOMBRE DEL IIEE")</f>
        <v>NO APLICA</v>
      </c>
      <c r="Z172" s="94" t="str">
        <f>IF(Y172="NO APLICA","NO APLICA","ESCRIBA EL CÓDIGO MODULAR")</f>
        <v>NO APLICA</v>
      </c>
      <c r="AA172" s="97" t="s">
        <v>190</v>
      </c>
      <c r="AB172" s="100">
        <v>14</v>
      </c>
      <c r="AC172" s="73" t="s">
        <v>1771</v>
      </c>
      <c r="AD172" s="100">
        <v>15</v>
      </c>
      <c r="AE172" s="73" t="s">
        <v>1771</v>
      </c>
      <c r="AF172" s="100">
        <v>12</v>
      </c>
      <c r="AG172" s="20" t="s">
        <v>1771</v>
      </c>
      <c r="AH172" s="100">
        <v>11</v>
      </c>
      <c r="AI172" s="100" t="s">
        <v>1768</v>
      </c>
      <c r="AJ172" s="19" t="str">
        <f t="shared" si="34"/>
        <v>APROBADO</v>
      </c>
    </row>
    <row r="173" spans="1:37" ht="15" hidden="1" customHeight="1" x14ac:dyDescent="0.2">
      <c r="A173" s="9">
        <v>54</v>
      </c>
      <c r="B173" s="10">
        <v>160</v>
      </c>
      <c r="C173" s="10">
        <v>16</v>
      </c>
      <c r="D173" s="92" t="s">
        <v>1089</v>
      </c>
      <c r="E173" s="92" t="s">
        <v>1090</v>
      </c>
      <c r="F173" s="92" t="s">
        <v>34</v>
      </c>
      <c r="G173" s="92" t="s">
        <v>35</v>
      </c>
      <c r="H173" s="92" t="s">
        <v>101</v>
      </c>
      <c r="I173" s="102" t="s">
        <v>1015</v>
      </c>
      <c r="J173" s="92" t="s">
        <v>38</v>
      </c>
      <c r="K173" s="93">
        <v>41616674</v>
      </c>
      <c r="L173" s="94" t="s">
        <v>40</v>
      </c>
      <c r="M173" s="95">
        <v>30211</v>
      </c>
      <c r="N173" s="96">
        <v>957997079</v>
      </c>
      <c r="O173" s="96" t="s">
        <v>1091</v>
      </c>
      <c r="P173" s="96" t="s">
        <v>1092</v>
      </c>
      <c r="Q173" s="96" t="s">
        <v>1093</v>
      </c>
      <c r="R173" s="97" t="s">
        <v>1051</v>
      </c>
      <c r="S173" s="96" t="s">
        <v>1011</v>
      </c>
      <c r="T173" s="96" t="s">
        <v>55</v>
      </c>
      <c r="U173" s="96" t="s">
        <v>55</v>
      </c>
      <c r="V173" s="98" t="s">
        <v>1057</v>
      </c>
      <c r="W173" s="99">
        <v>541201</v>
      </c>
      <c r="X173" s="98" t="s">
        <v>48</v>
      </c>
      <c r="Y173" s="94" t="s">
        <v>1094</v>
      </c>
      <c r="Z173" s="94">
        <v>818682</v>
      </c>
      <c r="AA173" s="97" t="s">
        <v>49</v>
      </c>
      <c r="AB173" s="100">
        <v>13</v>
      </c>
      <c r="AC173" s="73" t="s">
        <v>1771</v>
      </c>
      <c r="AD173" s="100">
        <v>13</v>
      </c>
      <c r="AE173" s="73" t="s">
        <v>1771</v>
      </c>
      <c r="AF173" s="100">
        <v>13</v>
      </c>
      <c r="AG173" s="20" t="s">
        <v>1771</v>
      </c>
      <c r="AH173" s="100">
        <v>11</v>
      </c>
      <c r="AI173" s="100" t="s">
        <v>1768</v>
      </c>
      <c r="AJ173" s="19" t="str">
        <f t="shared" si="34"/>
        <v>APROBADO</v>
      </c>
    </row>
    <row r="174" spans="1:37" ht="15" hidden="1" customHeight="1" x14ac:dyDescent="0.2">
      <c r="A174" s="9">
        <v>72</v>
      </c>
      <c r="B174" s="10">
        <v>174</v>
      </c>
      <c r="C174" s="10">
        <v>1</v>
      </c>
      <c r="D174" s="115" t="s">
        <v>1095</v>
      </c>
      <c r="E174" s="115" t="s">
        <v>1096</v>
      </c>
      <c r="F174" s="115" t="s">
        <v>34</v>
      </c>
      <c r="G174" s="115" t="s">
        <v>35</v>
      </c>
      <c r="H174" s="115" t="s">
        <v>36</v>
      </c>
      <c r="I174" s="115" t="s">
        <v>123</v>
      </c>
      <c r="J174" s="115" t="s">
        <v>38</v>
      </c>
      <c r="K174" s="116" t="s">
        <v>1097</v>
      </c>
      <c r="L174" s="116" t="s">
        <v>40</v>
      </c>
      <c r="M174" s="117">
        <v>27214</v>
      </c>
      <c r="N174" s="115">
        <v>954979505</v>
      </c>
      <c r="O174" s="118" t="s">
        <v>1098</v>
      </c>
      <c r="P174" s="115" t="s">
        <v>1099</v>
      </c>
      <c r="Q174" s="115" t="s">
        <v>1100</v>
      </c>
      <c r="R174" s="115" t="s">
        <v>1101</v>
      </c>
      <c r="S174" s="115" t="s">
        <v>1102</v>
      </c>
      <c r="T174" s="115" t="s">
        <v>55</v>
      </c>
      <c r="U174" s="115" t="s">
        <v>1103</v>
      </c>
      <c r="V174" s="119" t="s">
        <v>1104</v>
      </c>
      <c r="W174" s="120">
        <v>595082</v>
      </c>
      <c r="X174" s="121" t="s">
        <v>48</v>
      </c>
      <c r="Y174" s="122" t="s">
        <v>1104</v>
      </c>
      <c r="Z174" s="123">
        <v>595082</v>
      </c>
      <c r="AA174" s="115" t="s">
        <v>1105</v>
      </c>
      <c r="AB174" s="124">
        <v>9</v>
      </c>
      <c r="AC174" s="222" t="s">
        <v>1769</v>
      </c>
      <c r="AD174" s="124">
        <v>9</v>
      </c>
      <c r="AE174" s="222" t="s">
        <v>1769</v>
      </c>
      <c r="AF174" s="124">
        <v>4</v>
      </c>
      <c r="AG174" s="100" t="s">
        <v>1770</v>
      </c>
      <c r="AH174" s="124">
        <v>0</v>
      </c>
      <c r="AI174" s="124" t="s">
        <v>1770</v>
      </c>
      <c r="AJ174" s="219" t="s">
        <v>70</v>
      </c>
      <c r="AK174" s="217" t="s">
        <v>70</v>
      </c>
    </row>
    <row r="175" spans="1:37" ht="15" hidden="1" customHeight="1" x14ac:dyDescent="0.2">
      <c r="A175" s="9">
        <v>72</v>
      </c>
      <c r="B175" s="10">
        <v>187</v>
      </c>
      <c r="C175" s="10">
        <v>2</v>
      </c>
      <c r="D175" s="115" t="s">
        <v>1106</v>
      </c>
      <c r="E175" s="115" t="s">
        <v>1107</v>
      </c>
      <c r="F175" s="115" t="s">
        <v>60</v>
      </c>
      <c r="G175" s="115" t="s">
        <v>61</v>
      </c>
      <c r="H175" s="115" t="s">
        <v>62</v>
      </c>
      <c r="I175" s="115" t="s">
        <v>1108</v>
      </c>
      <c r="J175" s="115" t="s">
        <v>38</v>
      </c>
      <c r="K175" s="116" t="s">
        <v>1109</v>
      </c>
      <c r="L175" s="116" t="s">
        <v>40</v>
      </c>
      <c r="M175" s="125">
        <v>27241</v>
      </c>
      <c r="N175" s="115">
        <v>974736470</v>
      </c>
      <c r="O175" s="115" t="s">
        <v>1110</v>
      </c>
      <c r="P175" s="115" t="s">
        <v>1111</v>
      </c>
      <c r="Q175" s="115" t="s">
        <v>1112</v>
      </c>
      <c r="R175" s="115" t="s">
        <v>1101</v>
      </c>
      <c r="S175" s="115" t="s">
        <v>1102</v>
      </c>
      <c r="T175" s="115" t="s">
        <v>55</v>
      </c>
      <c r="U175" s="115" t="s">
        <v>1113</v>
      </c>
      <c r="V175" s="121" t="s">
        <v>1114</v>
      </c>
      <c r="W175" s="120">
        <v>272773</v>
      </c>
      <c r="X175" s="121" t="s">
        <v>48</v>
      </c>
      <c r="Y175" s="123" t="s">
        <v>1114</v>
      </c>
      <c r="Z175" s="123">
        <v>272773</v>
      </c>
      <c r="AA175" s="115" t="s">
        <v>1115</v>
      </c>
      <c r="AB175" s="124">
        <v>0</v>
      </c>
      <c r="AC175" s="222" t="s">
        <v>1770</v>
      </c>
      <c r="AD175" s="124">
        <v>0</v>
      </c>
      <c r="AE175" s="222" t="s">
        <v>1770</v>
      </c>
      <c r="AF175" s="124">
        <v>0</v>
      </c>
      <c r="AG175" s="100" t="s">
        <v>1770</v>
      </c>
      <c r="AH175" s="124">
        <v>0</v>
      </c>
      <c r="AI175" s="124" t="s">
        <v>1770</v>
      </c>
      <c r="AJ175" s="219" t="s">
        <v>70</v>
      </c>
      <c r="AK175" s="217" t="s">
        <v>70</v>
      </c>
    </row>
    <row r="176" spans="1:37" ht="15" hidden="1" customHeight="1" x14ac:dyDescent="0.2">
      <c r="A176" s="9">
        <v>72</v>
      </c>
      <c r="B176" s="10">
        <v>193</v>
      </c>
      <c r="C176" s="10">
        <v>3</v>
      </c>
      <c r="D176" s="115" t="s">
        <v>1116</v>
      </c>
      <c r="E176" s="115" t="s">
        <v>1117</v>
      </c>
      <c r="F176" s="115" t="s">
        <v>34</v>
      </c>
      <c r="G176" s="115" t="s">
        <v>35</v>
      </c>
      <c r="H176" s="115" t="s">
        <v>36</v>
      </c>
      <c r="I176" s="115" t="s">
        <v>123</v>
      </c>
      <c r="J176" s="115" t="s">
        <v>38</v>
      </c>
      <c r="K176" s="116" t="s">
        <v>1118</v>
      </c>
      <c r="L176" s="116" t="s">
        <v>40</v>
      </c>
      <c r="M176" s="125">
        <v>24919</v>
      </c>
      <c r="N176" s="115">
        <v>961572833</v>
      </c>
      <c r="O176" s="115" t="s">
        <v>1119</v>
      </c>
      <c r="P176" s="115" t="s">
        <v>1120</v>
      </c>
      <c r="Q176" s="115" t="s">
        <v>1112</v>
      </c>
      <c r="R176" s="115" t="s">
        <v>1101</v>
      </c>
      <c r="S176" s="115" t="s">
        <v>1102</v>
      </c>
      <c r="T176" s="115" t="s">
        <v>55</v>
      </c>
      <c r="U176" s="115" t="s">
        <v>1103</v>
      </c>
      <c r="V176" s="119" t="s">
        <v>1121</v>
      </c>
      <c r="W176" s="120">
        <v>271379</v>
      </c>
      <c r="X176" s="121" t="s">
        <v>48</v>
      </c>
      <c r="Y176" s="122" t="s">
        <v>1122</v>
      </c>
      <c r="Z176" s="123">
        <v>666677</v>
      </c>
      <c r="AA176" s="115" t="s">
        <v>1115</v>
      </c>
      <c r="AB176" s="124">
        <v>14</v>
      </c>
      <c r="AC176" s="73" t="s">
        <v>1771</v>
      </c>
      <c r="AD176" s="124">
        <v>14</v>
      </c>
      <c r="AE176" s="73" t="s">
        <v>1771</v>
      </c>
      <c r="AF176" s="124">
        <v>17</v>
      </c>
      <c r="AG176" s="20" t="s">
        <v>1771</v>
      </c>
      <c r="AH176" s="124">
        <v>15</v>
      </c>
      <c r="AI176" s="124" t="s">
        <v>1767</v>
      </c>
      <c r="AJ176" s="19" t="str">
        <f t="shared" si="34"/>
        <v>APROBADO</v>
      </c>
      <c r="AK176" s="217" t="s">
        <v>50</v>
      </c>
    </row>
    <row r="177" spans="1:40" ht="15" hidden="1" customHeight="1" x14ac:dyDescent="0.2">
      <c r="A177" s="9">
        <v>72</v>
      </c>
      <c r="B177" s="10">
        <v>192</v>
      </c>
      <c r="C177" s="10">
        <v>4</v>
      </c>
      <c r="D177" s="115" t="s">
        <v>1123</v>
      </c>
      <c r="E177" s="115" t="s">
        <v>1124</v>
      </c>
      <c r="F177" s="115" t="s">
        <v>34</v>
      </c>
      <c r="G177" s="115" t="s">
        <v>35</v>
      </c>
      <c r="H177" s="115" t="s">
        <v>890</v>
      </c>
      <c r="I177" s="115" t="s">
        <v>123</v>
      </c>
      <c r="J177" s="115" t="s">
        <v>38</v>
      </c>
      <c r="K177" s="116" t="s">
        <v>1125</v>
      </c>
      <c r="L177" s="116" t="s">
        <v>40</v>
      </c>
      <c r="M177" s="125">
        <v>24598</v>
      </c>
      <c r="N177" s="115">
        <v>967017353</v>
      </c>
      <c r="O177" s="115" t="s">
        <v>1126</v>
      </c>
      <c r="P177" s="115" t="s">
        <v>1127</v>
      </c>
      <c r="Q177" s="115" t="s">
        <v>1128</v>
      </c>
      <c r="R177" s="115" t="s">
        <v>1101</v>
      </c>
      <c r="S177" s="115" t="s">
        <v>1102</v>
      </c>
      <c r="T177" s="115" t="s">
        <v>55</v>
      </c>
      <c r="U177" s="115" t="s">
        <v>1129</v>
      </c>
      <c r="V177" s="119" t="s">
        <v>1121</v>
      </c>
      <c r="W177" s="120">
        <v>271379</v>
      </c>
      <c r="X177" s="121" t="s">
        <v>48</v>
      </c>
      <c r="Y177" s="122" t="s">
        <v>1121</v>
      </c>
      <c r="Z177" s="123">
        <v>271379</v>
      </c>
      <c r="AA177" s="115" t="s">
        <v>1115</v>
      </c>
      <c r="AB177" s="124">
        <v>16</v>
      </c>
      <c r="AC177" s="73" t="s">
        <v>1771</v>
      </c>
      <c r="AD177" s="124">
        <v>16</v>
      </c>
      <c r="AE177" s="73" t="s">
        <v>1771</v>
      </c>
      <c r="AF177" s="124">
        <v>16</v>
      </c>
      <c r="AG177" s="20" t="s">
        <v>1771</v>
      </c>
      <c r="AH177" s="124">
        <v>15</v>
      </c>
      <c r="AI177" s="124" t="s">
        <v>1767</v>
      </c>
      <c r="AJ177" s="19" t="str">
        <f t="shared" si="34"/>
        <v>APROBADO</v>
      </c>
      <c r="AK177" s="217" t="s">
        <v>50</v>
      </c>
    </row>
    <row r="178" spans="1:40" ht="15" hidden="1" customHeight="1" x14ac:dyDescent="0.2">
      <c r="A178" s="9">
        <v>72</v>
      </c>
      <c r="B178" s="10">
        <v>185</v>
      </c>
      <c r="C178" s="10">
        <v>5</v>
      </c>
      <c r="D178" s="115" t="s">
        <v>1130</v>
      </c>
      <c r="E178" s="115" t="s">
        <v>1131</v>
      </c>
      <c r="F178" s="115" t="s">
        <v>60</v>
      </c>
      <c r="G178" s="115" t="s">
        <v>61</v>
      </c>
      <c r="H178" s="115" t="s">
        <v>193</v>
      </c>
      <c r="I178" s="115" t="s">
        <v>1108</v>
      </c>
      <c r="J178" s="115" t="s">
        <v>38</v>
      </c>
      <c r="K178" s="116" t="s">
        <v>1132</v>
      </c>
      <c r="L178" s="116" t="s">
        <v>40</v>
      </c>
      <c r="M178" s="125">
        <v>26645</v>
      </c>
      <c r="N178" s="115">
        <v>920701451</v>
      </c>
      <c r="O178" s="118" t="s">
        <v>1133</v>
      </c>
      <c r="P178" s="115" t="s">
        <v>1134</v>
      </c>
      <c r="Q178" s="115" t="s">
        <v>1135</v>
      </c>
      <c r="R178" s="115" t="s">
        <v>1101</v>
      </c>
      <c r="S178" s="115" t="s">
        <v>1102</v>
      </c>
      <c r="T178" s="115" t="s">
        <v>55</v>
      </c>
      <c r="U178" s="115" t="s">
        <v>1113</v>
      </c>
      <c r="V178" s="121" t="s">
        <v>1136</v>
      </c>
      <c r="W178" s="120">
        <v>733535</v>
      </c>
      <c r="X178" s="121" t="s">
        <v>85</v>
      </c>
      <c r="Y178" s="123" t="str">
        <f t="shared" ref="Y178:Y179" si="41">IF(X178="NO","NO APLICA","ESCRIBA EL NOMBRE DEL IIEE")</f>
        <v>NO APLICA</v>
      </c>
      <c r="Z178" s="123" t="str">
        <f t="shared" ref="Z178:Z179" si="42">IF(Y178="NO APLICA","NO APLICA","ESCRIBA EL CÓDIGO MODULAR")</f>
        <v>NO APLICA</v>
      </c>
      <c r="AA178" s="115" t="s">
        <v>1115</v>
      </c>
      <c r="AB178" s="124">
        <v>9</v>
      </c>
      <c r="AC178" s="222" t="s">
        <v>1769</v>
      </c>
      <c r="AD178" s="124">
        <v>9</v>
      </c>
      <c r="AE178" s="222" t="s">
        <v>1769</v>
      </c>
      <c r="AF178" s="124">
        <v>4</v>
      </c>
      <c r="AG178" s="100" t="s">
        <v>1770</v>
      </c>
      <c r="AH178" s="124">
        <v>0</v>
      </c>
      <c r="AI178" s="124" t="s">
        <v>1770</v>
      </c>
      <c r="AJ178" s="219" t="s">
        <v>70</v>
      </c>
      <c r="AK178" s="217" t="s">
        <v>70</v>
      </c>
    </row>
    <row r="179" spans="1:40" ht="15" hidden="1" customHeight="1" x14ac:dyDescent="0.2">
      <c r="A179" s="9">
        <v>72</v>
      </c>
      <c r="B179" s="10">
        <v>175</v>
      </c>
      <c r="C179" s="10">
        <v>6</v>
      </c>
      <c r="D179" s="115" t="s">
        <v>1137</v>
      </c>
      <c r="E179" s="115" t="s">
        <v>1138</v>
      </c>
      <c r="F179" s="115" t="s">
        <v>34</v>
      </c>
      <c r="G179" s="115" t="s">
        <v>35</v>
      </c>
      <c r="H179" s="115" t="s">
        <v>36</v>
      </c>
      <c r="I179" s="115" t="s">
        <v>123</v>
      </c>
      <c r="J179" s="115" t="s">
        <v>38</v>
      </c>
      <c r="K179" s="116" t="s">
        <v>1139</v>
      </c>
      <c r="L179" s="116" t="s">
        <v>40</v>
      </c>
      <c r="M179" s="117">
        <v>24309</v>
      </c>
      <c r="N179" s="115">
        <v>983975008</v>
      </c>
      <c r="O179" s="118" t="s">
        <v>1140</v>
      </c>
      <c r="P179" s="115" t="s">
        <v>1141</v>
      </c>
      <c r="Q179" s="115" t="s">
        <v>1142</v>
      </c>
      <c r="R179" s="115" t="s">
        <v>1101</v>
      </c>
      <c r="S179" s="115" t="s">
        <v>1102</v>
      </c>
      <c r="T179" s="115" t="s">
        <v>45</v>
      </c>
      <c r="U179" s="115" t="s">
        <v>1129</v>
      </c>
      <c r="V179" s="121" t="s">
        <v>1143</v>
      </c>
      <c r="W179" s="120">
        <v>1625938</v>
      </c>
      <c r="X179" s="121" t="s">
        <v>85</v>
      </c>
      <c r="Y179" s="123" t="str">
        <f t="shared" si="41"/>
        <v>NO APLICA</v>
      </c>
      <c r="Z179" s="123" t="str">
        <f t="shared" si="42"/>
        <v>NO APLICA</v>
      </c>
      <c r="AA179" s="115" t="s">
        <v>1105</v>
      </c>
      <c r="AB179" s="124">
        <v>9</v>
      </c>
      <c r="AC179" s="222" t="s">
        <v>1769</v>
      </c>
      <c r="AD179" s="124">
        <v>9</v>
      </c>
      <c r="AE179" s="222" t="s">
        <v>1769</v>
      </c>
      <c r="AF179" s="124">
        <v>4</v>
      </c>
      <c r="AG179" s="100" t="s">
        <v>1770</v>
      </c>
      <c r="AH179" s="124">
        <v>2</v>
      </c>
      <c r="AI179" s="124" t="s">
        <v>1770</v>
      </c>
      <c r="AJ179" s="219" t="s">
        <v>70</v>
      </c>
      <c r="AK179" s="217" t="s">
        <v>70</v>
      </c>
    </row>
    <row r="180" spans="1:40" ht="15" hidden="1" customHeight="1" x14ac:dyDescent="0.2">
      <c r="A180" s="9">
        <v>72</v>
      </c>
      <c r="B180" s="10">
        <v>198</v>
      </c>
      <c r="C180" s="10">
        <v>7</v>
      </c>
      <c r="D180" s="115" t="s">
        <v>1144</v>
      </c>
      <c r="E180" s="115" t="s">
        <v>1145</v>
      </c>
      <c r="F180" s="115" t="s">
        <v>34</v>
      </c>
      <c r="G180" s="115" t="s">
        <v>35</v>
      </c>
      <c r="H180" s="115" t="s">
        <v>36</v>
      </c>
      <c r="I180" s="115" t="s">
        <v>123</v>
      </c>
      <c r="J180" s="115" t="s">
        <v>38</v>
      </c>
      <c r="K180" s="116" t="s">
        <v>1146</v>
      </c>
      <c r="L180" s="116" t="s">
        <v>40</v>
      </c>
      <c r="M180" s="125">
        <v>28797</v>
      </c>
      <c r="N180" s="115">
        <v>981901306</v>
      </c>
      <c r="O180" s="118" t="s">
        <v>1147</v>
      </c>
      <c r="P180" s="115" t="s">
        <v>1148</v>
      </c>
      <c r="Q180" s="115" t="s">
        <v>1128</v>
      </c>
      <c r="R180" s="115" t="s">
        <v>1101</v>
      </c>
      <c r="S180" s="115" t="s">
        <v>1102</v>
      </c>
      <c r="T180" s="115" t="s">
        <v>55</v>
      </c>
      <c r="U180" s="115" t="s">
        <v>1103</v>
      </c>
      <c r="V180" s="119" t="s">
        <v>1149</v>
      </c>
      <c r="W180" s="120">
        <v>275107</v>
      </c>
      <c r="X180" s="121" t="s">
        <v>48</v>
      </c>
      <c r="Y180" s="122" t="s">
        <v>1121</v>
      </c>
      <c r="Z180" s="123">
        <v>271379</v>
      </c>
      <c r="AA180" s="115" t="s">
        <v>1115</v>
      </c>
      <c r="AB180" s="124">
        <v>15</v>
      </c>
      <c r="AC180" s="73" t="s">
        <v>1771</v>
      </c>
      <c r="AD180" s="124">
        <v>15</v>
      </c>
      <c r="AE180" s="73" t="s">
        <v>1771</v>
      </c>
      <c r="AF180" s="124">
        <v>15</v>
      </c>
      <c r="AG180" s="20" t="s">
        <v>1771</v>
      </c>
      <c r="AH180" s="124">
        <v>13</v>
      </c>
      <c r="AI180" s="124" t="s">
        <v>1767</v>
      </c>
      <c r="AJ180" s="19" t="str">
        <f t="shared" si="34"/>
        <v>APROBADO</v>
      </c>
      <c r="AK180" s="217" t="s">
        <v>50</v>
      </c>
    </row>
    <row r="181" spans="1:40" ht="15" hidden="1" customHeight="1" x14ac:dyDescent="0.25">
      <c r="A181" s="9">
        <v>72</v>
      </c>
      <c r="B181" s="10">
        <v>194</v>
      </c>
      <c r="C181" s="10">
        <v>8</v>
      </c>
      <c r="D181" s="115" t="s">
        <v>176</v>
      </c>
      <c r="E181" s="115" t="s">
        <v>1150</v>
      </c>
      <c r="F181" s="115" t="s">
        <v>34</v>
      </c>
      <c r="G181" s="115" t="s">
        <v>35</v>
      </c>
      <c r="H181" s="115" t="s">
        <v>36</v>
      </c>
      <c r="I181" s="115" t="s">
        <v>123</v>
      </c>
      <c r="J181" s="115" t="s">
        <v>38</v>
      </c>
      <c r="K181" s="116" t="s">
        <v>1151</v>
      </c>
      <c r="L181" s="116" t="s">
        <v>40</v>
      </c>
      <c r="M181" s="125">
        <v>26396</v>
      </c>
      <c r="N181" s="115">
        <v>957356158</v>
      </c>
      <c r="O181" s="115" t="s">
        <v>1152</v>
      </c>
      <c r="P181" s="115" t="s">
        <v>1153</v>
      </c>
      <c r="Q181" s="115" t="s">
        <v>1128</v>
      </c>
      <c r="R181" s="115" t="s">
        <v>1101</v>
      </c>
      <c r="S181" s="115" t="s">
        <v>1102</v>
      </c>
      <c r="T181" s="115" t="s">
        <v>55</v>
      </c>
      <c r="U181" s="115" t="s">
        <v>1103</v>
      </c>
      <c r="V181" s="119" t="s">
        <v>1121</v>
      </c>
      <c r="W181" s="120">
        <v>271379</v>
      </c>
      <c r="X181" s="121" t="s">
        <v>48</v>
      </c>
      <c r="Y181" s="126" t="s">
        <v>1154</v>
      </c>
      <c r="Z181" s="123">
        <v>657122</v>
      </c>
      <c r="AA181" s="115" t="s">
        <v>1115</v>
      </c>
      <c r="AB181" s="124">
        <v>15</v>
      </c>
      <c r="AC181" s="73" t="s">
        <v>1771</v>
      </c>
      <c r="AD181" s="124">
        <v>15</v>
      </c>
      <c r="AE181" s="73" t="s">
        <v>1771</v>
      </c>
      <c r="AF181" s="124">
        <v>14</v>
      </c>
      <c r="AG181" s="20" t="s">
        <v>1771</v>
      </c>
      <c r="AH181" s="124">
        <v>14</v>
      </c>
      <c r="AI181" s="124" t="s">
        <v>1767</v>
      </c>
      <c r="AJ181" s="19" t="str">
        <f t="shared" si="34"/>
        <v>APROBADO</v>
      </c>
      <c r="AK181" s="217" t="s">
        <v>50</v>
      </c>
    </row>
    <row r="182" spans="1:40" ht="15" hidden="1" customHeight="1" x14ac:dyDescent="0.2">
      <c r="A182" s="9">
        <v>72</v>
      </c>
      <c r="B182" s="10">
        <v>173</v>
      </c>
      <c r="C182" s="10">
        <v>9</v>
      </c>
      <c r="D182" s="115" t="s">
        <v>1155</v>
      </c>
      <c r="E182" s="115" t="s">
        <v>1156</v>
      </c>
      <c r="F182" s="115" t="s">
        <v>34</v>
      </c>
      <c r="G182" s="115" t="s">
        <v>35</v>
      </c>
      <c r="H182" s="115" t="s">
        <v>36</v>
      </c>
      <c r="I182" s="115" t="s">
        <v>1157</v>
      </c>
      <c r="J182" s="115" t="s">
        <v>38</v>
      </c>
      <c r="K182" s="116" t="s">
        <v>1158</v>
      </c>
      <c r="L182" s="116" t="s">
        <v>40</v>
      </c>
      <c r="M182" s="125">
        <v>28008</v>
      </c>
      <c r="N182" s="115">
        <v>954565253</v>
      </c>
      <c r="O182" s="115" t="s">
        <v>1159</v>
      </c>
      <c r="P182" s="115" t="s">
        <v>1160</v>
      </c>
      <c r="Q182" s="115" t="s">
        <v>1100</v>
      </c>
      <c r="R182" s="115" t="s">
        <v>1101</v>
      </c>
      <c r="S182" s="115" t="s">
        <v>1102</v>
      </c>
      <c r="T182" s="115" t="s">
        <v>55</v>
      </c>
      <c r="U182" s="115" t="s">
        <v>1103</v>
      </c>
      <c r="V182" s="121" t="s">
        <v>1143</v>
      </c>
      <c r="W182" s="120">
        <v>1625904</v>
      </c>
      <c r="X182" s="121" t="s">
        <v>48</v>
      </c>
      <c r="Y182" s="123" t="s">
        <v>1161</v>
      </c>
      <c r="Z182" s="123">
        <v>1568799</v>
      </c>
      <c r="AA182" s="115" t="s">
        <v>1105</v>
      </c>
      <c r="AB182" s="124">
        <v>13</v>
      </c>
      <c r="AC182" s="73" t="s">
        <v>1771</v>
      </c>
      <c r="AD182" s="124">
        <v>13</v>
      </c>
      <c r="AE182" s="73" t="s">
        <v>1771</v>
      </c>
      <c r="AF182" s="124">
        <v>13</v>
      </c>
      <c r="AG182" s="20" t="s">
        <v>1771</v>
      </c>
      <c r="AH182" s="124">
        <v>14</v>
      </c>
      <c r="AI182" s="124" t="s">
        <v>1767</v>
      </c>
      <c r="AJ182" s="19" t="str">
        <f t="shared" ref="AJ182:AJ209" si="43">IF(AND(AB182&gt;=11,AD182&gt;=11,AF182&gt;=11,AH182&gt;=11),"APROBADO","DESAPROBADO")</f>
        <v>APROBADO</v>
      </c>
      <c r="AK182" s="217" t="s">
        <v>50</v>
      </c>
    </row>
    <row r="183" spans="1:40" ht="15" hidden="1" customHeight="1" x14ac:dyDescent="0.2">
      <c r="A183" s="9">
        <v>72</v>
      </c>
      <c r="B183" s="10">
        <v>191</v>
      </c>
      <c r="C183" s="10">
        <v>10</v>
      </c>
      <c r="D183" s="115" t="s">
        <v>1162</v>
      </c>
      <c r="E183" s="115" t="s">
        <v>1163</v>
      </c>
      <c r="F183" s="115" t="s">
        <v>34</v>
      </c>
      <c r="G183" s="115" t="s">
        <v>35</v>
      </c>
      <c r="H183" s="115" t="s">
        <v>36</v>
      </c>
      <c r="I183" s="115" t="s">
        <v>123</v>
      </c>
      <c r="J183" s="115" t="s">
        <v>38</v>
      </c>
      <c r="K183" s="116" t="s">
        <v>1164</v>
      </c>
      <c r="L183" s="116" t="s">
        <v>40</v>
      </c>
      <c r="M183" s="125">
        <v>27313</v>
      </c>
      <c r="N183" s="115">
        <v>973875407</v>
      </c>
      <c r="O183" s="115" t="s">
        <v>1165</v>
      </c>
      <c r="P183" s="115" t="s">
        <v>1166</v>
      </c>
      <c r="Q183" s="115" t="s">
        <v>1128</v>
      </c>
      <c r="R183" s="115" t="s">
        <v>1101</v>
      </c>
      <c r="S183" s="115" t="s">
        <v>1102</v>
      </c>
      <c r="T183" s="115" t="s">
        <v>55</v>
      </c>
      <c r="U183" s="115" t="s">
        <v>1129</v>
      </c>
      <c r="V183" s="119" t="s">
        <v>1167</v>
      </c>
      <c r="W183" s="120">
        <v>830885</v>
      </c>
      <c r="X183" s="121" t="s">
        <v>48</v>
      </c>
      <c r="Y183" s="122" t="s">
        <v>1167</v>
      </c>
      <c r="Z183" s="123">
        <v>830885</v>
      </c>
      <c r="AA183" s="115" t="s">
        <v>1115</v>
      </c>
      <c r="AB183" s="124">
        <v>15</v>
      </c>
      <c r="AC183" s="73" t="s">
        <v>1771</v>
      </c>
      <c r="AD183" s="124">
        <v>15</v>
      </c>
      <c r="AE183" s="73" t="s">
        <v>1771</v>
      </c>
      <c r="AF183" s="124">
        <v>14</v>
      </c>
      <c r="AG183" s="20" t="s">
        <v>1771</v>
      </c>
      <c r="AH183" s="124">
        <v>17</v>
      </c>
      <c r="AI183" s="124" t="s">
        <v>1767</v>
      </c>
      <c r="AJ183" s="19" t="str">
        <f t="shared" si="43"/>
        <v>APROBADO</v>
      </c>
      <c r="AK183" s="217" t="s">
        <v>50</v>
      </c>
    </row>
    <row r="184" spans="1:40" ht="15" hidden="1" customHeight="1" x14ac:dyDescent="0.2">
      <c r="A184" s="9">
        <v>72</v>
      </c>
      <c r="B184" s="10">
        <v>195</v>
      </c>
      <c r="C184" s="10">
        <v>11</v>
      </c>
      <c r="D184" s="115" t="s">
        <v>1168</v>
      </c>
      <c r="E184" s="115" t="s">
        <v>1169</v>
      </c>
      <c r="F184" s="115" t="s">
        <v>34</v>
      </c>
      <c r="G184" s="115" t="s">
        <v>35</v>
      </c>
      <c r="H184" s="115" t="s">
        <v>36</v>
      </c>
      <c r="I184" s="115" t="s">
        <v>1108</v>
      </c>
      <c r="J184" s="115" t="s">
        <v>38</v>
      </c>
      <c r="K184" s="116" t="s">
        <v>1170</v>
      </c>
      <c r="L184" s="116" t="s">
        <v>40</v>
      </c>
      <c r="M184" s="125">
        <v>24098</v>
      </c>
      <c r="N184" s="115">
        <v>961529496</v>
      </c>
      <c r="O184" s="118" t="s">
        <v>1171</v>
      </c>
      <c r="P184" s="115" t="s">
        <v>1172</v>
      </c>
      <c r="Q184" s="115" t="s">
        <v>1100</v>
      </c>
      <c r="R184" s="115" t="s">
        <v>1101</v>
      </c>
      <c r="S184" s="115" t="s">
        <v>1102</v>
      </c>
      <c r="T184" s="115" t="s">
        <v>55</v>
      </c>
      <c r="U184" s="115" t="s">
        <v>1103</v>
      </c>
      <c r="V184" s="121" t="s">
        <v>1114</v>
      </c>
      <c r="W184" s="120">
        <v>272773</v>
      </c>
      <c r="X184" s="121" t="s">
        <v>48</v>
      </c>
      <c r="Y184" s="123" t="s">
        <v>1114</v>
      </c>
      <c r="Z184" s="123">
        <v>272773</v>
      </c>
      <c r="AA184" s="115" t="s">
        <v>1115</v>
      </c>
      <c r="AB184" s="124">
        <v>14</v>
      </c>
      <c r="AC184" s="73" t="s">
        <v>1771</v>
      </c>
      <c r="AD184" s="124">
        <v>14</v>
      </c>
      <c r="AE184" s="73" t="s">
        <v>1771</v>
      </c>
      <c r="AF184" s="124">
        <v>15</v>
      </c>
      <c r="AG184" s="20" t="s">
        <v>1771</v>
      </c>
      <c r="AH184" s="124">
        <v>14</v>
      </c>
      <c r="AI184" s="124" t="s">
        <v>1767</v>
      </c>
      <c r="AJ184" s="19" t="str">
        <f t="shared" si="43"/>
        <v>APROBADO</v>
      </c>
      <c r="AK184" s="217" t="s">
        <v>50</v>
      </c>
    </row>
    <row r="185" spans="1:40" ht="15" hidden="1" customHeight="1" x14ac:dyDescent="0.2">
      <c r="A185" s="9">
        <v>72</v>
      </c>
      <c r="B185" s="10">
        <v>176</v>
      </c>
      <c r="C185" s="10">
        <v>12</v>
      </c>
      <c r="D185" s="115" t="s">
        <v>1173</v>
      </c>
      <c r="E185" s="115" t="s">
        <v>1174</v>
      </c>
      <c r="F185" s="115" t="s">
        <v>155</v>
      </c>
      <c r="G185" s="115" t="s">
        <v>35</v>
      </c>
      <c r="H185" s="115" t="s">
        <v>1175</v>
      </c>
      <c r="I185" s="115" t="s">
        <v>37</v>
      </c>
      <c r="J185" s="115" t="s">
        <v>38</v>
      </c>
      <c r="K185" s="116" t="s">
        <v>1176</v>
      </c>
      <c r="L185" s="116" t="s">
        <v>40</v>
      </c>
      <c r="M185" s="125">
        <v>32249</v>
      </c>
      <c r="N185" s="115">
        <v>966190013</v>
      </c>
      <c r="O185" s="118" t="s">
        <v>1177</v>
      </c>
      <c r="P185" s="115" t="s">
        <v>1178</v>
      </c>
      <c r="Q185" s="115" t="s">
        <v>1142</v>
      </c>
      <c r="R185" s="115" t="s">
        <v>1101</v>
      </c>
      <c r="S185" s="115" t="s">
        <v>1102</v>
      </c>
      <c r="T185" s="115" t="s">
        <v>45</v>
      </c>
      <c r="U185" s="115" t="s">
        <v>1129</v>
      </c>
      <c r="V185" s="127" t="s">
        <v>1179</v>
      </c>
      <c r="W185" s="120">
        <v>1626001</v>
      </c>
      <c r="X185" s="128" t="s">
        <v>85</v>
      </c>
      <c r="Y185" s="123" t="str">
        <f t="shared" ref="Y185:Y186" si="44">IF(X185="NO","NO APLICA","ESCRIBA EL NOMBRE DEL IIEE")</f>
        <v>NO APLICA</v>
      </c>
      <c r="Z185" s="123" t="str">
        <f t="shared" ref="Z185:Z186" si="45">IF(Y185="NO APLICA","NO APLICA","ESCRIBA EL CÓDIGO MODULAR")</f>
        <v>NO APLICA</v>
      </c>
      <c r="AA185" s="115" t="s">
        <v>1105</v>
      </c>
      <c r="AB185" s="124">
        <v>13</v>
      </c>
      <c r="AC185" s="73" t="s">
        <v>1771</v>
      </c>
      <c r="AD185" s="124">
        <v>13</v>
      </c>
      <c r="AE185" s="73" t="s">
        <v>1771</v>
      </c>
      <c r="AF185" s="124">
        <v>4</v>
      </c>
      <c r="AG185" s="124" t="s">
        <v>1770</v>
      </c>
      <c r="AH185" s="124">
        <v>8</v>
      </c>
      <c r="AI185" s="124" t="s">
        <v>1768</v>
      </c>
      <c r="AJ185" s="19" t="str">
        <f t="shared" si="43"/>
        <v>DESAPROBADO</v>
      </c>
      <c r="AK185" s="217" t="s">
        <v>57</v>
      </c>
    </row>
    <row r="186" spans="1:40" ht="15" hidden="1" customHeight="1" x14ac:dyDescent="0.2">
      <c r="A186" s="9">
        <v>72</v>
      </c>
      <c r="B186" s="10">
        <v>178</v>
      </c>
      <c r="C186" s="10">
        <v>13</v>
      </c>
      <c r="D186" s="115" t="s">
        <v>1180</v>
      </c>
      <c r="E186" s="115" t="s">
        <v>1181</v>
      </c>
      <c r="F186" s="115" t="s">
        <v>34</v>
      </c>
      <c r="G186" s="115" t="s">
        <v>35</v>
      </c>
      <c r="H186" s="115" t="s">
        <v>1175</v>
      </c>
      <c r="I186" s="115" t="s">
        <v>1108</v>
      </c>
      <c r="J186" s="115" t="s">
        <v>38</v>
      </c>
      <c r="K186" s="116" t="s">
        <v>1182</v>
      </c>
      <c r="L186" s="116" t="s">
        <v>40</v>
      </c>
      <c r="M186" s="117">
        <v>27899</v>
      </c>
      <c r="N186" s="115">
        <v>961260147</v>
      </c>
      <c r="O186" s="118" t="s">
        <v>1183</v>
      </c>
      <c r="P186" s="115" t="s">
        <v>1184</v>
      </c>
      <c r="Q186" s="115" t="s">
        <v>1142</v>
      </c>
      <c r="R186" s="115" t="s">
        <v>1101</v>
      </c>
      <c r="S186" s="115" t="s">
        <v>1102</v>
      </c>
      <c r="T186" s="115" t="s">
        <v>45</v>
      </c>
      <c r="U186" s="115" t="s">
        <v>1129</v>
      </c>
      <c r="V186" s="121" t="s">
        <v>1143</v>
      </c>
      <c r="W186" s="120">
        <v>1625904</v>
      </c>
      <c r="X186" s="121" t="s">
        <v>85</v>
      </c>
      <c r="Y186" s="123" t="str">
        <f t="shared" si="44"/>
        <v>NO APLICA</v>
      </c>
      <c r="Z186" s="123" t="str">
        <f t="shared" si="45"/>
        <v>NO APLICA</v>
      </c>
      <c r="AA186" s="115" t="s">
        <v>1105</v>
      </c>
      <c r="AB186" s="124">
        <v>11</v>
      </c>
      <c r="AC186" s="222" t="s">
        <v>1769</v>
      </c>
      <c r="AD186" s="124">
        <v>11</v>
      </c>
      <c r="AE186" s="222" t="s">
        <v>1769</v>
      </c>
      <c r="AF186" s="124">
        <v>5</v>
      </c>
      <c r="AG186" s="124" t="s">
        <v>1770</v>
      </c>
      <c r="AH186" s="124">
        <v>0</v>
      </c>
      <c r="AI186" s="124" t="s">
        <v>1770</v>
      </c>
      <c r="AJ186" s="219" t="s">
        <v>70</v>
      </c>
      <c r="AK186" s="217" t="s">
        <v>70</v>
      </c>
    </row>
    <row r="187" spans="1:40" ht="15" hidden="1" customHeight="1" x14ac:dyDescent="0.2">
      <c r="A187" s="9">
        <v>72</v>
      </c>
      <c r="B187" s="10">
        <v>197</v>
      </c>
      <c r="C187" s="10">
        <v>14</v>
      </c>
      <c r="D187" s="115" t="s">
        <v>1185</v>
      </c>
      <c r="E187" s="115" t="s">
        <v>1186</v>
      </c>
      <c r="F187" s="115" t="s">
        <v>60</v>
      </c>
      <c r="G187" s="115" t="s">
        <v>61</v>
      </c>
      <c r="H187" s="115" t="s">
        <v>62</v>
      </c>
      <c r="I187" s="115" t="s">
        <v>1108</v>
      </c>
      <c r="J187" s="115" t="s">
        <v>38</v>
      </c>
      <c r="K187" s="116" t="s">
        <v>1187</v>
      </c>
      <c r="L187" s="116" t="s">
        <v>40</v>
      </c>
      <c r="M187" s="125">
        <v>28122</v>
      </c>
      <c r="N187" s="115">
        <v>981799846</v>
      </c>
      <c r="O187" s="115" t="s">
        <v>1188</v>
      </c>
      <c r="P187" s="115" t="s">
        <v>1184</v>
      </c>
      <c r="Q187" s="115" t="s">
        <v>1142</v>
      </c>
      <c r="R187" s="115" t="s">
        <v>1101</v>
      </c>
      <c r="S187" s="115" t="s">
        <v>1102</v>
      </c>
      <c r="T187" s="115" t="s">
        <v>55</v>
      </c>
      <c r="U187" s="115" t="s">
        <v>1113</v>
      </c>
      <c r="V187" s="121" t="s">
        <v>1136</v>
      </c>
      <c r="W187" s="120">
        <v>733535</v>
      </c>
      <c r="X187" s="121" t="s">
        <v>48</v>
      </c>
      <c r="Y187" s="123" t="s">
        <v>1136</v>
      </c>
      <c r="Z187" s="123">
        <v>733535</v>
      </c>
      <c r="AA187" s="115" t="s">
        <v>1115</v>
      </c>
      <c r="AB187" s="124">
        <v>15</v>
      </c>
      <c r="AC187" s="73" t="s">
        <v>1771</v>
      </c>
      <c r="AD187" s="124">
        <v>15</v>
      </c>
      <c r="AE187" s="73" t="s">
        <v>1771</v>
      </c>
      <c r="AF187" s="124">
        <v>13</v>
      </c>
      <c r="AG187" s="20" t="s">
        <v>1771</v>
      </c>
      <c r="AH187" s="124">
        <v>13</v>
      </c>
      <c r="AI187" s="124" t="s">
        <v>1767</v>
      </c>
      <c r="AJ187" s="19" t="str">
        <f t="shared" si="43"/>
        <v>APROBADO</v>
      </c>
      <c r="AK187" s="217" t="s">
        <v>50</v>
      </c>
    </row>
    <row r="188" spans="1:40" ht="15" hidden="1" customHeight="1" x14ac:dyDescent="0.2">
      <c r="A188" s="9">
        <v>72</v>
      </c>
      <c r="B188" s="10">
        <v>203</v>
      </c>
      <c r="C188" s="10">
        <v>15</v>
      </c>
      <c r="D188" s="115" t="s">
        <v>1189</v>
      </c>
      <c r="E188" s="115" t="s">
        <v>1190</v>
      </c>
      <c r="F188" s="115" t="s">
        <v>60</v>
      </c>
      <c r="G188" s="115" t="s">
        <v>61</v>
      </c>
      <c r="H188" s="115" t="s">
        <v>62</v>
      </c>
      <c r="I188" s="115" t="s">
        <v>123</v>
      </c>
      <c r="J188" s="115" t="s">
        <v>38</v>
      </c>
      <c r="K188" s="116" t="s">
        <v>1191</v>
      </c>
      <c r="L188" s="116" t="s">
        <v>40</v>
      </c>
      <c r="M188" s="125">
        <v>29345</v>
      </c>
      <c r="N188" s="115">
        <v>926202363</v>
      </c>
      <c r="O188" s="115" t="s">
        <v>1192</v>
      </c>
      <c r="P188" s="115" t="s">
        <v>1193</v>
      </c>
      <c r="Q188" s="115" t="s">
        <v>1112</v>
      </c>
      <c r="R188" s="115" t="s">
        <v>1101</v>
      </c>
      <c r="S188" s="115" t="s">
        <v>1102</v>
      </c>
      <c r="T188" s="115" t="s">
        <v>55</v>
      </c>
      <c r="U188" s="115" t="s">
        <v>1194</v>
      </c>
      <c r="V188" s="121" t="s">
        <v>1195</v>
      </c>
      <c r="W188" s="120" t="s">
        <v>1195</v>
      </c>
      <c r="X188" s="121" t="s">
        <v>85</v>
      </c>
      <c r="Y188" s="123" t="str">
        <f>IF(X188="NO","NO APLICA","ESCRIBA EL NOMBRE DEL IIEE")</f>
        <v>NO APLICA</v>
      </c>
      <c r="Z188" s="123" t="str">
        <f>IF(Y188="NO APLICA","NO APLICA","ESCRIBA EL CÓDIGO MODULAR")</f>
        <v>NO APLICA</v>
      </c>
      <c r="AA188" s="115" t="s">
        <v>1115</v>
      </c>
      <c r="AB188" s="124">
        <v>9</v>
      </c>
      <c r="AC188" s="222" t="s">
        <v>1769</v>
      </c>
      <c r="AD188" s="124">
        <v>9</v>
      </c>
      <c r="AE188" s="222" t="s">
        <v>1769</v>
      </c>
      <c r="AF188" s="124">
        <v>3</v>
      </c>
      <c r="AG188" s="124" t="s">
        <v>1770</v>
      </c>
      <c r="AH188" s="124">
        <v>0</v>
      </c>
      <c r="AI188" s="124" t="s">
        <v>1770</v>
      </c>
      <c r="AJ188" s="219" t="s">
        <v>70</v>
      </c>
      <c r="AK188" s="217" t="s">
        <v>70</v>
      </c>
    </row>
    <row r="189" spans="1:40" ht="15" hidden="1" customHeight="1" x14ac:dyDescent="0.2">
      <c r="A189" s="9">
        <v>72</v>
      </c>
      <c r="B189" s="10">
        <v>180</v>
      </c>
      <c r="C189" s="10">
        <v>16</v>
      </c>
      <c r="D189" s="115" t="s">
        <v>1196</v>
      </c>
      <c r="E189" s="115" t="s">
        <v>1197</v>
      </c>
      <c r="F189" s="115" t="s">
        <v>34</v>
      </c>
      <c r="G189" s="115" t="s">
        <v>35</v>
      </c>
      <c r="H189" s="115" t="s">
        <v>36</v>
      </c>
      <c r="I189" s="115" t="s">
        <v>1108</v>
      </c>
      <c r="J189" s="115" t="s">
        <v>38</v>
      </c>
      <c r="K189" s="116" t="s">
        <v>1198</v>
      </c>
      <c r="L189" s="116" t="s">
        <v>40</v>
      </c>
      <c r="M189" s="117">
        <v>29530</v>
      </c>
      <c r="N189" s="115">
        <v>980384642</v>
      </c>
      <c r="O189" s="118" t="s">
        <v>1199</v>
      </c>
      <c r="P189" s="115" t="s">
        <v>1200</v>
      </c>
      <c r="Q189" s="115" t="s">
        <v>1142</v>
      </c>
      <c r="R189" s="115" t="s">
        <v>1101</v>
      </c>
      <c r="S189" s="115" t="s">
        <v>1102</v>
      </c>
      <c r="T189" s="115" t="s">
        <v>55</v>
      </c>
      <c r="U189" s="115" t="s">
        <v>1103</v>
      </c>
      <c r="V189" s="121" t="s">
        <v>1161</v>
      </c>
      <c r="W189" s="120">
        <v>1568799</v>
      </c>
      <c r="X189" s="121" t="s">
        <v>48</v>
      </c>
      <c r="Y189" s="123" t="s">
        <v>1161</v>
      </c>
      <c r="Z189" s="123">
        <v>1568799</v>
      </c>
      <c r="AA189" s="115" t="s">
        <v>1105</v>
      </c>
      <c r="AB189" s="124">
        <v>14</v>
      </c>
      <c r="AC189" s="73" t="s">
        <v>1771</v>
      </c>
      <c r="AD189" s="124">
        <v>14</v>
      </c>
      <c r="AE189" s="73" t="s">
        <v>1771</v>
      </c>
      <c r="AF189" s="124">
        <v>13</v>
      </c>
      <c r="AG189" s="20" t="s">
        <v>1771</v>
      </c>
      <c r="AH189" s="124">
        <v>12</v>
      </c>
      <c r="AI189" s="124" t="s">
        <v>1767</v>
      </c>
      <c r="AJ189" s="19" t="str">
        <f t="shared" si="43"/>
        <v>APROBADO</v>
      </c>
      <c r="AK189" s="217" t="s">
        <v>50</v>
      </c>
    </row>
    <row r="190" spans="1:40" ht="15" hidden="1" customHeight="1" x14ac:dyDescent="0.2">
      <c r="A190" s="9">
        <v>72</v>
      </c>
      <c r="B190" s="10">
        <v>186</v>
      </c>
      <c r="C190" s="10">
        <v>17</v>
      </c>
      <c r="D190" s="115" t="s">
        <v>1201</v>
      </c>
      <c r="E190" s="115" t="s">
        <v>1202</v>
      </c>
      <c r="F190" s="115" t="s">
        <v>34</v>
      </c>
      <c r="G190" s="115" t="s">
        <v>35</v>
      </c>
      <c r="H190" s="115" t="s">
        <v>1175</v>
      </c>
      <c r="I190" s="115" t="s">
        <v>1108</v>
      </c>
      <c r="J190" s="115" t="s">
        <v>38</v>
      </c>
      <c r="K190" s="116" t="s">
        <v>1203</v>
      </c>
      <c r="L190" s="116" t="s">
        <v>40</v>
      </c>
      <c r="M190" s="125">
        <v>33046</v>
      </c>
      <c r="N190" s="115">
        <v>915990781</v>
      </c>
      <c r="O190" s="118" t="s">
        <v>1204</v>
      </c>
      <c r="P190" s="115" t="s">
        <v>1205</v>
      </c>
      <c r="Q190" s="115" t="s">
        <v>1142</v>
      </c>
      <c r="R190" s="115" t="s">
        <v>1101</v>
      </c>
      <c r="S190" s="115" t="s">
        <v>1102</v>
      </c>
      <c r="T190" s="115" t="s">
        <v>55</v>
      </c>
      <c r="U190" s="115" t="s">
        <v>1103</v>
      </c>
      <c r="V190" s="121" t="s">
        <v>1136</v>
      </c>
      <c r="W190" s="120">
        <v>733535</v>
      </c>
      <c r="X190" s="121" t="s">
        <v>85</v>
      </c>
      <c r="Y190" s="123" t="str">
        <f>IF(X190="NO","NO APLICA","ESCRIBA EL NOMBRE DEL IIEE")</f>
        <v>NO APLICA</v>
      </c>
      <c r="Z190" s="123" t="str">
        <f>IF(Y190="NO APLICA","NO APLICA","ESCRIBA EL CÓDIGO MODULAR")</f>
        <v>NO APLICA</v>
      </c>
      <c r="AA190" s="115" t="s">
        <v>1115</v>
      </c>
      <c r="AB190" s="124">
        <v>13</v>
      </c>
      <c r="AC190" s="73" t="s">
        <v>1771</v>
      </c>
      <c r="AD190" s="124">
        <v>13</v>
      </c>
      <c r="AE190" s="73" t="s">
        <v>1771</v>
      </c>
      <c r="AF190" s="124">
        <v>12</v>
      </c>
      <c r="AG190" s="20" t="s">
        <v>1771</v>
      </c>
      <c r="AH190" s="124">
        <v>13</v>
      </c>
      <c r="AI190" s="124" t="s">
        <v>1767</v>
      </c>
      <c r="AJ190" s="19" t="str">
        <f t="shared" si="43"/>
        <v>APROBADO</v>
      </c>
      <c r="AK190" s="217" t="s">
        <v>50</v>
      </c>
    </row>
    <row r="191" spans="1:40" ht="15" hidden="1" customHeight="1" x14ac:dyDescent="0.2">
      <c r="A191" s="9">
        <v>72</v>
      </c>
      <c r="B191" s="10">
        <v>183</v>
      </c>
      <c r="C191" s="10">
        <v>18</v>
      </c>
      <c r="D191" s="115" t="s">
        <v>1206</v>
      </c>
      <c r="E191" s="115" t="s">
        <v>1207</v>
      </c>
      <c r="F191" s="115" t="s">
        <v>1208</v>
      </c>
      <c r="G191" s="115" t="s">
        <v>35</v>
      </c>
      <c r="H191" s="115" t="s">
        <v>36</v>
      </c>
      <c r="I191" s="115" t="s">
        <v>1209</v>
      </c>
      <c r="J191" s="115" t="s">
        <v>1210</v>
      </c>
      <c r="K191" s="116" t="s">
        <v>1211</v>
      </c>
      <c r="L191" s="116" t="s">
        <v>40</v>
      </c>
      <c r="M191" s="125">
        <v>25104</v>
      </c>
      <c r="N191" s="115">
        <v>998499883</v>
      </c>
      <c r="O191" s="118" t="s">
        <v>1212</v>
      </c>
      <c r="P191" s="115" t="s">
        <v>1213</v>
      </c>
      <c r="Q191" s="115" t="s">
        <v>1128</v>
      </c>
      <c r="R191" s="115" t="s">
        <v>1101</v>
      </c>
      <c r="S191" s="115" t="s">
        <v>1102</v>
      </c>
      <c r="T191" s="115" t="s">
        <v>55</v>
      </c>
      <c r="U191" s="115" t="s">
        <v>1214</v>
      </c>
      <c r="V191" s="121" t="s">
        <v>1195</v>
      </c>
      <c r="W191" s="120" t="s">
        <v>1195</v>
      </c>
      <c r="X191" s="121" t="s">
        <v>48</v>
      </c>
      <c r="Y191" s="123" t="s">
        <v>1195</v>
      </c>
      <c r="Z191" s="123" t="s">
        <v>1195</v>
      </c>
      <c r="AA191" s="115" t="s">
        <v>1105</v>
      </c>
      <c r="AB191" s="124">
        <v>16</v>
      </c>
      <c r="AC191" s="73" t="s">
        <v>1771</v>
      </c>
      <c r="AD191" s="124">
        <v>16</v>
      </c>
      <c r="AE191" s="73" t="s">
        <v>1771</v>
      </c>
      <c r="AF191" s="124">
        <v>17</v>
      </c>
      <c r="AG191" s="20" t="s">
        <v>1771</v>
      </c>
      <c r="AH191" s="124">
        <v>18</v>
      </c>
      <c r="AI191" s="124" t="s">
        <v>1767</v>
      </c>
      <c r="AJ191" s="19" t="str">
        <f t="shared" si="43"/>
        <v>APROBADO</v>
      </c>
      <c r="AK191" s="217" t="s">
        <v>50</v>
      </c>
    </row>
    <row r="192" spans="1:40" ht="15" hidden="1" customHeight="1" x14ac:dyDescent="0.2">
      <c r="A192" s="9">
        <v>72</v>
      </c>
      <c r="B192" s="10">
        <v>179</v>
      </c>
      <c r="C192" s="10">
        <v>19</v>
      </c>
      <c r="D192" s="115" t="s">
        <v>1215</v>
      </c>
      <c r="E192" s="115" t="s">
        <v>1216</v>
      </c>
      <c r="F192" s="115" t="s">
        <v>155</v>
      </c>
      <c r="G192" s="115" t="s">
        <v>35</v>
      </c>
      <c r="H192" s="115" t="s">
        <v>1175</v>
      </c>
      <c r="I192" s="115" t="s">
        <v>37</v>
      </c>
      <c r="J192" s="115" t="s">
        <v>38</v>
      </c>
      <c r="K192" s="116" t="s">
        <v>1217</v>
      </c>
      <c r="L192" s="116" t="s">
        <v>40</v>
      </c>
      <c r="M192" s="117">
        <v>32335</v>
      </c>
      <c r="N192" s="115">
        <v>994096853</v>
      </c>
      <c r="O192" s="118" t="s">
        <v>1218</v>
      </c>
      <c r="P192" s="115" t="s">
        <v>1219</v>
      </c>
      <c r="Q192" s="115" t="s">
        <v>1220</v>
      </c>
      <c r="R192" s="115" t="s">
        <v>1101</v>
      </c>
      <c r="S192" s="115" t="s">
        <v>1102</v>
      </c>
      <c r="T192" s="115" t="s">
        <v>45</v>
      </c>
      <c r="U192" s="115" t="s">
        <v>1129</v>
      </c>
      <c r="V192" s="119" t="s">
        <v>1221</v>
      </c>
      <c r="W192" s="120">
        <v>1625987</v>
      </c>
      <c r="X192" s="121" t="s">
        <v>85</v>
      </c>
      <c r="Y192" s="123" t="str">
        <f t="shared" ref="Y192:Y194" si="46">IF(X192="NO","NO APLICA","ESCRIBA EL NOMBRE DEL IIEE")</f>
        <v>NO APLICA</v>
      </c>
      <c r="Z192" s="123" t="str">
        <f t="shared" ref="Z192:Z194" si="47">IF(Y192="NO APLICA","NO APLICA","ESCRIBA EL CÓDIGO MODULAR")</f>
        <v>NO APLICA</v>
      </c>
      <c r="AA192" s="115" t="s">
        <v>1105</v>
      </c>
      <c r="AB192" s="124">
        <v>0</v>
      </c>
      <c r="AC192" s="222" t="s">
        <v>1772</v>
      </c>
      <c r="AD192" s="124">
        <v>0</v>
      </c>
      <c r="AE192" s="222" t="s">
        <v>1770</v>
      </c>
      <c r="AF192" s="124">
        <v>0</v>
      </c>
      <c r="AG192" s="124" t="s">
        <v>1770</v>
      </c>
      <c r="AH192" s="124">
        <v>1</v>
      </c>
      <c r="AI192" s="124" t="s">
        <v>1770</v>
      </c>
      <c r="AJ192" s="219" t="s">
        <v>70</v>
      </c>
      <c r="AK192" s="217" t="s">
        <v>70</v>
      </c>
      <c r="AM192" s="129"/>
      <c r="AN192" s="129"/>
    </row>
    <row r="193" spans="1:46" ht="15" hidden="1" customHeight="1" x14ac:dyDescent="0.2">
      <c r="A193" s="9">
        <v>72</v>
      </c>
      <c r="B193" s="10">
        <v>200</v>
      </c>
      <c r="C193" s="10">
        <v>20</v>
      </c>
      <c r="D193" s="115" t="s">
        <v>1222</v>
      </c>
      <c r="E193" s="115" t="s">
        <v>1223</v>
      </c>
      <c r="F193" s="115" t="s">
        <v>155</v>
      </c>
      <c r="G193" s="115" t="s">
        <v>35</v>
      </c>
      <c r="H193" s="115" t="s">
        <v>122</v>
      </c>
      <c r="I193" s="115" t="s">
        <v>1108</v>
      </c>
      <c r="J193" s="115" t="s">
        <v>38</v>
      </c>
      <c r="K193" s="116" t="s">
        <v>1224</v>
      </c>
      <c r="L193" s="116" t="s">
        <v>40</v>
      </c>
      <c r="M193" s="125">
        <v>27576</v>
      </c>
      <c r="N193" s="130">
        <v>912827670</v>
      </c>
      <c r="O193" s="115" t="s">
        <v>1225</v>
      </c>
      <c r="P193" s="115" t="s">
        <v>1226</v>
      </c>
      <c r="Q193" s="115" t="s">
        <v>1142</v>
      </c>
      <c r="R193" s="115" t="s">
        <v>1101</v>
      </c>
      <c r="S193" s="115" t="s">
        <v>1102</v>
      </c>
      <c r="T193" s="115" t="s">
        <v>55</v>
      </c>
      <c r="U193" s="115" t="s">
        <v>1129</v>
      </c>
      <c r="V193" s="121" t="s">
        <v>1114</v>
      </c>
      <c r="W193" s="120">
        <v>272773</v>
      </c>
      <c r="X193" s="121" t="s">
        <v>85</v>
      </c>
      <c r="Y193" s="123" t="str">
        <f t="shared" si="46"/>
        <v>NO APLICA</v>
      </c>
      <c r="Z193" s="123" t="str">
        <f t="shared" si="47"/>
        <v>NO APLICA</v>
      </c>
      <c r="AA193" s="115" t="s">
        <v>1115</v>
      </c>
      <c r="AB193" s="124">
        <v>9</v>
      </c>
      <c r="AC193" s="222" t="s">
        <v>1769</v>
      </c>
      <c r="AD193" s="124">
        <v>9</v>
      </c>
      <c r="AE193" s="222" t="s">
        <v>1769</v>
      </c>
      <c r="AF193" s="124">
        <v>4</v>
      </c>
      <c r="AG193" s="124" t="s">
        <v>1770</v>
      </c>
      <c r="AH193" s="124">
        <v>1</v>
      </c>
      <c r="AI193" s="124" t="s">
        <v>1770</v>
      </c>
      <c r="AJ193" s="219" t="s">
        <v>70</v>
      </c>
      <c r="AK193" s="217" t="s">
        <v>70</v>
      </c>
      <c r="AM193" s="129"/>
      <c r="AN193" s="129"/>
    </row>
    <row r="194" spans="1:46" ht="15" hidden="1" customHeight="1" x14ac:dyDescent="0.2">
      <c r="A194" s="9">
        <v>72</v>
      </c>
      <c r="B194" s="10">
        <v>182</v>
      </c>
      <c r="C194" s="10">
        <v>21</v>
      </c>
      <c r="D194" s="115" t="s">
        <v>1227</v>
      </c>
      <c r="E194" s="115" t="s">
        <v>1228</v>
      </c>
      <c r="F194" s="115" t="s">
        <v>34</v>
      </c>
      <c r="G194" s="115" t="s">
        <v>35</v>
      </c>
      <c r="H194" s="115" t="s">
        <v>36</v>
      </c>
      <c r="I194" s="115" t="s">
        <v>123</v>
      </c>
      <c r="J194" s="115" t="s">
        <v>38</v>
      </c>
      <c r="K194" s="116" t="s">
        <v>1229</v>
      </c>
      <c r="L194" s="116" t="s">
        <v>40</v>
      </c>
      <c r="M194" s="125">
        <v>26538</v>
      </c>
      <c r="N194" s="115">
        <v>967657550</v>
      </c>
      <c r="O194" s="115" t="s">
        <v>1230</v>
      </c>
      <c r="P194" s="115" t="s">
        <v>1231</v>
      </c>
      <c r="Q194" s="115" t="s">
        <v>1128</v>
      </c>
      <c r="R194" s="115" t="s">
        <v>1101</v>
      </c>
      <c r="S194" s="115" t="s">
        <v>1102</v>
      </c>
      <c r="T194" s="115" t="s">
        <v>55</v>
      </c>
      <c r="U194" s="115" t="s">
        <v>1232</v>
      </c>
      <c r="V194" s="121" t="s">
        <v>1195</v>
      </c>
      <c r="W194" s="120" t="s">
        <v>1195</v>
      </c>
      <c r="X194" s="121" t="s">
        <v>85</v>
      </c>
      <c r="Y194" s="123" t="str">
        <f t="shared" si="46"/>
        <v>NO APLICA</v>
      </c>
      <c r="Z194" s="123" t="str">
        <f t="shared" si="47"/>
        <v>NO APLICA</v>
      </c>
      <c r="AA194" s="115" t="s">
        <v>1105</v>
      </c>
      <c r="AB194" s="124">
        <v>17</v>
      </c>
      <c r="AC194" s="73" t="s">
        <v>1771</v>
      </c>
      <c r="AD194" s="124">
        <v>17</v>
      </c>
      <c r="AE194" s="73" t="s">
        <v>1771</v>
      </c>
      <c r="AF194" s="124">
        <v>18</v>
      </c>
      <c r="AG194" s="20" t="s">
        <v>1771</v>
      </c>
      <c r="AH194" s="124">
        <v>17</v>
      </c>
      <c r="AI194" s="124" t="s">
        <v>1767</v>
      </c>
      <c r="AJ194" s="19" t="str">
        <f t="shared" si="43"/>
        <v>APROBADO</v>
      </c>
      <c r="AK194" s="217" t="s">
        <v>50</v>
      </c>
    </row>
    <row r="195" spans="1:46" ht="15" hidden="1" customHeight="1" x14ac:dyDescent="0.2">
      <c r="A195" s="9">
        <v>72</v>
      </c>
      <c r="B195" s="10">
        <v>190</v>
      </c>
      <c r="C195" s="10">
        <v>22</v>
      </c>
      <c r="D195" s="115" t="s">
        <v>1233</v>
      </c>
      <c r="E195" s="115" t="s">
        <v>1234</v>
      </c>
      <c r="F195" s="115" t="s">
        <v>34</v>
      </c>
      <c r="G195" s="115" t="s">
        <v>35</v>
      </c>
      <c r="H195" s="115" t="s">
        <v>890</v>
      </c>
      <c r="I195" s="115" t="s">
        <v>123</v>
      </c>
      <c r="J195" s="115" t="s">
        <v>38</v>
      </c>
      <c r="K195" s="116" t="s">
        <v>1235</v>
      </c>
      <c r="L195" s="116" t="s">
        <v>40</v>
      </c>
      <c r="M195" s="125">
        <v>24342</v>
      </c>
      <c r="N195" s="115">
        <v>938843718</v>
      </c>
      <c r="O195" s="118" t="s">
        <v>1236</v>
      </c>
      <c r="P195" s="115" t="s">
        <v>1237</v>
      </c>
      <c r="Q195" s="115" t="s">
        <v>1128</v>
      </c>
      <c r="R195" s="115" t="s">
        <v>1101</v>
      </c>
      <c r="S195" s="115" t="s">
        <v>1102</v>
      </c>
      <c r="T195" s="115" t="s">
        <v>55</v>
      </c>
      <c r="U195" s="115" t="s">
        <v>1129</v>
      </c>
      <c r="V195" s="119" t="s">
        <v>1238</v>
      </c>
      <c r="W195" s="120">
        <v>530535</v>
      </c>
      <c r="X195" s="121" t="s">
        <v>48</v>
      </c>
      <c r="Y195" s="122" t="s">
        <v>1238</v>
      </c>
      <c r="Z195" s="123">
        <v>530535</v>
      </c>
      <c r="AA195" s="115" t="s">
        <v>1115</v>
      </c>
      <c r="AB195" s="124">
        <v>16</v>
      </c>
      <c r="AC195" s="73" t="s">
        <v>1771</v>
      </c>
      <c r="AD195" s="124">
        <v>16</v>
      </c>
      <c r="AE195" s="73" t="s">
        <v>1771</v>
      </c>
      <c r="AF195" s="124">
        <v>17</v>
      </c>
      <c r="AG195" s="20" t="s">
        <v>1771</v>
      </c>
      <c r="AH195" s="124">
        <v>16</v>
      </c>
      <c r="AI195" s="124" t="s">
        <v>1767</v>
      </c>
      <c r="AJ195" s="19" t="str">
        <f t="shared" si="43"/>
        <v>APROBADO</v>
      </c>
      <c r="AK195" s="217" t="s">
        <v>50</v>
      </c>
    </row>
    <row r="196" spans="1:46" ht="15" hidden="1" customHeight="1" x14ac:dyDescent="0.2">
      <c r="A196" s="9">
        <v>72</v>
      </c>
      <c r="B196" s="10">
        <v>201</v>
      </c>
      <c r="C196" s="10">
        <v>23</v>
      </c>
      <c r="D196" s="115" t="s">
        <v>1239</v>
      </c>
      <c r="E196" s="115" t="s">
        <v>1240</v>
      </c>
      <c r="F196" s="115" t="s">
        <v>60</v>
      </c>
      <c r="G196" s="115" t="s">
        <v>61</v>
      </c>
      <c r="H196" s="115" t="s">
        <v>193</v>
      </c>
      <c r="I196" s="115" t="s">
        <v>1108</v>
      </c>
      <c r="J196" s="115" t="s">
        <v>38</v>
      </c>
      <c r="K196" s="116" t="s">
        <v>1241</v>
      </c>
      <c r="L196" s="116" t="s">
        <v>40</v>
      </c>
      <c r="M196" s="125">
        <v>31028</v>
      </c>
      <c r="N196" s="115">
        <v>969090177</v>
      </c>
      <c r="O196" s="115" t="s">
        <v>1242</v>
      </c>
      <c r="P196" s="115" t="s">
        <v>1243</v>
      </c>
      <c r="Q196" s="115" t="s">
        <v>1135</v>
      </c>
      <c r="R196" s="115" t="s">
        <v>1101</v>
      </c>
      <c r="S196" s="115" t="s">
        <v>1102</v>
      </c>
      <c r="T196" s="115" t="s">
        <v>55</v>
      </c>
      <c r="U196" s="115" t="s">
        <v>1244</v>
      </c>
      <c r="V196" s="121" t="s">
        <v>1195</v>
      </c>
      <c r="W196" s="120" t="s">
        <v>1195</v>
      </c>
      <c r="X196" s="121" t="s">
        <v>85</v>
      </c>
      <c r="Y196" s="123" t="str">
        <f>IF(X196="NO","NO APLICA","ESCRIBA EL NOMBRE DEL IIEE")</f>
        <v>NO APLICA</v>
      </c>
      <c r="Z196" s="123" t="str">
        <f>IF(Y196="NO APLICA","NO APLICA","ESCRIBA EL CÓDIGO MODULAR")</f>
        <v>NO APLICA</v>
      </c>
      <c r="AA196" s="115" t="s">
        <v>1115</v>
      </c>
      <c r="AB196" s="124">
        <v>17</v>
      </c>
      <c r="AC196" s="73" t="s">
        <v>1771</v>
      </c>
      <c r="AD196" s="124">
        <v>17</v>
      </c>
      <c r="AE196" s="73" t="s">
        <v>1771</v>
      </c>
      <c r="AF196" s="124">
        <v>16</v>
      </c>
      <c r="AG196" s="20" t="s">
        <v>1771</v>
      </c>
      <c r="AH196" s="124">
        <v>16</v>
      </c>
      <c r="AI196" s="124" t="s">
        <v>1767</v>
      </c>
      <c r="AJ196" s="19" t="str">
        <f t="shared" si="43"/>
        <v>APROBADO</v>
      </c>
      <c r="AK196" s="217" t="s">
        <v>50</v>
      </c>
      <c r="AM196" s="129"/>
      <c r="AN196" s="129"/>
      <c r="AO196" s="129"/>
      <c r="AP196" s="129"/>
      <c r="AQ196" s="129"/>
      <c r="AR196" s="129"/>
      <c r="AS196" s="129"/>
      <c r="AT196" s="131"/>
    </row>
    <row r="197" spans="1:46" ht="15" hidden="1" customHeight="1" x14ac:dyDescent="0.2">
      <c r="A197" s="9">
        <v>72</v>
      </c>
      <c r="B197" s="10">
        <v>184</v>
      </c>
      <c r="C197" s="10">
        <v>24</v>
      </c>
      <c r="D197" s="115" t="s">
        <v>1245</v>
      </c>
      <c r="E197" s="115" t="s">
        <v>1246</v>
      </c>
      <c r="F197" s="115" t="s">
        <v>60</v>
      </c>
      <c r="G197" s="115" t="s">
        <v>61</v>
      </c>
      <c r="H197" s="115" t="s">
        <v>193</v>
      </c>
      <c r="I197" s="115" t="s">
        <v>1108</v>
      </c>
      <c r="J197" s="115" t="s">
        <v>38</v>
      </c>
      <c r="K197" s="116" t="s">
        <v>1247</v>
      </c>
      <c r="L197" s="116" t="s">
        <v>40</v>
      </c>
      <c r="M197" s="125">
        <v>30066</v>
      </c>
      <c r="N197" s="115">
        <v>920402415</v>
      </c>
      <c r="O197" s="118" t="s">
        <v>1248</v>
      </c>
      <c r="P197" s="115" t="s">
        <v>1249</v>
      </c>
      <c r="Q197" s="115" t="s">
        <v>1142</v>
      </c>
      <c r="R197" s="115" t="s">
        <v>1101</v>
      </c>
      <c r="S197" s="115" t="s">
        <v>1102</v>
      </c>
      <c r="T197" s="115" t="s">
        <v>55</v>
      </c>
      <c r="U197" s="115" t="s">
        <v>1113</v>
      </c>
      <c r="V197" s="121" t="s">
        <v>1136</v>
      </c>
      <c r="W197" s="120">
        <v>733535</v>
      </c>
      <c r="X197" s="121" t="s">
        <v>48</v>
      </c>
      <c r="Y197" s="123" t="s">
        <v>1136</v>
      </c>
      <c r="Z197" s="123">
        <v>733535</v>
      </c>
      <c r="AA197" s="115" t="s">
        <v>1115</v>
      </c>
      <c r="AB197" s="124">
        <v>12</v>
      </c>
      <c r="AC197" s="73" t="s">
        <v>1771</v>
      </c>
      <c r="AD197" s="124">
        <v>12</v>
      </c>
      <c r="AE197" s="73" t="s">
        <v>1771</v>
      </c>
      <c r="AF197" s="124">
        <v>12</v>
      </c>
      <c r="AG197" s="20" t="s">
        <v>1771</v>
      </c>
      <c r="AH197" s="124">
        <v>13</v>
      </c>
      <c r="AI197" s="124" t="s">
        <v>1767</v>
      </c>
      <c r="AJ197" s="19" t="str">
        <f t="shared" si="43"/>
        <v>APROBADO</v>
      </c>
      <c r="AK197" s="217" t="s">
        <v>50</v>
      </c>
    </row>
    <row r="198" spans="1:46" ht="15" hidden="1" customHeight="1" x14ac:dyDescent="0.2">
      <c r="A198" s="9">
        <v>72</v>
      </c>
      <c r="B198" s="10">
        <v>181</v>
      </c>
      <c r="C198" s="10">
        <v>25</v>
      </c>
      <c r="D198" s="115" t="s">
        <v>1250</v>
      </c>
      <c r="E198" s="115" t="s">
        <v>1251</v>
      </c>
      <c r="F198" s="115" t="s">
        <v>34</v>
      </c>
      <c r="G198" s="115" t="s">
        <v>35</v>
      </c>
      <c r="H198" s="115" t="s">
        <v>36</v>
      </c>
      <c r="I198" s="115" t="s">
        <v>1108</v>
      </c>
      <c r="J198" s="115" t="s">
        <v>38</v>
      </c>
      <c r="K198" s="116" t="s">
        <v>1252</v>
      </c>
      <c r="L198" s="116" t="s">
        <v>40</v>
      </c>
      <c r="M198" s="117">
        <v>34154</v>
      </c>
      <c r="N198" s="115">
        <v>995272671</v>
      </c>
      <c r="O198" s="118" t="s">
        <v>1253</v>
      </c>
      <c r="P198" s="115" t="s">
        <v>1254</v>
      </c>
      <c r="Q198" s="115" t="s">
        <v>1100</v>
      </c>
      <c r="R198" s="115" t="s">
        <v>1101</v>
      </c>
      <c r="S198" s="115" t="s">
        <v>1102</v>
      </c>
      <c r="T198" s="115" t="s">
        <v>55</v>
      </c>
      <c r="U198" s="115" t="s">
        <v>1103</v>
      </c>
      <c r="V198" s="121" t="s">
        <v>1255</v>
      </c>
      <c r="W198" s="120">
        <v>715011</v>
      </c>
      <c r="X198" s="121" t="s">
        <v>48</v>
      </c>
      <c r="Y198" s="123" t="s">
        <v>1255</v>
      </c>
      <c r="Z198" s="123">
        <v>715011</v>
      </c>
      <c r="AA198" s="115" t="s">
        <v>1105</v>
      </c>
      <c r="AB198" s="124">
        <v>12</v>
      </c>
      <c r="AC198" s="73" t="s">
        <v>1771</v>
      </c>
      <c r="AD198" s="124">
        <v>12</v>
      </c>
      <c r="AE198" s="73" t="s">
        <v>1771</v>
      </c>
      <c r="AF198" s="124">
        <v>15</v>
      </c>
      <c r="AG198" s="20" t="s">
        <v>1771</v>
      </c>
      <c r="AH198" s="124">
        <v>15</v>
      </c>
      <c r="AI198" s="124" t="s">
        <v>1767</v>
      </c>
      <c r="AJ198" s="19" t="str">
        <f t="shared" si="43"/>
        <v>APROBADO</v>
      </c>
      <c r="AK198" s="217" t="s">
        <v>50</v>
      </c>
    </row>
    <row r="199" spans="1:46" ht="15" hidden="1" customHeight="1" x14ac:dyDescent="0.2">
      <c r="A199" s="9">
        <v>72</v>
      </c>
      <c r="B199" s="10">
        <v>177</v>
      </c>
      <c r="C199" s="10">
        <v>26</v>
      </c>
      <c r="D199" s="115" t="s">
        <v>1256</v>
      </c>
      <c r="E199" s="115" t="s">
        <v>1257</v>
      </c>
      <c r="F199" s="115" t="s">
        <v>34</v>
      </c>
      <c r="G199" s="115" t="s">
        <v>35</v>
      </c>
      <c r="H199" s="115" t="s">
        <v>36</v>
      </c>
      <c r="I199" s="115" t="s">
        <v>1108</v>
      </c>
      <c r="J199" s="115" t="s">
        <v>38</v>
      </c>
      <c r="K199" s="116" t="s">
        <v>1258</v>
      </c>
      <c r="L199" s="116" t="s">
        <v>40</v>
      </c>
      <c r="M199" s="117">
        <v>28542</v>
      </c>
      <c r="N199" s="115">
        <v>910820665</v>
      </c>
      <c r="O199" s="118" t="s">
        <v>1259</v>
      </c>
      <c r="P199" s="115" t="s">
        <v>1260</v>
      </c>
      <c r="Q199" s="115" t="s">
        <v>1142</v>
      </c>
      <c r="R199" s="115" t="s">
        <v>1101</v>
      </c>
      <c r="S199" s="115" t="s">
        <v>1102</v>
      </c>
      <c r="T199" s="115" t="s">
        <v>45</v>
      </c>
      <c r="U199" s="115" t="s">
        <v>1103</v>
      </c>
      <c r="V199" s="121" t="s">
        <v>1143</v>
      </c>
      <c r="W199" s="120">
        <v>1625904</v>
      </c>
      <c r="X199" s="121" t="s">
        <v>85</v>
      </c>
      <c r="Y199" s="123" t="str">
        <f>IF(X199="NO","NO APLICA","ESCRIBA EL NOMBRE DEL IIEE")</f>
        <v>NO APLICA</v>
      </c>
      <c r="Z199" s="123" t="str">
        <f>IF(Y199="NO APLICA","NO APLICA","ESCRIBA EL CÓDIGO MODULAR")</f>
        <v>NO APLICA</v>
      </c>
      <c r="AA199" s="115" t="s">
        <v>1105</v>
      </c>
      <c r="AB199" s="124">
        <v>12</v>
      </c>
      <c r="AC199" s="73" t="s">
        <v>1771</v>
      </c>
      <c r="AD199" s="124">
        <v>12</v>
      </c>
      <c r="AE199" s="73" t="s">
        <v>1771</v>
      </c>
      <c r="AF199" s="124">
        <v>14</v>
      </c>
      <c r="AG199" s="20" t="s">
        <v>1771</v>
      </c>
      <c r="AH199" s="124">
        <v>13</v>
      </c>
      <c r="AI199" s="124" t="s">
        <v>1767</v>
      </c>
      <c r="AJ199" s="19" t="str">
        <f t="shared" si="43"/>
        <v>APROBADO</v>
      </c>
      <c r="AK199" s="217" t="s">
        <v>50</v>
      </c>
    </row>
    <row r="200" spans="1:46" ht="15" hidden="1" customHeight="1" x14ac:dyDescent="0.2">
      <c r="A200" s="9">
        <v>72</v>
      </c>
      <c r="B200" s="10">
        <v>202</v>
      </c>
      <c r="C200" s="10">
        <v>27</v>
      </c>
      <c r="D200" s="115" t="s">
        <v>1261</v>
      </c>
      <c r="E200" s="115" t="s">
        <v>1262</v>
      </c>
      <c r="F200" s="115" t="s">
        <v>34</v>
      </c>
      <c r="G200" s="115" t="s">
        <v>35</v>
      </c>
      <c r="H200" s="115" t="s">
        <v>36</v>
      </c>
      <c r="I200" s="115" t="s">
        <v>123</v>
      </c>
      <c r="J200" s="115" t="s">
        <v>38</v>
      </c>
      <c r="K200" s="116" t="s">
        <v>1263</v>
      </c>
      <c r="L200" s="116" t="s">
        <v>40</v>
      </c>
      <c r="M200" s="125" t="s">
        <v>1264</v>
      </c>
      <c r="N200" s="115">
        <v>951914580</v>
      </c>
      <c r="O200" s="115" t="s">
        <v>1265</v>
      </c>
      <c r="P200" s="115" t="s">
        <v>1266</v>
      </c>
      <c r="Q200" s="115" t="s">
        <v>1128</v>
      </c>
      <c r="R200" s="115" t="s">
        <v>1101</v>
      </c>
      <c r="S200" s="115" t="s">
        <v>1102</v>
      </c>
      <c r="T200" s="115" t="s">
        <v>55</v>
      </c>
      <c r="U200" s="115" t="s">
        <v>1232</v>
      </c>
      <c r="V200" s="121" t="s">
        <v>1195</v>
      </c>
      <c r="W200" s="120" t="s">
        <v>1195</v>
      </c>
      <c r="X200" s="121" t="s">
        <v>48</v>
      </c>
      <c r="Y200" s="123" t="s">
        <v>1195</v>
      </c>
      <c r="Z200" s="123" t="s">
        <v>1195</v>
      </c>
      <c r="AA200" s="115" t="s">
        <v>1115</v>
      </c>
      <c r="AB200" s="124">
        <v>17</v>
      </c>
      <c r="AC200" s="73" t="s">
        <v>1771</v>
      </c>
      <c r="AD200" s="124">
        <v>17</v>
      </c>
      <c r="AE200" s="73" t="s">
        <v>1771</v>
      </c>
      <c r="AF200" s="124">
        <v>17</v>
      </c>
      <c r="AG200" s="20" t="s">
        <v>1771</v>
      </c>
      <c r="AH200" s="124">
        <v>18</v>
      </c>
      <c r="AI200" s="124" t="s">
        <v>1767</v>
      </c>
      <c r="AJ200" s="19" t="str">
        <f t="shared" si="43"/>
        <v>APROBADO</v>
      </c>
      <c r="AK200" s="217" t="s">
        <v>50</v>
      </c>
    </row>
    <row r="201" spans="1:46" ht="15" hidden="1" customHeight="1" x14ac:dyDescent="0.2">
      <c r="A201" s="9">
        <v>72</v>
      </c>
      <c r="B201" s="10">
        <v>199</v>
      </c>
      <c r="C201" s="10">
        <v>28</v>
      </c>
      <c r="D201" s="115" t="s">
        <v>1267</v>
      </c>
      <c r="E201" s="115" t="s">
        <v>1268</v>
      </c>
      <c r="F201" s="115" t="s">
        <v>34</v>
      </c>
      <c r="G201" s="115" t="s">
        <v>35</v>
      </c>
      <c r="H201" s="115" t="s">
        <v>1175</v>
      </c>
      <c r="I201" s="115" t="s">
        <v>1108</v>
      </c>
      <c r="J201" s="115" t="s">
        <v>38</v>
      </c>
      <c r="K201" s="116" t="s">
        <v>1269</v>
      </c>
      <c r="L201" s="116" t="s">
        <v>40</v>
      </c>
      <c r="M201" s="125">
        <v>27506</v>
      </c>
      <c r="N201" s="115">
        <v>951951018</v>
      </c>
      <c r="O201" s="118" t="s">
        <v>1270</v>
      </c>
      <c r="P201" s="115" t="s">
        <v>1271</v>
      </c>
      <c r="Q201" s="115" t="s">
        <v>1142</v>
      </c>
      <c r="R201" s="115" t="s">
        <v>1101</v>
      </c>
      <c r="S201" s="115" t="s">
        <v>1102</v>
      </c>
      <c r="T201" s="115" t="s">
        <v>55</v>
      </c>
      <c r="U201" s="115" t="s">
        <v>1103</v>
      </c>
      <c r="V201" s="121" t="s">
        <v>1272</v>
      </c>
      <c r="W201" s="120">
        <v>733600</v>
      </c>
      <c r="X201" s="121" t="s">
        <v>48</v>
      </c>
      <c r="Y201" s="123" t="s">
        <v>1272</v>
      </c>
      <c r="Z201" s="123">
        <v>733600</v>
      </c>
      <c r="AA201" s="115" t="s">
        <v>1115</v>
      </c>
      <c r="AB201" s="124">
        <v>14</v>
      </c>
      <c r="AC201" s="73" t="s">
        <v>1771</v>
      </c>
      <c r="AD201" s="124">
        <v>14</v>
      </c>
      <c r="AE201" s="73" t="s">
        <v>1771</v>
      </c>
      <c r="AF201" s="124">
        <v>15</v>
      </c>
      <c r="AG201" s="20" t="s">
        <v>1771</v>
      </c>
      <c r="AH201" s="124">
        <v>11</v>
      </c>
      <c r="AI201" s="124" t="s">
        <v>1769</v>
      </c>
      <c r="AJ201" s="19" t="str">
        <f t="shared" si="43"/>
        <v>APROBADO</v>
      </c>
      <c r="AK201" s="217" t="s">
        <v>50</v>
      </c>
    </row>
    <row r="202" spans="1:46" ht="15" hidden="1" customHeight="1" x14ac:dyDescent="0.2">
      <c r="A202" s="9">
        <v>72</v>
      </c>
      <c r="B202" s="10">
        <v>196</v>
      </c>
      <c r="C202" s="10">
        <v>29</v>
      </c>
      <c r="D202" s="115" t="s">
        <v>1273</v>
      </c>
      <c r="E202" s="115" t="s">
        <v>1274</v>
      </c>
      <c r="F202" s="115" t="s">
        <v>34</v>
      </c>
      <c r="G202" s="115" t="s">
        <v>35</v>
      </c>
      <c r="H202" s="115" t="s">
        <v>36</v>
      </c>
      <c r="I202" s="115" t="s">
        <v>1108</v>
      </c>
      <c r="J202" s="115" t="s">
        <v>38</v>
      </c>
      <c r="K202" s="116" t="s">
        <v>1275</v>
      </c>
      <c r="L202" s="116" t="s">
        <v>40</v>
      </c>
      <c r="M202" s="125">
        <v>31670</v>
      </c>
      <c r="N202" s="115">
        <v>966278928</v>
      </c>
      <c r="O202" s="115" t="s">
        <v>1276</v>
      </c>
      <c r="P202" s="115" t="s">
        <v>1277</v>
      </c>
      <c r="Q202" s="115" t="s">
        <v>1142</v>
      </c>
      <c r="R202" s="115" t="s">
        <v>1101</v>
      </c>
      <c r="S202" s="115" t="s">
        <v>1102</v>
      </c>
      <c r="T202" s="115" t="s">
        <v>55</v>
      </c>
      <c r="U202" s="115" t="s">
        <v>1103</v>
      </c>
      <c r="V202" s="121" t="s">
        <v>1114</v>
      </c>
      <c r="W202" s="120">
        <v>272773</v>
      </c>
      <c r="X202" s="121" t="s">
        <v>48</v>
      </c>
      <c r="Y202" s="123" t="s">
        <v>1114</v>
      </c>
      <c r="Z202" s="123">
        <v>272773</v>
      </c>
      <c r="AA202" s="115" t="s">
        <v>1115</v>
      </c>
      <c r="AB202" s="124">
        <v>13</v>
      </c>
      <c r="AC202" s="73" t="s">
        <v>1771</v>
      </c>
      <c r="AD202" s="124">
        <v>13</v>
      </c>
      <c r="AE202" s="73" t="s">
        <v>1771</v>
      </c>
      <c r="AF202" s="124">
        <v>14</v>
      </c>
      <c r="AG202" s="20" t="s">
        <v>1771</v>
      </c>
      <c r="AH202" s="124">
        <v>15</v>
      </c>
      <c r="AI202" s="124" t="s">
        <v>1767</v>
      </c>
      <c r="AJ202" s="19" t="str">
        <f t="shared" si="43"/>
        <v>APROBADO</v>
      </c>
      <c r="AK202" s="217" t="s">
        <v>50</v>
      </c>
    </row>
    <row r="203" spans="1:46" ht="15" hidden="1" customHeight="1" x14ac:dyDescent="0.2">
      <c r="A203" s="9">
        <v>72</v>
      </c>
      <c r="B203" s="10">
        <v>189</v>
      </c>
      <c r="C203" s="10">
        <v>30</v>
      </c>
      <c r="D203" s="115" t="s">
        <v>1278</v>
      </c>
      <c r="E203" s="115" t="s">
        <v>1279</v>
      </c>
      <c r="F203" s="115" t="s">
        <v>34</v>
      </c>
      <c r="G203" s="115" t="s">
        <v>35</v>
      </c>
      <c r="H203" s="115" t="s">
        <v>36</v>
      </c>
      <c r="I203" s="115" t="s">
        <v>123</v>
      </c>
      <c r="J203" s="115" t="s">
        <v>38</v>
      </c>
      <c r="K203" s="116" t="s">
        <v>1280</v>
      </c>
      <c r="L203" s="116" t="s">
        <v>40</v>
      </c>
      <c r="M203" s="125">
        <v>25878</v>
      </c>
      <c r="N203" s="115">
        <v>942656500</v>
      </c>
      <c r="O203" s="118" t="s">
        <v>1281</v>
      </c>
      <c r="P203" s="115" t="s">
        <v>1282</v>
      </c>
      <c r="Q203" s="115" t="s">
        <v>1128</v>
      </c>
      <c r="R203" s="115" t="s">
        <v>1101</v>
      </c>
      <c r="S203" s="115" t="s">
        <v>1102</v>
      </c>
      <c r="T203" s="115" t="s">
        <v>55</v>
      </c>
      <c r="U203" s="115" t="s">
        <v>1129</v>
      </c>
      <c r="V203" s="119" t="s">
        <v>1283</v>
      </c>
      <c r="W203" s="120">
        <v>272567</v>
      </c>
      <c r="X203" s="121" t="s">
        <v>85</v>
      </c>
      <c r="Y203" s="123" t="str">
        <f t="shared" ref="Y203:Y207" si="48">IF(X203="NO","NO APLICA","ESCRIBA EL NOMBRE DEL IIEE")</f>
        <v>NO APLICA</v>
      </c>
      <c r="Z203" s="123" t="str">
        <f t="shared" ref="Z203:Z207" si="49">IF(Y203="NO APLICA","NO APLICA","ESCRIBA EL CÓDIGO MODULAR")</f>
        <v>NO APLICA</v>
      </c>
      <c r="AA203" s="115" t="s">
        <v>1115</v>
      </c>
      <c r="AB203" s="124">
        <v>14</v>
      </c>
      <c r="AC203" s="73" t="s">
        <v>1771</v>
      </c>
      <c r="AD203" s="124">
        <v>14</v>
      </c>
      <c r="AE203" s="73" t="s">
        <v>1771</v>
      </c>
      <c r="AF203" s="124">
        <v>11</v>
      </c>
      <c r="AG203" s="124" t="s">
        <v>1768</v>
      </c>
      <c r="AH203" s="124">
        <v>12</v>
      </c>
      <c r="AI203" s="124" t="s">
        <v>1767</v>
      </c>
      <c r="AJ203" s="19" t="str">
        <f t="shared" si="43"/>
        <v>APROBADO</v>
      </c>
      <c r="AK203" s="217" t="s">
        <v>50</v>
      </c>
    </row>
    <row r="204" spans="1:46" ht="15" hidden="1" customHeight="1" x14ac:dyDescent="0.2">
      <c r="A204" s="9">
        <v>72</v>
      </c>
      <c r="B204" s="10">
        <v>188</v>
      </c>
      <c r="C204" s="10">
        <v>31</v>
      </c>
      <c r="D204" s="115" t="s">
        <v>1284</v>
      </c>
      <c r="E204" s="115" t="s">
        <v>1285</v>
      </c>
      <c r="F204" s="115" t="s">
        <v>34</v>
      </c>
      <c r="G204" s="115" t="s">
        <v>35</v>
      </c>
      <c r="H204" s="115" t="s">
        <v>36</v>
      </c>
      <c r="I204" s="115" t="s">
        <v>123</v>
      </c>
      <c r="J204" s="115" t="s">
        <v>38</v>
      </c>
      <c r="K204" s="116" t="s">
        <v>1286</v>
      </c>
      <c r="L204" s="116" t="s">
        <v>40</v>
      </c>
      <c r="M204" s="125">
        <v>33074</v>
      </c>
      <c r="N204" s="115">
        <v>935260671</v>
      </c>
      <c r="O204" s="118" t="s">
        <v>1287</v>
      </c>
      <c r="P204" s="115" t="s">
        <v>1288</v>
      </c>
      <c r="Q204" s="115" t="s">
        <v>1128</v>
      </c>
      <c r="R204" s="115" t="s">
        <v>1101</v>
      </c>
      <c r="S204" s="115" t="s">
        <v>1102</v>
      </c>
      <c r="T204" s="115" t="s">
        <v>55</v>
      </c>
      <c r="U204" s="115" t="s">
        <v>1129</v>
      </c>
      <c r="V204" s="119" t="s">
        <v>1122</v>
      </c>
      <c r="W204" s="120">
        <v>666677</v>
      </c>
      <c r="X204" s="121" t="s">
        <v>85</v>
      </c>
      <c r="Y204" s="123" t="str">
        <f t="shared" si="48"/>
        <v>NO APLICA</v>
      </c>
      <c r="Z204" s="123" t="str">
        <f t="shared" si="49"/>
        <v>NO APLICA</v>
      </c>
      <c r="AA204" s="115" t="s">
        <v>1115</v>
      </c>
      <c r="AB204" s="124">
        <v>0</v>
      </c>
      <c r="AC204" s="222" t="s">
        <v>1772</v>
      </c>
      <c r="AD204" s="124">
        <v>0</v>
      </c>
      <c r="AE204" s="222" t="s">
        <v>1770</v>
      </c>
      <c r="AF204" s="124">
        <v>0</v>
      </c>
      <c r="AG204" s="124" t="s">
        <v>1770</v>
      </c>
      <c r="AH204" s="124">
        <v>0</v>
      </c>
      <c r="AI204" s="124" t="s">
        <v>1770</v>
      </c>
      <c r="AJ204" s="219" t="s">
        <v>70</v>
      </c>
      <c r="AK204" s="217" t="s">
        <v>70</v>
      </c>
    </row>
    <row r="205" spans="1:46" ht="15" hidden="1" customHeight="1" x14ac:dyDescent="0.25">
      <c r="A205" s="9">
        <v>79</v>
      </c>
      <c r="B205" s="10">
        <v>228</v>
      </c>
      <c r="C205" s="10">
        <v>1</v>
      </c>
      <c r="D205" s="132" t="s">
        <v>1289</v>
      </c>
      <c r="E205" s="132" t="s">
        <v>1290</v>
      </c>
      <c r="F205" s="132" t="s">
        <v>60</v>
      </c>
      <c r="G205" s="132" t="s">
        <v>61</v>
      </c>
      <c r="H205" s="132" t="s">
        <v>101</v>
      </c>
      <c r="I205" s="132" t="s">
        <v>123</v>
      </c>
      <c r="J205" s="132" t="s">
        <v>38</v>
      </c>
      <c r="K205" s="133" t="s">
        <v>1291</v>
      </c>
      <c r="L205" s="134" t="s">
        <v>40</v>
      </c>
      <c r="M205" s="135">
        <v>29340</v>
      </c>
      <c r="N205" s="136">
        <v>913568553</v>
      </c>
      <c r="O205" s="136" t="s">
        <v>1292</v>
      </c>
      <c r="P205" s="136" t="s">
        <v>1293</v>
      </c>
      <c r="Q205" s="136" t="s">
        <v>1294</v>
      </c>
      <c r="R205" s="136" t="s">
        <v>1294</v>
      </c>
      <c r="S205" s="136" t="s">
        <v>1295</v>
      </c>
      <c r="T205" s="136" t="s">
        <v>55</v>
      </c>
      <c r="U205" s="136" t="s">
        <v>1296</v>
      </c>
      <c r="V205" s="137" t="s">
        <v>1297</v>
      </c>
      <c r="W205" s="138">
        <v>600692</v>
      </c>
      <c r="X205" s="139" t="s">
        <v>85</v>
      </c>
      <c r="Y205" s="140" t="str">
        <f t="shared" si="48"/>
        <v>NO APLICA</v>
      </c>
      <c r="Z205" s="140" t="str">
        <f t="shared" si="49"/>
        <v>NO APLICA</v>
      </c>
      <c r="AA205" s="136" t="s">
        <v>1298</v>
      </c>
      <c r="AB205" s="141">
        <v>12</v>
      </c>
      <c r="AC205" s="73" t="s">
        <v>1771</v>
      </c>
      <c r="AD205" s="141">
        <v>13</v>
      </c>
      <c r="AE205" s="141" t="s">
        <v>1771</v>
      </c>
      <c r="AF205" s="141">
        <v>16</v>
      </c>
      <c r="AG205" s="20" t="s">
        <v>1771</v>
      </c>
      <c r="AH205" s="141">
        <v>14</v>
      </c>
      <c r="AI205" s="141" t="s">
        <v>1767</v>
      </c>
      <c r="AJ205" s="19" t="str">
        <f t="shared" si="43"/>
        <v>APROBADO</v>
      </c>
      <c r="AK205" s="218" t="s">
        <v>50</v>
      </c>
    </row>
    <row r="206" spans="1:46" ht="15" hidden="1" customHeight="1" x14ac:dyDescent="0.2">
      <c r="A206" s="9">
        <v>79</v>
      </c>
      <c r="B206" s="10">
        <v>215</v>
      </c>
      <c r="C206" s="10">
        <v>2</v>
      </c>
      <c r="D206" s="132" t="s">
        <v>1299</v>
      </c>
      <c r="E206" s="132" t="s">
        <v>1300</v>
      </c>
      <c r="F206" s="132" t="s">
        <v>34</v>
      </c>
      <c r="G206" s="132" t="s">
        <v>35</v>
      </c>
      <c r="H206" s="132" t="s">
        <v>73</v>
      </c>
      <c r="I206" s="132" t="s">
        <v>123</v>
      </c>
      <c r="J206" s="132" t="s">
        <v>38</v>
      </c>
      <c r="K206" s="142" t="s">
        <v>1301</v>
      </c>
      <c r="L206" s="143" t="s">
        <v>40</v>
      </c>
      <c r="M206" s="135">
        <v>25954</v>
      </c>
      <c r="N206" s="136">
        <v>940999797</v>
      </c>
      <c r="O206" s="144" t="s">
        <v>1302</v>
      </c>
      <c r="P206" s="136" t="s">
        <v>1303</v>
      </c>
      <c r="Q206" s="136" t="s">
        <v>1304</v>
      </c>
      <c r="R206" s="136" t="s">
        <v>1045</v>
      </c>
      <c r="S206" s="136" t="s">
        <v>1045</v>
      </c>
      <c r="T206" s="136" t="s">
        <v>45</v>
      </c>
      <c r="U206" s="136" t="s">
        <v>55</v>
      </c>
      <c r="V206" s="137">
        <v>36163</v>
      </c>
      <c r="W206" s="138">
        <v>420406</v>
      </c>
      <c r="X206" s="137" t="s">
        <v>85</v>
      </c>
      <c r="Y206" s="140" t="str">
        <f t="shared" si="48"/>
        <v>NO APLICA</v>
      </c>
      <c r="Z206" s="140" t="str">
        <f t="shared" si="49"/>
        <v>NO APLICA</v>
      </c>
      <c r="AA206" s="136" t="s">
        <v>49</v>
      </c>
      <c r="AB206" s="141">
        <v>15</v>
      </c>
      <c r="AC206" s="73" t="s">
        <v>1771</v>
      </c>
      <c r="AD206" s="141">
        <v>12</v>
      </c>
      <c r="AE206" s="141" t="s">
        <v>1771</v>
      </c>
      <c r="AF206" s="141">
        <v>17</v>
      </c>
      <c r="AG206" s="20" t="s">
        <v>1771</v>
      </c>
      <c r="AH206" s="141">
        <v>15</v>
      </c>
      <c r="AI206" s="141" t="s">
        <v>1767</v>
      </c>
      <c r="AJ206" s="19" t="str">
        <f t="shared" si="43"/>
        <v>APROBADO</v>
      </c>
      <c r="AK206" s="218" t="s">
        <v>50</v>
      </c>
    </row>
    <row r="207" spans="1:46" ht="15" hidden="1" customHeight="1" x14ac:dyDescent="0.2">
      <c r="A207" s="9">
        <v>79</v>
      </c>
      <c r="B207" s="10">
        <v>239</v>
      </c>
      <c r="C207" s="10">
        <v>3</v>
      </c>
      <c r="D207" s="136" t="s">
        <v>1305</v>
      </c>
      <c r="E207" s="136" t="s">
        <v>1306</v>
      </c>
      <c r="F207" s="136" t="s">
        <v>34</v>
      </c>
      <c r="G207" s="136" t="s">
        <v>35</v>
      </c>
      <c r="H207" s="136" t="s">
        <v>36</v>
      </c>
      <c r="I207" s="136" t="s">
        <v>123</v>
      </c>
      <c r="J207" s="136" t="s">
        <v>38</v>
      </c>
      <c r="K207" s="134" t="s">
        <v>1307</v>
      </c>
      <c r="L207" s="134" t="s">
        <v>40</v>
      </c>
      <c r="M207" s="135">
        <v>29578</v>
      </c>
      <c r="N207" s="136">
        <v>914298916</v>
      </c>
      <c r="O207" s="144" t="s">
        <v>1308</v>
      </c>
      <c r="P207" s="136" t="s">
        <v>1309</v>
      </c>
      <c r="Q207" s="136" t="s">
        <v>1310</v>
      </c>
      <c r="R207" s="136" t="s">
        <v>1294</v>
      </c>
      <c r="S207" s="136" t="s">
        <v>1295</v>
      </c>
      <c r="T207" s="136" t="s">
        <v>55</v>
      </c>
      <c r="U207" s="136" t="s">
        <v>358</v>
      </c>
      <c r="V207" s="137" t="s">
        <v>1311</v>
      </c>
      <c r="W207" s="138" t="s">
        <v>1311</v>
      </c>
      <c r="X207" s="137" t="s">
        <v>85</v>
      </c>
      <c r="Y207" s="140" t="str">
        <f t="shared" si="48"/>
        <v>NO APLICA</v>
      </c>
      <c r="Z207" s="140" t="str">
        <f t="shared" si="49"/>
        <v>NO APLICA</v>
      </c>
      <c r="AA207" s="136" t="s">
        <v>49</v>
      </c>
      <c r="AB207" s="141">
        <v>4</v>
      </c>
      <c r="AC207" s="223" t="s">
        <v>1770</v>
      </c>
      <c r="AD207" s="141">
        <v>3</v>
      </c>
      <c r="AE207" s="223" t="s">
        <v>1772</v>
      </c>
      <c r="AF207" s="141">
        <v>7</v>
      </c>
      <c r="AG207" s="124" t="s">
        <v>1770</v>
      </c>
      <c r="AH207" s="141">
        <v>2</v>
      </c>
      <c r="AI207" s="141" t="s">
        <v>1770</v>
      </c>
      <c r="AJ207" s="219" t="s">
        <v>70</v>
      </c>
      <c r="AK207" s="218" t="s">
        <v>70</v>
      </c>
    </row>
    <row r="208" spans="1:46" ht="15" hidden="1" customHeight="1" x14ac:dyDescent="0.2">
      <c r="A208" s="9">
        <v>79</v>
      </c>
      <c r="B208" s="10">
        <v>229</v>
      </c>
      <c r="C208" s="10">
        <v>4</v>
      </c>
      <c r="D208" s="132" t="s">
        <v>1312</v>
      </c>
      <c r="E208" s="132" t="s">
        <v>1313</v>
      </c>
      <c r="F208" s="132" t="s">
        <v>34</v>
      </c>
      <c r="G208" s="132" t="s">
        <v>35</v>
      </c>
      <c r="H208" s="132" t="s">
        <v>101</v>
      </c>
      <c r="I208" s="132" t="s">
        <v>123</v>
      </c>
      <c r="J208" s="132" t="s">
        <v>38</v>
      </c>
      <c r="K208" s="133" t="s">
        <v>1314</v>
      </c>
      <c r="L208" s="134" t="s">
        <v>40</v>
      </c>
      <c r="M208" s="135">
        <v>31222</v>
      </c>
      <c r="N208" s="136">
        <v>936246434</v>
      </c>
      <c r="O208" s="136" t="s">
        <v>1315</v>
      </c>
      <c r="P208" s="136" t="s">
        <v>1294</v>
      </c>
      <c r="Q208" s="136" t="s">
        <v>1294</v>
      </c>
      <c r="R208" s="136" t="s">
        <v>1294</v>
      </c>
      <c r="S208" s="136" t="s">
        <v>1295</v>
      </c>
      <c r="T208" s="136" t="s">
        <v>55</v>
      </c>
      <c r="U208" s="136" t="s">
        <v>1316</v>
      </c>
      <c r="V208" s="137" t="s">
        <v>1297</v>
      </c>
      <c r="W208" s="138">
        <v>600692</v>
      </c>
      <c r="X208" s="137" t="s">
        <v>48</v>
      </c>
      <c r="Y208" s="140" t="s">
        <v>1297</v>
      </c>
      <c r="Z208" s="140">
        <v>600692</v>
      </c>
      <c r="AA208" s="136" t="s">
        <v>1298</v>
      </c>
      <c r="AB208" s="141">
        <v>15</v>
      </c>
      <c r="AC208" s="73" t="s">
        <v>1771</v>
      </c>
      <c r="AD208" s="141">
        <v>14</v>
      </c>
      <c r="AE208" s="141" t="s">
        <v>1767</v>
      </c>
      <c r="AF208" s="141">
        <v>13</v>
      </c>
      <c r="AG208" s="20" t="s">
        <v>1771</v>
      </c>
      <c r="AH208" s="141">
        <v>12</v>
      </c>
      <c r="AI208" s="141" t="s">
        <v>1767</v>
      </c>
      <c r="AJ208" s="19" t="str">
        <f t="shared" si="43"/>
        <v>APROBADO</v>
      </c>
      <c r="AK208" s="218" t="s">
        <v>50</v>
      </c>
    </row>
    <row r="209" spans="1:37" ht="15" hidden="1" customHeight="1" x14ac:dyDescent="0.2">
      <c r="A209" s="9">
        <v>79</v>
      </c>
      <c r="B209" s="10">
        <v>238</v>
      </c>
      <c r="C209" s="10">
        <v>5</v>
      </c>
      <c r="D209" s="136" t="s">
        <v>1317</v>
      </c>
      <c r="E209" s="136" t="s">
        <v>1318</v>
      </c>
      <c r="F209" s="136" t="s">
        <v>34</v>
      </c>
      <c r="G209" s="136" t="s">
        <v>35</v>
      </c>
      <c r="H209" s="136" t="s">
        <v>73</v>
      </c>
      <c r="I209" s="136" t="s">
        <v>123</v>
      </c>
      <c r="J209" s="136" t="s">
        <v>38</v>
      </c>
      <c r="K209" s="134" t="s">
        <v>1319</v>
      </c>
      <c r="L209" s="134" t="s">
        <v>40</v>
      </c>
      <c r="M209" s="135">
        <v>28329</v>
      </c>
      <c r="N209" s="136">
        <v>993872092</v>
      </c>
      <c r="O209" s="136" t="s">
        <v>1320</v>
      </c>
      <c r="P209" s="136" t="s">
        <v>1321</v>
      </c>
      <c r="Q209" s="136" t="s">
        <v>1322</v>
      </c>
      <c r="R209" s="136" t="s">
        <v>1322</v>
      </c>
      <c r="S209" s="136" t="s">
        <v>1295</v>
      </c>
      <c r="T209" s="136" t="s">
        <v>55</v>
      </c>
      <c r="U209" s="136" t="s">
        <v>358</v>
      </c>
      <c r="V209" s="137" t="s">
        <v>1311</v>
      </c>
      <c r="W209" s="138" t="s">
        <v>1311</v>
      </c>
      <c r="X209" s="137" t="s">
        <v>85</v>
      </c>
      <c r="Y209" s="140" t="str">
        <f>IF(X209="NO","NO APLICA","ESCRIBA EL NOMBRE DEL IIEE")</f>
        <v>NO APLICA</v>
      </c>
      <c r="Z209" s="140" t="str">
        <f>IF(Y209="NO APLICA","NO APLICA","ESCRIBA EL CÓDIGO MODULAR")</f>
        <v>NO APLICA</v>
      </c>
      <c r="AA209" s="136" t="s">
        <v>49</v>
      </c>
      <c r="AB209" s="141">
        <v>14</v>
      </c>
      <c r="AC209" s="73" t="s">
        <v>1771</v>
      </c>
      <c r="AD209" s="141">
        <v>14</v>
      </c>
      <c r="AE209" s="141" t="s">
        <v>1767</v>
      </c>
      <c r="AF209" s="141">
        <v>15</v>
      </c>
      <c r="AG209" s="20" t="s">
        <v>1771</v>
      </c>
      <c r="AH209" s="141">
        <v>14</v>
      </c>
      <c r="AI209" s="141" t="s">
        <v>1767</v>
      </c>
      <c r="AJ209" s="19" t="str">
        <f t="shared" si="43"/>
        <v>APROBADO</v>
      </c>
      <c r="AK209" s="218" t="s">
        <v>50</v>
      </c>
    </row>
    <row r="210" spans="1:37" ht="15" hidden="1" customHeight="1" x14ac:dyDescent="0.2">
      <c r="A210" s="9">
        <v>79</v>
      </c>
      <c r="B210" s="10">
        <v>230</v>
      </c>
      <c r="C210" s="10">
        <v>6</v>
      </c>
      <c r="D210" s="132" t="s">
        <v>1323</v>
      </c>
      <c r="E210" s="132" t="s">
        <v>1324</v>
      </c>
      <c r="F210" s="132" t="s">
        <v>60</v>
      </c>
      <c r="G210" s="132" t="s">
        <v>61</v>
      </c>
      <c r="H210" s="132" t="s">
        <v>101</v>
      </c>
      <c r="I210" s="132" t="s">
        <v>123</v>
      </c>
      <c r="J210" s="132" t="s">
        <v>38</v>
      </c>
      <c r="K210" s="133">
        <v>44960421</v>
      </c>
      <c r="L210" s="134" t="s">
        <v>40</v>
      </c>
      <c r="M210" s="135">
        <v>32143</v>
      </c>
      <c r="N210" s="136">
        <v>917257601</v>
      </c>
      <c r="O210" s="136" t="s">
        <v>1325</v>
      </c>
      <c r="P210" s="136" t="s">
        <v>1326</v>
      </c>
      <c r="Q210" s="136" t="s">
        <v>1294</v>
      </c>
      <c r="R210" s="136" t="s">
        <v>1294</v>
      </c>
      <c r="S210" s="136" t="s">
        <v>1295</v>
      </c>
      <c r="T210" s="136" t="s">
        <v>55</v>
      </c>
      <c r="U210" s="136" t="s">
        <v>1327</v>
      </c>
      <c r="V210" s="137" t="s">
        <v>1297</v>
      </c>
      <c r="W210" s="138">
        <v>600692</v>
      </c>
      <c r="X210" s="137" t="s">
        <v>48</v>
      </c>
      <c r="Y210" s="140" t="s">
        <v>1297</v>
      </c>
      <c r="Z210" s="140">
        <v>600692</v>
      </c>
      <c r="AA210" s="136" t="s">
        <v>1298</v>
      </c>
      <c r="AB210" s="141">
        <v>11</v>
      </c>
      <c r="AC210" s="141" t="s">
        <v>1768</v>
      </c>
      <c r="AD210" s="141">
        <v>12</v>
      </c>
      <c r="AE210" s="141" t="s">
        <v>1767</v>
      </c>
      <c r="AF210" s="141">
        <v>12</v>
      </c>
      <c r="AG210" s="20" t="s">
        <v>1771</v>
      </c>
      <c r="AH210" s="141">
        <v>11</v>
      </c>
      <c r="AI210" s="141" t="s">
        <v>1769</v>
      </c>
      <c r="AJ210" s="24" t="s">
        <v>50</v>
      </c>
      <c r="AK210" s="218" t="s">
        <v>50</v>
      </c>
    </row>
    <row r="211" spans="1:37" ht="15" hidden="1" customHeight="1" x14ac:dyDescent="0.2">
      <c r="A211" s="9">
        <v>79</v>
      </c>
      <c r="B211" s="10">
        <v>212</v>
      </c>
      <c r="C211" s="10">
        <v>7</v>
      </c>
      <c r="D211" s="132" t="s">
        <v>1328</v>
      </c>
      <c r="E211" s="132" t="s">
        <v>1329</v>
      </c>
      <c r="F211" s="132" t="s">
        <v>34</v>
      </c>
      <c r="G211" s="132" t="s">
        <v>35</v>
      </c>
      <c r="H211" s="132" t="s">
        <v>73</v>
      </c>
      <c r="I211" s="132" t="s">
        <v>123</v>
      </c>
      <c r="J211" s="132" t="s">
        <v>38</v>
      </c>
      <c r="K211" s="133">
        <v>23271130</v>
      </c>
      <c r="L211" s="134" t="s">
        <v>40</v>
      </c>
      <c r="M211" s="135">
        <v>27205</v>
      </c>
      <c r="N211" s="136">
        <v>918805639</v>
      </c>
      <c r="O211" s="136" t="s">
        <v>1330</v>
      </c>
      <c r="P211" s="136" t="s">
        <v>1331</v>
      </c>
      <c r="Q211" s="136" t="s">
        <v>1332</v>
      </c>
      <c r="R211" s="136" t="s">
        <v>1295</v>
      </c>
      <c r="S211" s="136" t="s">
        <v>1295</v>
      </c>
      <c r="T211" s="136" t="s">
        <v>45</v>
      </c>
      <c r="U211" s="136" t="s">
        <v>55</v>
      </c>
      <c r="V211" s="137">
        <v>130</v>
      </c>
      <c r="W211" s="138">
        <v>421594</v>
      </c>
      <c r="X211" s="137" t="s">
        <v>85</v>
      </c>
      <c r="Y211" s="140" t="str">
        <f t="shared" ref="Y211:Y212" si="50">IF(X211="NO","NO APLICA","ESCRIBA EL NOMBRE DEL IIEE")</f>
        <v>NO APLICA</v>
      </c>
      <c r="Z211" s="140" t="str">
        <f t="shared" ref="Z211:Z212" si="51">IF(Y211="NO APLICA","NO APLICA","ESCRIBA EL CÓDIGO MODULAR")</f>
        <v>NO APLICA</v>
      </c>
      <c r="AA211" s="136" t="s">
        <v>49</v>
      </c>
      <c r="AB211" s="141">
        <v>11</v>
      </c>
      <c r="AC211" s="141" t="s">
        <v>1768</v>
      </c>
      <c r="AD211" s="141">
        <v>14</v>
      </c>
      <c r="AE211" s="141" t="s">
        <v>1767</v>
      </c>
      <c r="AF211" s="141">
        <v>11</v>
      </c>
      <c r="AG211" s="141" t="s">
        <v>1768</v>
      </c>
      <c r="AH211" s="141">
        <v>14</v>
      </c>
      <c r="AI211" s="141" t="s">
        <v>1767</v>
      </c>
      <c r="AJ211" s="24" t="s">
        <v>50</v>
      </c>
      <c r="AK211" s="218" t="s">
        <v>50</v>
      </c>
    </row>
    <row r="212" spans="1:37" ht="15" hidden="1" customHeight="1" x14ac:dyDescent="0.2">
      <c r="A212" s="9">
        <v>79</v>
      </c>
      <c r="B212" s="10">
        <v>226</v>
      </c>
      <c r="C212" s="10">
        <v>8</v>
      </c>
      <c r="D212" s="132" t="s">
        <v>1333</v>
      </c>
      <c r="E212" s="132" t="s">
        <v>1334</v>
      </c>
      <c r="F212" s="132" t="s">
        <v>155</v>
      </c>
      <c r="G212" s="132" t="s">
        <v>35</v>
      </c>
      <c r="H212" s="132" t="s">
        <v>141</v>
      </c>
      <c r="I212" s="132" t="s">
        <v>123</v>
      </c>
      <c r="J212" s="132" t="s">
        <v>38</v>
      </c>
      <c r="K212" s="133">
        <v>44796434</v>
      </c>
      <c r="L212" s="134" t="s">
        <v>40</v>
      </c>
      <c r="M212" s="135">
        <v>32148</v>
      </c>
      <c r="N212" s="136">
        <v>986591994</v>
      </c>
      <c r="O212" s="136" t="s">
        <v>1335</v>
      </c>
      <c r="P212" s="136" t="s">
        <v>1336</v>
      </c>
      <c r="Q212" s="136" t="s">
        <v>1294</v>
      </c>
      <c r="R212" s="136" t="s">
        <v>1294</v>
      </c>
      <c r="S212" s="136" t="s">
        <v>1295</v>
      </c>
      <c r="T212" s="136" t="s">
        <v>45</v>
      </c>
      <c r="U212" s="136" t="s">
        <v>1337</v>
      </c>
      <c r="V212" s="137" t="s">
        <v>1297</v>
      </c>
      <c r="W212" s="138">
        <v>600692</v>
      </c>
      <c r="X212" s="137" t="s">
        <v>85</v>
      </c>
      <c r="Y212" s="140" t="str">
        <f t="shared" si="50"/>
        <v>NO APLICA</v>
      </c>
      <c r="Z212" s="140" t="str">
        <f t="shared" si="51"/>
        <v>NO APLICA</v>
      </c>
      <c r="AA212" s="136" t="s">
        <v>1298</v>
      </c>
      <c r="AB212" s="141">
        <v>11</v>
      </c>
      <c r="AC212" s="141" t="s">
        <v>1768</v>
      </c>
      <c r="AD212" s="141">
        <v>11</v>
      </c>
      <c r="AE212" s="141" t="s">
        <v>1768</v>
      </c>
      <c r="AF212" s="141">
        <v>16</v>
      </c>
      <c r="AG212" s="20" t="s">
        <v>1771</v>
      </c>
      <c r="AH212" s="141">
        <v>11</v>
      </c>
      <c r="AI212" s="141" t="s">
        <v>1769</v>
      </c>
      <c r="AJ212" s="19" t="str">
        <f t="shared" ref="AJ212:AJ213" si="52">IF(AND(AB212&gt;=11,AD212&gt;=11,AF212&gt;=11,AH212&gt;=11),"APROBADO","DESAPROBADO")</f>
        <v>APROBADO</v>
      </c>
      <c r="AK212" s="218" t="s">
        <v>50</v>
      </c>
    </row>
    <row r="213" spans="1:37" ht="15" hidden="1" customHeight="1" x14ac:dyDescent="0.2">
      <c r="A213" s="9">
        <v>79</v>
      </c>
      <c r="B213" s="10">
        <v>208</v>
      </c>
      <c r="C213" s="10">
        <v>9</v>
      </c>
      <c r="D213" s="132" t="s">
        <v>1338</v>
      </c>
      <c r="E213" s="132" t="s">
        <v>1339</v>
      </c>
      <c r="F213" s="132" t="s">
        <v>34</v>
      </c>
      <c r="G213" s="132" t="s">
        <v>35</v>
      </c>
      <c r="H213" s="132" t="s">
        <v>73</v>
      </c>
      <c r="I213" s="132" t="s">
        <v>123</v>
      </c>
      <c r="J213" s="132" t="s">
        <v>38</v>
      </c>
      <c r="K213" s="133">
        <v>20063239</v>
      </c>
      <c r="L213" s="134" t="s">
        <v>40</v>
      </c>
      <c r="M213" s="135">
        <v>28687</v>
      </c>
      <c r="N213" s="136">
        <v>930639961</v>
      </c>
      <c r="O213" s="144" t="s">
        <v>1340</v>
      </c>
      <c r="P213" s="136" t="s">
        <v>1294</v>
      </c>
      <c r="Q213" s="136" t="s">
        <v>1294</v>
      </c>
      <c r="R213" s="136" t="s">
        <v>1294</v>
      </c>
      <c r="S213" s="136" t="s">
        <v>1295</v>
      </c>
      <c r="T213" s="136" t="s">
        <v>55</v>
      </c>
      <c r="U213" s="136" t="s">
        <v>46</v>
      </c>
      <c r="V213" s="137">
        <v>592</v>
      </c>
      <c r="W213" s="138">
        <v>1402692</v>
      </c>
      <c r="X213" s="137" t="s">
        <v>48</v>
      </c>
      <c r="Y213" s="140" t="s">
        <v>1341</v>
      </c>
      <c r="Z213" s="140">
        <v>1618818</v>
      </c>
      <c r="AA213" s="136" t="s">
        <v>49</v>
      </c>
      <c r="AB213" s="141">
        <v>11</v>
      </c>
      <c r="AC213" s="141" t="s">
        <v>1768</v>
      </c>
      <c r="AD213" s="141">
        <v>12</v>
      </c>
      <c r="AE213" s="141" t="s">
        <v>1767</v>
      </c>
      <c r="AF213" s="141">
        <v>14</v>
      </c>
      <c r="AG213" s="20" t="s">
        <v>1771</v>
      </c>
      <c r="AH213" s="141">
        <v>15</v>
      </c>
      <c r="AI213" s="141" t="s">
        <v>1767</v>
      </c>
      <c r="AJ213" s="19" t="str">
        <f t="shared" si="52"/>
        <v>APROBADO</v>
      </c>
      <c r="AK213" s="218" t="s">
        <v>50</v>
      </c>
    </row>
    <row r="214" spans="1:37" ht="15" hidden="1" customHeight="1" x14ac:dyDescent="0.2">
      <c r="A214" s="9">
        <v>79</v>
      </c>
      <c r="B214" s="10">
        <v>217</v>
      </c>
      <c r="C214" s="10">
        <v>10</v>
      </c>
      <c r="D214" s="132" t="s">
        <v>1342</v>
      </c>
      <c r="E214" s="132" t="s">
        <v>1343</v>
      </c>
      <c r="F214" s="132" t="s">
        <v>34</v>
      </c>
      <c r="G214" s="132" t="s">
        <v>35</v>
      </c>
      <c r="H214" s="132" t="s">
        <v>73</v>
      </c>
      <c r="I214" s="132" t="s">
        <v>123</v>
      </c>
      <c r="J214" s="132" t="s">
        <v>38</v>
      </c>
      <c r="K214" s="133" t="s">
        <v>1344</v>
      </c>
      <c r="L214" s="134" t="s">
        <v>40</v>
      </c>
      <c r="M214" s="135">
        <v>33672</v>
      </c>
      <c r="N214" s="136">
        <v>987822828</v>
      </c>
      <c r="O214" s="144" t="s">
        <v>1345</v>
      </c>
      <c r="P214" s="136" t="s">
        <v>1346</v>
      </c>
      <c r="Q214" s="136" t="s">
        <v>1347</v>
      </c>
      <c r="R214" s="136" t="s">
        <v>1347</v>
      </c>
      <c r="S214" s="136" t="s">
        <v>1295</v>
      </c>
      <c r="T214" s="136" t="s">
        <v>45</v>
      </c>
      <c r="U214" s="136" t="s">
        <v>55</v>
      </c>
      <c r="V214" s="137">
        <v>846</v>
      </c>
      <c r="W214" s="138">
        <v>1374834</v>
      </c>
      <c r="X214" s="137" t="s">
        <v>85</v>
      </c>
      <c r="Y214" s="140" t="str">
        <f>IF(X214="NO","NO APLICA","ESCRIBA EL NOMBRE DEL IIEE")</f>
        <v>NO APLICA</v>
      </c>
      <c r="Z214" s="140" t="str">
        <f>IF(Y214="NO APLICA","NO APLICA","ESCRIBA EL CÓDIGO MODULAR")</f>
        <v>NO APLICA</v>
      </c>
      <c r="AA214" s="136" t="s">
        <v>49</v>
      </c>
      <c r="AB214" s="141">
        <v>12</v>
      </c>
      <c r="AC214" s="73" t="s">
        <v>1771</v>
      </c>
      <c r="AD214" s="141">
        <v>12</v>
      </c>
      <c r="AE214" s="141" t="s">
        <v>1767</v>
      </c>
      <c r="AF214" s="141">
        <v>11</v>
      </c>
      <c r="AG214" s="141" t="s">
        <v>1768</v>
      </c>
      <c r="AH214" s="141">
        <v>7</v>
      </c>
      <c r="AI214" s="141" t="s">
        <v>1770</v>
      </c>
      <c r="AJ214" s="24" t="s">
        <v>57</v>
      </c>
      <c r="AK214" s="218" t="s">
        <v>57</v>
      </c>
    </row>
    <row r="215" spans="1:37" ht="15" hidden="1" customHeight="1" x14ac:dyDescent="0.2">
      <c r="A215" s="9">
        <v>79</v>
      </c>
      <c r="B215" s="10">
        <v>213</v>
      </c>
      <c r="C215" s="10">
        <v>11</v>
      </c>
      <c r="D215" s="132" t="s">
        <v>1348</v>
      </c>
      <c r="E215" s="132" t="s">
        <v>1349</v>
      </c>
      <c r="F215" s="132" t="s">
        <v>60</v>
      </c>
      <c r="G215" s="132" t="s">
        <v>61</v>
      </c>
      <c r="H215" s="132" t="s">
        <v>62</v>
      </c>
      <c r="I215" s="132" t="s">
        <v>123</v>
      </c>
      <c r="J215" s="132" t="s">
        <v>38</v>
      </c>
      <c r="K215" s="133" t="s">
        <v>1350</v>
      </c>
      <c r="L215" s="134" t="s">
        <v>40</v>
      </c>
      <c r="M215" s="135">
        <v>24804</v>
      </c>
      <c r="N215" s="136">
        <v>946748536</v>
      </c>
      <c r="O215" s="144" t="s">
        <v>1351</v>
      </c>
      <c r="P215" s="136" t="s">
        <v>1352</v>
      </c>
      <c r="Q215" s="136" t="s">
        <v>1310</v>
      </c>
      <c r="R215" s="136" t="s">
        <v>1294</v>
      </c>
      <c r="S215" s="136" t="s">
        <v>1295</v>
      </c>
      <c r="T215" s="136" t="s">
        <v>45</v>
      </c>
      <c r="U215" s="136" t="s">
        <v>55</v>
      </c>
      <c r="V215" s="137">
        <v>36163</v>
      </c>
      <c r="W215" s="138">
        <v>420406</v>
      </c>
      <c r="X215" s="137" t="s">
        <v>48</v>
      </c>
      <c r="Y215" s="140">
        <v>36163</v>
      </c>
      <c r="Z215" s="140">
        <v>420406</v>
      </c>
      <c r="AA215" s="136" t="s">
        <v>49</v>
      </c>
      <c r="AB215" s="141">
        <v>12</v>
      </c>
      <c r="AC215" s="73" t="s">
        <v>1771</v>
      </c>
      <c r="AD215" s="141">
        <v>12</v>
      </c>
      <c r="AE215" s="141" t="s">
        <v>1767</v>
      </c>
      <c r="AF215" s="141">
        <v>14</v>
      </c>
      <c r="AG215" s="20" t="s">
        <v>1771</v>
      </c>
      <c r="AH215" s="141">
        <v>13</v>
      </c>
      <c r="AI215" s="141" t="s">
        <v>1767</v>
      </c>
      <c r="AJ215" s="24" t="s">
        <v>50</v>
      </c>
      <c r="AK215" s="218" t="s">
        <v>50</v>
      </c>
    </row>
    <row r="216" spans="1:37" ht="15" hidden="1" customHeight="1" x14ac:dyDescent="0.2">
      <c r="A216" s="9">
        <v>79</v>
      </c>
      <c r="B216" s="10">
        <v>219</v>
      </c>
      <c r="C216" s="10">
        <v>12</v>
      </c>
      <c r="D216" s="132" t="s">
        <v>1353</v>
      </c>
      <c r="E216" s="132" t="s">
        <v>1354</v>
      </c>
      <c r="F216" s="132" t="s">
        <v>34</v>
      </c>
      <c r="G216" s="132" t="s">
        <v>35</v>
      </c>
      <c r="H216" s="132" t="s">
        <v>36</v>
      </c>
      <c r="I216" s="132" t="s">
        <v>123</v>
      </c>
      <c r="J216" s="132" t="s">
        <v>38</v>
      </c>
      <c r="K216" s="133">
        <v>23379814</v>
      </c>
      <c r="L216" s="133" t="s">
        <v>40</v>
      </c>
      <c r="M216" s="135">
        <v>24643</v>
      </c>
      <c r="N216" s="136">
        <v>985758811</v>
      </c>
      <c r="O216" s="136" t="s">
        <v>1355</v>
      </c>
      <c r="P216" s="136" t="s">
        <v>1356</v>
      </c>
      <c r="Q216" s="136" t="s">
        <v>1294</v>
      </c>
      <c r="R216" s="136" t="s">
        <v>1294</v>
      </c>
      <c r="S216" s="136" t="s">
        <v>1295</v>
      </c>
      <c r="T216" s="136" t="s">
        <v>55</v>
      </c>
      <c r="U216" s="136" t="s">
        <v>867</v>
      </c>
      <c r="V216" s="137" t="s">
        <v>1297</v>
      </c>
      <c r="W216" s="138">
        <v>600692</v>
      </c>
      <c r="X216" s="137" t="s">
        <v>48</v>
      </c>
      <c r="Y216" s="140" t="s">
        <v>1297</v>
      </c>
      <c r="Z216" s="140">
        <v>600692</v>
      </c>
      <c r="AA216" s="136" t="s">
        <v>1298</v>
      </c>
      <c r="AB216" s="141">
        <v>11</v>
      </c>
      <c r="AC216" s="141" t="s">
        <v>1769</v>
      </c>
      <c r="AD216" s="141">
        <v>11</v>
      </c>
      <c r="AE216" s="141" t="s">
        <v>1768</v>
      </c>
      <c r="AF216" s="141">
        <v>14</v>
      </c>
      <c r="AG216" s="20" t="s">
        <v>1771</v>
      </c>
      <c r="AH216" s="141">
        <v>14</v>
      </c>
      <c r="AI216" s="141" t="s">
        <v>1767</v>
      </c>
      <c r="AJ216" s="19" t="str">
        <f t="shared" ref="AJ216:AJ221" si="53">IF(AND(AB216&gt;=11,AD216&gt;=11,AF216&gt;=11,AH216&gt;=11),"APROBADO","DESAPROBADO")</f>
        <v>APROBADO</v>
      </c>
      <c r="AK216" s="218" t="s">
        <v>50</v>
      </c>
    </row>
    <row r="217" spans="1:37" ht="15" hidden="1" customHeight="1" x14ac:dyDescent="0.2">
      <c r="A217" s="9">
        <v>79</v>
      </c>
      <c r="B217" s="10">
        <v>223</v>
      </c>
      <c r="C217" s="10">
        <v>13</v>
      </c>
      <c r="D217" s="132" t="s">
        <v>1357</v>
      </c>
      <c r="E217" s="132" t="s">
        <v>1358</v>
      </c>
      <c r="F217" s="132" t="s">
        <v>60</v>
      </c>
      <c r="G217" s="132" t="s">
        <v>61</v>
      </c>
      <c r="H217" s="132" t="s">
        <v>62</v>
      </c>
      <c r="I217" s="132" t="s">
        <v>123</v>
      </c>
      <c r="J217" s="132" t="s">
        <v>38</v>
      </c>
      <c r="K217" s="133" t="s">
        <v>1359</v>
      </c>
      <c r="L217" s="134" t="s">
        <v>40</v>
      </c>
      <c r="M217" s="135">
        <v>29107</v>
      </c>
      <c r="N217" s="136">
        <v>956338160</v>
      </c>
      <c r="O217" s="136" t="s">
        <v>1360</v>
      </c>
      <c r="P217" s="136" t="s">
        <v>1294</v>
      </c>
      <c r="Q217" s="136" t="s">
        <v>1361</v>
      </c>
      <c r="R217" s="136" t="s">
        <v>1294</v>
      </c>
      <c r="S217" s="136" t="s">
        <v>1295</v>
      </c>
      <c r="T217" s="136" t="s">
        <v>55</v>
      </c>
      <c r="U217" s="136" t="s">
        <v>1362</v>
      </c>
      <c r="V217" s="137" t="s">
        <v>1297</v>
      </c>
      <c r="W217" s="138">
        <v>600692</v>
      </c>
      <c r="X217" s="137" t="s">
        <v>85</v>
      </c>
      <c r="Y217" s="140" t="str">
        <f>IF(X217="NO","NO APLICA","ESCRIBA EL NOMBRE DEL IIEE")</f>
        <v>NO APLICA</v>
      </c>
      <c r="Z217" s="140" t="str">
        <f>IF(Y217="NO APLICA","NO APLICA","ESCRIBA EL CÓDIGO MODULAR")</f>
        <v>NO APLICA</v>
      </c>
      <c r="AA217" s="136" t="s">
        <v>1298</v>
      </c>
      <c r="AB217" s="141">
        <v>2</v>
      </c>
      <c r="AC217" s="141" t="s">
        <v>1772</v>
      </c>
      <c r="AD217" s="141">
        <v>0</v>
      </c>
      <c r="AE217" s="141" t="s">
        <v>1770</v>
      </c>
      <c r="AF217" s="141">
        <v>3</v>
      </c>
      <c r="AG217" s="124" t="s">
        <v>1770</v>
      </c>
      <c r="AH217" s="141">
        <v>2</v>
      </c>
      <c r="AI217" s="141" t="s">
        <v>1770</v>
      </c>
      <c r="AJ217" s="19" t="str">
        <f t="shared" si="53"/>
        <v>DESAPROBADO</v>
      </c>
      <c r="AK217" s="218" t="s">
        <v>57</v>
      </c>
    </row>
    <row r="218" spans="1:37" ht="15" hidden="1" customHeight="1" x14ac:dyDescent="0.2">
      <c r="A218" s="9">
        <v>79</v>
      </c>
      <c r="B218" s="10">
        <v>237</v>
      </c>
      <c r="C218" s="10">
        <v>14</v>
      </c>
      <c r="D218" s="136" t="s">
        <v>1363</v>
      </c>
      <c r="E218" s="136" t="s">
        <v>1364</v>
      </c>
      <c r="F218" s="136" t="s">
        <v>34</v>
      </c>
      <c r="G218" s="136" t="s">
        <v>35</v>
      </c>
      <c r="H218" s="136" t="s">
        <v>890</v>
      </c>
      <c r="I218" s="136" t="s">
        <v>123</v>
      </c>
      <c r="J218" s="136" t="s">
        <v>38</v>
      </c>
      <c r="K218" s="134" t="s">
        <v>1365</v>
      </c>
      <c r="L218" s="134" t="s">
        <v>40</v>
      </c>
      <c r="M218" s="135">
        <v>25716</v>
      </c>
      <c r="N218" s="136">
        <v>925835457</v>
      </c>
      <c r="O218" s="136" t="s">
        <v>1366</v>
      </c>
      <c r="P218" s="136" t="s">
        <v>1367</v>
      </c>
      <c r="Q218" s="136" t="s">
        <v>1294</v>
      </c>
      <c r="R218" s="136" t="s">
        <v>1294</v>
      </c>
      <c r="S218" s="136" t="s">
        <v>1295</v>
      </c>
      <c r="T218" s="136" t="s">
        <v>55</v>
      </c>
      <c r="U218" s="136" t="s">
        <v>358</v>
      </c>
      <c r="V218" s="137" t="s">
        <v>1311</v>
      </c>
      <c r="W218" s="138" t="s">
        <v>1311</v>
      </c>
      <c r="X218" s="137" t="s">
        <v>48</v>
      </c>
      <c r="Y218" s="140" t="s">
        <v>1311</v>
      </c>
      <c r="Z218" s="140" t="s">
        <v>1311</v>
      </c>
      <c r="AA218" s="136" t="s">
        <v>1298</v>
      </c>
      <c r="AB218" s="141">
        <v>16</v>
      </c>
      <c r="AC218" s="141" t="s">
        <v>1771</v>
      </c>
      <c r="AD218" s="141">
        <v>13</v>
      </c>
      <c r="AE218" s="141" t="s">
        <v>1767</v>
      </c>
      <c r="AF218" s="141">
        <v>17</v>
      </c>
      <c r="AG218" s="20" t="s">
        <v>1771</v>
      </c>
      <c r="AH218" s="141">
        <v>14</v>
      </c>
      <c r="AI218" s="141" t="s">
        <v>1767</v>
      </c>
      <c r="AJ218" s="19" t="str">
        <f t="shared" si="53"/>
        <v>APROBADO</v>
      </c>
      <c r="AK218" s="218" t="s">
        <v>50</v>
      </c>
    </row>
    <row r="219" spans="1:37" ht="15" hidden="1" customHeight="1" x14ac:dyDescent="0.2">
      <c r="A219" s="9">
        <v>79</v>
      </c>
      <c r="B219" s="10">
        <v>221</v>
      </c>
      <c r="C219" s="10">
        <v>15</v>
      </c>
      <c r="D219" s="132" t="s">
        <v>1368</v>
      </c>
      <c r="E219" s="132" t="s">
        <v>1369</v>
      </c>
      <c r="F219" s="132" t="s">
        <v>34</v>
      </c>
      <c r="G219" s="132" t="s">
        <v>35</v>
      </c>
      <c r="H219" s="132" t="s">
        <v>1175</v>
      </c>
      <c r="I219" s="132" t="s">
        <v>132</v>
      </c>
      <c r="J219" s="132" t="s">
        <v>38</v>
      </c>
      <c r="K219" s="133" t="s">
        <v>1370</v>
      </c>
      <c r="L219" s="134" t="s">
        <v>40</v>
      </c>
      <c r="M219" s="135">
        <v>27587</v>
      </c>
      <c r="N219" s="136">
        <v>989461807</v>
      </c>
      <c r="O219" s="136" t="s">
        <v>1371</v>
      </c>
      <c r="P219" s="136" t="s">
        <v>1372</v>
      </c>
      <c r="Q219" s="136" t="s">
        <v>1361</v>
      </c>
      <c r="R219" s="136" t="s">
        <v>1294</v>
      </c>
      <c r="S219" s="136" t="s">
        <v>1295</v>
      </c>
      <c r="T219" s="136" t="s">
        <v>55</v>
      </c>
      <c r="U219" s="136" t="s">
        <v>1373</v>
      </c>
      <c r="V219" s="137" t="s">
        <v>1297</v>
      </c>
      <c r="W219" s="138">
        <v>600692</v>
      </c>
      <c r="X219" s="137" t="s">
        <v>48</v>
      </c>
      <c r="Y219" s="140" t="s">
        <v>1297</v>
      </c>
      <c r="Z219" s="140">
        <v>600692</v>
      </c>
      <c r="AA219" s="136" t="s">
        <v>1298</v>
      </c>
      <c r="AB219" s="141">
        <v>16</v>
      </c>
      <c r="AC219" s="141" t="s">
        <v>1771</v>
      </c>
      <c r="AD219" s="141">
        <v>12</v>
      </c>
      <c r="AE219" s="141" t="s">
        <v>1767</v>
      </c>
      <c r="AF219" s="141">
        <v>13</v>
      </c>
      <c r="AG219" s="20" t="s">
        <v>1771</v>
      </c>
      <c r="AH219" s="141">
        <v>13</v>
      </c>
      <c r="AI219" s="141" t="s">
        <v>1767</v>
      </c>
      <c r="AJ219" s="19" t="str">
        <f t="shared" si="53"/>
        <v>APROBADO</v>
      </c>
      <c r="AK219" s="218" t="s">
        <v>50</v>
      </c>
    </row>
    <row r="220" spans="1:37" ht="15" hidden="1" customHeight="1" x14ac:dyDescent="0.2">
      <c r="A220" s="9">
        <v>79</v>
      </c>
      <c r="B220" s="10">
        <v>235</v>
      </c>
      <c r="C220" s="10">
        <v>16</v>
      </c>
      <c r="D220" s="136" t="s">
        <v>1374</v>
      </c>
      <c r="E220" s="136" t="s">
        <v>1375</v>
      </c>
      <c r="F220" s="136" t="s">
        <v>34</v>
      </c>
      <c r="G220" s="136" t="s">
        <v>35</v>
      </c>
      <c r="H220" s="136" t="s">
        <v>73</v>
      </c>
      <c r="I220" s="136" t="s">
        <v>123</v>
      </c>
      <c r="J220" s="136" t="s">
        <v>38</v>
      </c>
      <c r="K220" s="134">
        <v>23270627</v>
      </c>
      <c r="L220" s="134" t="s">
        <v>40</v>
      </c>
      <c r="M220" s="135">
        <v>26991</v>
      </c>
      <c r="N220" s="136">
        <v>916439852</v>
      </c>
      <c r="O220" s="136" t="s">
        <v>1376</v>
      </c>
      <c r="P220" s="136" t="s">
        <v>1377</v>
      </c>
      <c r="Q220" s="136" t="s">
        <v>1322</v>
      </c>
      <c r="R220" s="136" t="s">
        <v>1322</v>
      </c>
      <c r="S220" s="136" t="s">
        <v>1378</v>
      </c>
      <c r="T220" s="136" t="s">
        <v>55</v>
      </c>
      <c r="U220" s="136" t="s">
        <v>358</v>
      </c>
      <c r="V220" s="137" t="s">
        <v>1311</v>
      </c>
      <c r="W220" s="138" t="s">
        <v>1311</v>
      </c>
      <c r="X220" s="137" t="s">
        <v>48</v>
      </c>
      <c r="Y220" s="140" t="s">
        <v>1311</v>
      </c>
      <c r="Z220" s="140" t="s">
        <v>1311</v>
      </c>
      <c r="AA220" s="136" t="s">
        <v>49</v>
      </c>
      <c r="AB220" s="141">
        <v>13</v>
      </c>
      <c r="AC220" s="141" t="s">
        <v>1771</v>
      </c>
      <c r="AD220" s="141">
        <v>11</v>
      </c>
      <c r="AE220" s="141" t="s">
        <v>1768</v>
      </c>
      <c r="AF220" s="141">
        <v>16</v>
      </c>
      <c r="AG220" s="20" t="s">
        <v>1771</v>
      </c>
      <c r="AH220" s="141">
        <v>14</v>
      </c>
      <c r="AI220" s="141" t="s">
        <v>1767</v>
      </c>
      <c r="AJ220" s="19" t="str">
        <f t="shared" si="53"/>
        <v>APROBADO</v>
      </c>
      <c r="AK220" s="218" t="s">
        <v>50</v>
      </c>
    </row>
    <row r="221" spans="1:37" ht="15" hidden="1" customHeight="1" x14ac:dyDescent="0.2">
      <c r="A221" s="9">
        <v>79</v>
      </c>
      <c r="B221" s="10">
        <v>220</v>
      </c>
      <c r="C221" s="10">
        <v>17</v>
      </c>
      <c r="D221" s="132" t="s">
        <v>1379</v>
      </c>
      <c r="E221" s="132" t="s">
        <v>1380</v>
      </c>
      <c r="F221" s="132" t="s">
        <v>60</v>
      </c>
      <c r="G221" s="132" t="s">
        <v>61</v>
      </c>
      <c r="H221" s="132" t="s">
        <v>62</v>
      </c>
      <c r="I221" s="132" t="s">
        <v>132</v>
      </c>
      <c r="J221" s="132" t="s">
        <v>38</v>
      </c>
      <c r="K221" s="133">
        <v>23269262</v>
      </c>
      <c r="L221" s="134" t="s">
        <v>40</v>
      </c>
      <c r="M221" s="135">
        <v>26478</v>
      </c>
      <c r="N221" s="136">
        <v>931213139</v>
      </c>
      <c r="O221" s="136" t="s">
        <v>1381</v>
      </c>
      <c r="P221" s="136" t="s">
        <v>1382</v>
      </c>
      <c r="Q221" s="136" t="s">
        <v>1294</v>
      </c>
      <c r="R221" s="136" t="s">
        <v>1294</v>
      </c>
      <c r="S221" s="136" t="s">
        <v>1295</v>
      </c>
      <c r="T221" s="136" t="s">
        <v>55</v>
      </c>
      <c r="U221" s="136" t="s">
        <v>867</v>
      </c>
      <c r="V221" s="137" t="s">
        <v>1297</v>
      </c>
      <c r="W221" s="138">
        <v>600692</v>
      </c>
      <c r="X221" s="137" t="s">
        <v>85</v>
      </c>
      <c r="Y221" s="140" t="str">
        <f>IF(X221="NO","NO APLICA","ESCRIBA EL NOMBRE DEL IIEE")</f>
        <v>NO APLICA</v>
      </c>
      <c r="Z221" s="140" t="str">
        <f>IF(Y221="NO APLICA","NO APLICA","ESCRIBA EL CÓDIGO MODULAR")</f>
        <v>NO APLICA</v>
      </c>
      <c r="AA221" s="136" t="s">
        <v>1298</v>
      </c>
      <c r="AB221" s="141">
        <v>12</v>
      </c>
      <c r="AC221" s="141" t="s">
        <v>1771</v>
      </c>
      <c r="AD221" s="141">
        <v>15</v>
      </c>
      <c r="AE221" s="141" t="s">
        <v>1767</v>
      </c>
      <c r="AF221" s="141">
        <v>13</v>
      </c>
      <c r="AG221" s="20" t="s">
        <v>1771</v>
      </c>
      <c r="AH221" s="141">
        <v>15</v>
      </c>
      <c r="AI221" s="141" t="s">
        <v>1767</v>
      </c>
      <c r="AJ221" s="19" t="str">
        <f t="shared" si="53"/>
        <v>APROBADO</v>
      </c>
      <c r="AK221" s="218" t="s">
        <v>50</v>
      </c>
    </row>
    <row r="222" spans="1:37" ht="15" hidden="1" customHeight="1" x14ac:dyDescent="0.2">
      <c r="A222" s="9">
        <v>79</v>
      </c>
      <c r="B222" s="10">
        <v>214</v>
      </c>
      <c r="C222" s="10">
        <v>18</v>
      </c>
      <c r="D222" s="132" t="s">
        <v>1383</v>
      </c>
      <c r="E222" s="132" t="s">
        <v>1384</v>
      </c>
      <c r="F222" s="132" t="s">
        <v>60</v>
      </c>
      <c r="G222" s="132" t="s">
        <v>61</v>
      </c>
      <c r="H222" s="132" t="s">
        <v>62</v>
      </c>
      <c r="I222" s="132" t="s">
        <v>123</v>
      </c>
      <c r="J222" s="132" t="s">
        <v>38</v>
      </c>
      <c r="K222" s="133" t="s">
        <v>1385</v>
      </c>
      <c r="L222" s="134" t="s">
        <v>40</v>
      </c>
      <c r="M222" s="135">
        <v>24703</v>
      </c>
      <c r="N222" s="136">
        <v>940999797</v>
      </c>
      <c r="O222" s="144" t="s">
        <v>1386</v>
      </c>
      <c r="P222" s="136" t="s">
        <v>1387</v>
      </c>
      <c r="Q222" s="136" t="s">
        <v>1310</v>
      </c>
      <c r="R222" s="136" t="s">
        <v>1294</v>
      </c>
      <c r="S222" s="136" t="s">
        <v>1295</v>
      </c>
      <c r="T222" s="136" t="s">
        <v>45</v>
      </c>
      <c r="U222" s="136" t="s">
        <v>55</v>
      </c>
      <c r="V222" s="137">
        <v>36163</v>
      </c>
      <c r="W222" s="138">
        <v>420406</v>
      </c>
      <c r="X222" s="137" t="s">
        <v>48</v>
      </c>
      <c r="Y222" s="140">
        <v>36163</v>
      </c>
      <c r="Z222" s="140">
        <v>420406</v>
      </c>
      <c r="AA222" s="136" t="s">
        <v>49</v>
      </c>
      <c r="AB222" s="141">
        <v>0</v>
      </c>
      <c r="AC222" s="223" t="s">
        <v>1772</v>
      </c>
      <c r="AD222" s="141">
        <v>0</v>
      </c>
      <c r="AE222" s="223" t="s">
        <v>1770</v>
      </c>
      <c r="AF222" s="141">
        <v>2</v>
      </c>
      <c r="AG222" s="124" t="s">
        <v>1770</v>
      </c>
      <c r="AH222" s="141">
        <v>2</v>
      </c>
      <c r="AI222" s="141" t="s">
        <v>1770</v>
      </c>
      <c r="AJ222" s="24" t="s">
        <v>70</v>
      </c>
      <c r="AK222" s="218" t="s">
        <v>70</v>
      </c>
    </row>
    <row r="223" spans="1:37" ht="15" hidden="1" customHeight="1" x14ac:dyDescent="0.2">
      <c r="A223" s="9">
        <v>79</v>
      </c>
      <c r="B223" s="10">
        <v>227</v>
      </c>
      <c r="C223" s="10">
        <v>19</v>
      </c>
      <c r="D223" s="132" t="s">
        <v>1388</v>
      </c>
      <c r="E223" s="132" t="s">
        <v>1389</v>
      </c>
      <c r="F223" s="132" t="s">
        <v>34</v>
      </c>
      <c r="G223" s="132" t="s">
        <v>35</v>
      </c>
      <c r="H223" s="132" t="s">
        <v>101</v>
      </c>
      <c r="I223" s="132" t="s">
        <v>37</v>
      </c>
      <c r="J223" s="132" t="s">
        <v>38</v>
      </c>
      <c r="K223" s="133">
        <v>10260104</v>
      </c>
      <c r="L223" s="134" t="s">
        <v>40</v>
      </c>
      <c r="M223" s="135">
        <v>28014</v>
      </c>
      <c r="N223" s="136">
        <v>956731099</v>
      </c>
      <c r="O223" s="136" t="s">
        <v>1390</v>
      </c>
      <c r="P223" s="136" t="s">
        <v>1391</v>
      </c>
      <c r="Q223" s="136" t="s">
        <v>1294</v>
      </c>
      <c r="R223" s="136" t="s">
        <v>1294</v>
      </c>
      <c r="S223" s="136" t="s">
        <v>1295</v>
      </c>
      <c r="T223" s="136" t="s">
        <v>45</v>
      </c>
      <c r="U223" s="136" t="s">
        <v>1337</v>
      </c>
      <c r="V223" s="137" t="s">
        <v>1297</v>
      </c>
      <c r="W223" s="138">
        <v>600692</v>
      </c>
      <c r="X223" s="137" t="s">
        <v>85</v>
      </c>
      <c r="Y223" s="140" t="str">
        <f>IF(X223="NO","NO APLICA","ESCRIBA EL NOMBRE DEL IIEE")</f>
        <v>NO APLICA</v>
      </c>
      <c r="Z223" s="140" t="str">
        <f>IF(Y223="NO APLICA","NO APLICA","ESCRIBA EL CÓDIGO MODULAR")</f>
        <v>NO APLICA</v>
      </c>
      <c r="AA223" s="136" t="s">
        <v>1298</v>
      </c>
      <c r="AB223" s="141">
        <v>11</v>
      </c>
      <c r="AC223" s="141" t="s">
        <v>1768</v>
      </c>
      <c r="AD223" s="141">
        <v>13</v>
      </c>
      <c r="AE223" s="141" t="s">
        <v>1771</v>
      </c>
      <c r="AF223" s="141">
        <v>12</v>
      </c>
      <c r="AG223" s="20" t="s">
        <v>1771</v>
      </c>
      <c r="AH223" s="141">
        <v>13</v>
      </c>
      <c r="AI223" s="141" t="s">
        <v>1767</v>
      </c>
      <c r="AJ223" s="19" t="str">
        <f>IF(AND(AB223&gt;=11,AD223&gt;=11,AF223&gt;=11,AH223&gt;=11),"APROBADO","DESAPROBADO")</f>
        <v>APROBADO</v>
      </c>
      <c r="AK223" s="218" t="s">
        <v>50</v>
      </c>
    </row>
    <row r="224" spans="1:37" ht="15" hidden="1" customHeight="1" x14ac:dyDescent="0.2">
      <c r="A224" s="9">
        <v>79</v>
      </c>
      <c r="B224" s="10">
        <v>234</v>
      </c>
      <c r="C224" s="10">
        <v>20</v>
      </c>
      <c r="D224" s="136" t="s">
        <v>1392</v>
      </c>
      <c r="E224" s="136" t="s">
        <v>1393</v>
      </c>
      <c r="F224" s="136" t="s">
        <v>34</v>
      </c>
      <c r="G224" s="136" t="s">
        <v>35</v>
      </c>
      <c r="H224" s="136" t="s">
        <v>36</v>
      </c>
      <c r="I224" s="136" t="s">
        <v>123</v>
      </c>
      <c r="J224" s="136" t="s">
        <v>38</v>
      </c>
      <c r="K224" s="134" t="s">
        <v>1394</v>
      </c>
      <c r="L224" s="134" t="s">
        <v>40</v>
      </c>
      <c r="M224" s="135">
        <v>32400</v>
      </c>
      <c r="N224" s="136">
        <v>989534698</v>
      </c>
      <c r="O224" s="145" t="s">
        <v>1395</v>
      </c>
      <c r="P224" s="136" t="s">
        <v>1396</v>
      </c>
      <c r="Q224" s="136" t="s">
        <v>1294</v>
      </c>
      <c r="R224" s="136" t="s">
        <v>1294</v>
      </c>
      <c r="S224" s="136" t="s">
        <v>1295</v>
      </c>
      <c r="T224" s="136" t="s">
        <v>1397</v>
      </c>
      <c r="U224" s="136" t="s">
        <v>1398</v>
      </c>
      <c r="V224" s="137" t="s">
        <v>1311</v>
      </c>
      <c r="W224" s="138" t="s">
        <v>1311</v>
      </c>
      <c r="X224" s="137" t="s">
        <v>48</v>
      </c>
      <c r="Y224" s="140" t="s">
        <v>1311</v>
      </c>
      <c r="Z224" s="140" t="s">
        <v>1311</v>
      </c>
      <c r="AA224" s="136"/>
      <c r="AB224" s="141">
        <v>4</v>
      </c>
      <c r="AC224" s="223" t="s">
        <v>1772</v>
      </c>
      <c r="AD224" s="141">
        <v>1</v>
      </c>
      <c r="AE224" s="223" t="s">
        <v>1770</v>
      </c>
      <c r="AF224" s="141">
        <v>9</v>
      </c>
      <c r="AG224" s="141" t="s">
        <v>1768</v>
      </c>
      <c r="AH224" s="141">
        <v>6</v>
      </c>
      <c r="AI224" s="141" t="s">
        <v>1770</v>
      </c>
      <c r="AJ224" s="24" t="s">
        <v>70</v>
      </c>
      <c r="AK224" s="218" t="s">
        <v>70</v>
      </c>
    </row>
    <row r="225" spans="1:37" ht="15" hidden="1" customHeight="1" x14ac:dyDescent="0.2">
      <c r="A225" s="9">
        <v>79</v>
      </c>
      <c r="B225" s="10">
        <v>216</v>
      </c>
      <c r="C225" s="10">
        <v>21</v>
      </c>
      <c r="D225" s="132" t="s">
        <v>1399</v>
      </c>
      <c r="E225" s="132" t="s">
        <v>1400</v>
      </c>
      <c r="F225" s="132" t="s">
        <v>34</v>
      </c>
      <c r="G225" s="132" t="s">
        <v>35</v>
      </c>
      <c r="H225" s="132" t="s">
        <v>73</v>
      </c>
      <c r="I225" s="132" t="s">
        <v>123</v>
      </c>
      <c r="J225" s="132" t="s">
        <v>38</v>
      </c>
      <c r="K225" s="133" t="s">
        <v>1401</v>
      </c>
      <c r="L225" s="134" t="s">
        <v>40</v>
      </c>
      <c r="M225" s="135">
        <v>27631</v>
      </c>
      <c r="N225" s="136">
        <v>973264969</v>
      </c>
      <c r="O225" s="144" t="s">
        <v>1402</v>
      </c>
      <c r="P225" s="136" t="s">
        <v>1387</v>
      </c>
      <c r="Q225" s="136" t="s">
        <v>1310</v>
      </c>
      <c r="R225" s="136" t="s">
        <v>1294</v>
      </c>
      <c r="S225" s="136" t="s">
        <v>1295</v>
      </c>
      <c r="T225" s="136" t="s">
        <v>45</v>
      </c>
      <c r="U225" s="136" t="s">
        <v>55</v>
      </c>
      <c r="V225" s="137">
        <v>846</v>
      </c>
      <c r="W225" s="138">
        <v>1374834</v>
      </c>
      <c r="X225" s="137" t="s">
        <v>48</v>
      </c>
      <c r="Y225" s="140">
        <v>846</v>
      </c>
      <c r="Z225" s="140">
        <v>1374834</v>
      </c>
      <c r="AA225" s="136" t="s">
        <v>49</v>
      </c>
      <c r="AB225" s="141">
        <v>12</v>
      </c>
      <c r="AC225" s="141" t="s">
        <v>1767</v>
      </c>
      <c r="AD225" s="141">
        <v>13</v>
      </c>
      <c r="AE225" s="141" t="s">
        <v>1771</v>
      </c>
      <c r="AF225" s="141">
        <v>13</v>
      </c>
      <c r="AG225" s="20" t="s">
        <v>1771</v>
      </c>
      <c r="AH225" s="141">
        <v>11</v>
      </c>
      <c r="AI225" s="141" t="s">
        <v>1768</v>
      </c>
      <c r="AJ225" s="19" t="str">
        <f t="shared" ref="AJ225:AJ227" si="54">IF(AND(AB225&gt;=11,AD225&gt;=11,AF225&gt;=11,AH225&gt;=11),"APROBADO","DESAPROBADO")</f>
        <v>APROBADO</v>
      </c>
      <c r="AK225" s="218" t="s">
        <v>50</v>
      </c>
    </row>
    <row r="226" spans="1:37" ht="15" hidden="1" customHeight="1" x14ac:dyDescent="0.2">
      <c r="A226" s="9">
        <v>79</v>
      </c>
      <c r="B226" s="10">
        <v>210</v>
      </c>
      <c r="C226" s="10">
        <v>22</v>
      </c>
      <c r="D226" s="132" t="s">
        <v>1403</v>
      </c>
      <c r="E226" s="132" t="s">
        <v>1404</v>
      </c>
      <c r="F226" s="132" t="s">
        <v>34</v>
      </c>
      <c r="G226" s="132" t="s">
        <v>35</v>
      </c>
      <c r="H226" s="132" t="s">
        <v>73</v>
      </c>
      <c r="I226" s="132" t="s">
        <v>123</v>
      </c>
      <c r="J226" s="132" t="s">
        <v>38</v>
      </c>
      <c r="K226" s="133">
        <v>23379984</v>
      </c>
      <c r="L226" s="134" t="s">
        <v>40</v>
      </c>
      <c r="M226" s="135">
        <v>28439</v>
      </c>
      <c r="N226" s="136">
        <v>920222971</v>
      </c>
      <c r="O226" s="144" t="s">
        <v>1405</v>
      </c>
      <c r="P226" s="136" t="s">
        <v>1406</v>
      </c>
      <c r="Q226" s="136" t="s">
        <v>1406</v>
      </c>
      <c r="R226" s="136" t="s">
        <v>1294</v>
      </c>
      <c r="S226" s="136" t="s">
        <v>1295</v>
      </c>
      <c r="T226" s="136" t="s">
        <v>55</v>
      </c>
      <c r="U226" s="136" t="s">
        <v>46</v>
      </c>
      <c r="V226" s="137">
        <v>36207</v>
      </c>
      <c r="W226" s="138">
        <v>428920</v>
      </c>
      <c r="X226" s="137" t="s">
        <v>48</v>
      </c>
      <c r="Y226" s="140">
        <v>36207</v>
      </c>
      <c r="Z226" s="140">
        <v>428920</v>
      </c>
      <c r="AA226" s="136" t="s">
        <v>49</v>
      </c>
      <c r="AB226" s="141">
        <v>2</v>
      </c>
      <c r="AC226" s="223" t="s">
        <v>1770</v>
      </c>
      <c r="AD226" s="141">
        <v>0</v>
      </c>
      <c r="AE226" s="223" t="s">
        <v>1770</v>
      </c>
      <c r="AF226" s="141">
        <v>4</v>
      </c>
      <c r="AG226" s="124" t="s">
        <v>1770</v>
      </c>
      <c r="AH226" s="141">
        <v>2</v>
      </c>
      <c r="AI226" s="141" t="s">
        <v>1770</v>
      </c>
      <c r="AJ226" s="219" t="s">
        <v>70</v>
      </c>
      <c r="AK226" s="218" t="s">
        <v>70</v>
      </c>
    </row>
    <row r="227" spans="1:37" ht="15" hidden="1" customHeight="1" x14ac:dyDescent="0.2">
      <c r="A227" s="9">
        <v>79</v>
      </c>
      <c r="B227" s="146">
        <v>205</v>
      </c>
      <c r="C227" s="10">
        <v>23</v>
      </c>
      <c r="D227" s="132" t="s">
        <v>1407</v>
      </c>
      <c r="E227" s="132" t="s">
        <v>1408</v>
      </c>
      <c r="F227" s="132" t="s">
        <v>60</v>
      </c>
      <c r="G227" s="132" t="s">
        <v>61</v>
      </c>
      <c r="H227" s="132" t="s">
        <v>62</v>
      </c>
      <c r="I227" s="147" t="s">
        <v>1409</v>
      </c>
      <c r="J227" s="132" t="s">
        <v>38</v>
      </c>
      <c r="K227" s="133" t="s">
        <v>1410</v>
      </c>
      <c r="L227" s="134" t="s">
        <v>40</v>
      </c>
      <c r="M227" s="135">
        <v>23495</v>
      </c>
      <c r="N227" s="136">
        <v>931020495</v>
      </c>
      <c r="O227" s="136" t="s">
        <v>1411</v>
      </c>
      <c r="P227" s="136" t="s">
        <v>1412</v>
      </c>
      <c r="Q227" s="136" t="s">
        <v>1294</v>
      </c>
      <c r="R227" s="136" t="s">
        <v>1294</v>
      </c>
      <c r="S227" s="136" t="s">
        <v>1295</v>
      </c>
      <c r="T227" s="136" t="s">
        <v>55</v>
      </c>
      <c r="U227" s="136" t="s">
        <v>46</v>
      </c>
      <c r="V227" s="137" t="s">
        <v>1413</v>
      </c>
      <c r="W227" s="138">
        <v>428771</v>
      </c>
      <c r="X227" s="137" t="s">
        <v>85</v>
      </c>
      <c r="Y227" s="140" t="str">
        <f>IF(X227="NO","NO APLICA","ESCRIBA EL NOMBRE DEL IIEE")</f>
        <v>NO APLICA</v>
      </c>
      <c r="Z227" s="140" t="str">
        <f>IF(Y227="NO APLICA","NO APLICA","ESCRIBA EL CÓDIGO MODULAR")</f>
        <v>NO APLICA</v>
      </c>
      <c r="AA227" s="136" t="s">
        <v>49</v>
      </c>
      <c r="AB227" s="141">
        <v>13</v>
      </c>
      <c r="AC227" s="141" t="s">
        <v>1767</v>
      </c>
      <c r="AD227" s="141">
        <v>11</v>
      </c>
      <c r="AE227" s="141" t="s">
        <v>1768</v>
      </c>
      <c r="AF227" s="141">
        <v>14</v>
      </c>
      <c r="AG227" s="20" t="s">
        <v>1771</v>
      </c>
      <c r="AH227" s="141">
        <v>11</v>
      </c>
      <c r="AI227" s="141" t="s">
        <v>1769</v>
      </c>
      <c r="AJ227" s="19" t="str">
        <f t="shared" si="54"/>
        <v>APROBADO</v>
      </c>
      <c r="AK227" s="218" t="s">
        <v>50</v>
      </c>
    </row>
    <row r="228" spans="1:37" ht="15" hidden="1" customHeight="1" x14ac:dyDescent="0.2">
      <c r="A228" s="9">
        <v>79</v>
      </c>
      <c r="B228" s="10">
        <v>206</v>
      </c>
      <c r="C228" s="10">
        <v>24</v>
      </c>
      <c r="D228" s="132" t="s">
        <v>1414</v>
      </c>
      <c r="E228" s="132" t="s">
        <v>1415</v>
      </c>
      <c r="F228" s="132" t="s">
        <v>34</v>
      </c>
      <c r="G228" s="132" t="s">
        <v>35</v>
      </c>
      <c r="H228" s="132" t="s">
        <v>101</v>
      </c>
      <c r="I228" s="147" t="s">
        <v>123</v>
      </c>
      <c r="J228" s="132" t="s">
        <v>38</v>
      </c>
      <c r="K228" s="133">
        <v>23380233</v>
      </c>
      <c r="L228" s="134" t="s">
        <v>40</v>
      </c>
      <c r="M228" s="135">
        <v>23785</v>
      </c>
      <c r="N228" s="136">
        <v>982691270</v>
      </c>
      <c r="O228" s="136" t="s">
        <v>1416</v>
      </c>
      <c r="P228" s="136" t="s">
        <v>1417</v>
      </c>
      <c r="Q228" s="136" t="s">
        <v>1294</v>
      </c>
      <c r="R228" s="136" t="s">
        <v>1294</v>
      </c>
      <c r="S228" s="136" t="s">
        <v>1295</v>
      </c>
      <c r="T228" s="136" t="s">
        <v>55</v>
      </c>
      <c r="U228" s="136" t="s">
        <v>911</v>
      </c>
      <c r="V228" s="137" t="s">
        <v>1413</v>
      </c>
      <c r="W228" s="138">
        <v>428771</v>
      </c>
      <c r="X228" s="137" t="s">
        <v>48</v>
      </c>
      <c r="Y228" s="140" t="s">
        <v>1413</v>
      </c>
      <c r="Z228" s="140">
        <v>428771</v>
      </c>
      <c r="AA228" s="136" t="s">
        <v>49</v>
      </c>
      <c r="AB228" s="141">
        <v>13</v>
      </c>
      <c r="AC228" s="141" t="s">
        <v>1767</v>
      </c>
      <c r="AD228" s="141">
        <v>8</v>
      </c>
      <c r="AE228" s="141" t="s">
        <v>1768</v>
      </c>
      <c r="AF228" s="141">
        <v>14</v>
      </c>
      <c r="AG228" s="20" t="s">
        <v>1771</v>
      </c>
      <c r="AH228" s="141">
        <v>14</v>
      </c>
      <c r="AI228" s="141" t="s">
        <v>1767</v>
      </c>
      <c r="AJ228" s="24" t="s">
        <v>57</v>
      </c>
      <c r="AK228" s="218" t="s">
        <v>57</v>
      </c>
    </row>
    <row r="229" spans="1:37" ht="15" hidden="1" customHeight="1" x14ac:dyDescent="0.2">
      <c r="A229" s="9">
        <v>79</v>
      </c>
      <c r="B229" s="10">
        <v>207</v>
      </c>
      <c r="C229" s="10">
        <v>25</v>
      </c>
      <c r="D229" s="132" t="s">
        <v>1418</v>
      </c>
      <c r="E229" s="132" t="s">
        <v>1419</v>
      </c>
      <c r="F229" s="132" t="s">
        <v>34</v>
      </c>
      <c r="G229" s="132" t="s">
        <v>35</v>
      </c>
      <c r="H229" s="132" t="s">
        <v>73</v>
      </c>
      <c r="I229" s="147" t="s">
        <v>1015</v>
      </c>
      <c r="J229" s="132" t="s">
        <v>38</v>
      </c>
      <c r="K229" s="133" t="s">
        <v>1420</v>
      </c>
      <c r="L229" s="143" t="s">
        <v>40</v>
      </c>
      <c r="M229" s="135">
        <v>24541</v>
      </c>
      <c r="N229" s="136">
        <v>959460099</v>
      </c>
      <c r="O229" s="136" t="s">
        <v>1421</v>
      </c>
      <c r="P229" s="136" t="s">
        <v>1422</v>
      </c>
      <c r="Q229" s="136" t="s">
        <v>1423</v>
      </c>
      <c r="R229" s="136" t="s">
        <v>1294</v>
      </c>
      <c r="S229" s="136" t="s">
        <v>1295</v>
      </c>
      <c r="T229" s="136" t="s">
        <v>55</v>
      </c>
      <c r="U229" s="136" t="s">
        <v>55</v>
      </c>
      <c r="V229" s="137" t="s">
        <v>1413</v>
      </c>
      <c r="W229" s="138">
        <v>428771</v>
      </c>
      <c r="X229" s="137" t="s">
        <v>48</v>
      </c>
      <c r="Y229" s="140" t="s">
        <v>1413</v>
      </c>
      <c r="Z229" s="140">
        <v>428771</v>
      </c>
      <c r="AA229" s="136" t="s">
        <v>49</v>
      </c>
      <c r="AB229" s="141">
        <v>14</v>
      </c>
      <c r="AC229" s="141" t="s">
        <v>1767</v>
      </c>
      <c r="AD229" s="141">
        <v>11</v>
      </c>
      <c r="AE229" s="141" t="s">
        <v>1769</v>
      </c>
      <c r="AF229" s="141">
        <v>14</v>
      </c>
      <c r="AG229" s="20" t="s">
        <v>1771</v>
      </c>
      <c r="AH229" s="141">
        <v>11</v>
      </c>
      <c r="AI229" s="141" t="s">
        <v>1769</v>
      </c>
      <c r="AJ229" s="24" t="s">
        <v>50</v>
      </c>
      <c r="AK229" s="218" t="s">
        <v>50</v>
      </c>
    </row>
    <row r="230" spans="1:37" ht="15" hidden="1" customHeight="1" x14ac:dyDescent="0.2">
      <c r="A230" s="9">
        <v>79</v>
      </c>
      <c r="B230" s="10">
        <v>232</v>
      </c>
      <c r="C230" s="10">
        <v>26</v>
      </c>
      <c r="D230" s="136" t="s">
        <v>1424</v>
      </c>
      <c r="E230" s="136" t="s">
        <v>1425</v>
      </c>
      <c r="F230" s="136" t="s">
        <v>34</v>
      </c>
      <c r="G230" s="136" t="s">
        <v>35</v>
      </c>
      <c r="H230" s="136" t="s">
        <v>36</v>
      </c>
      <c r="I230" s="136" t="s">
        <v>123</v>
      </c>
      <c r="J230" s="136" t="s">
        <v>38</v>
      </c>
      <c r="K230" s="134" t="s">
        <v>1426</v>
      </c>
      <c r="L230" s="134" t="s">
        <v>40</v>
      </c>
      <c r="M230" s="135">
        <v>35356</v>
      </c>
      <c r="N230" s="136">
        <v>943518835</v>
      </c>
      <c r="O230" s="136" t="s">
        <v>1427</v>
      </c>
      <c r="P230" s="136" t="s">
        <v>1428</v>
      </c>
      <c r="Q230" s="136" t="s">
        <v>1429</v>
      </c>
      <c r="R230" s="136" t="s">
        <v>1045</v>
      </c>
      <c r="S230" s="136" t="s">
        <v>1045</v>
      </c>
      <c r="T230" s="136" t="s">
        <v>55</v>
      </c>
      <c r="U230" s="136" t="s">
        <v>1430</v>
      </c>
      <c r="V230" s="137" t="s">
        <v>1431</v>
      </c>
      <c r="W230" s="138">
        <v>1060276</v>
      </c>
      <c r="X230" s="137" t="s">
        <v>85</v>
      </c>
      <c r="Y230" s="140" t="str">
        <f>IF(X230="NO","NO APLICA","ESCRIBA EL NOMBRE DEL IIEE")</f>
        <v>NO APLICA</v>
      </c>
      <c r="Z230" s="140" t="str">
        <f>IF(Y230="NO APLICA","NO APLICA","ESCRIBA EL CÓDIGO MODULAR")</f>
        <v>NO APLICA</v>
      </c>
      <c r="AA230" s="136" t="s">
        <v>1298</v>
      </c>
      <c r="AB230" s="141">
        <v>13</v>
      </c>
      <c r="AC230" s="141" t="s">
        <v>1767</v>
      </c>
      <c r="AD230" s="141">
        <v>14</v>
      </c>
      <c r="AE230" s="141" t="s">
        <v>1771</v>
      </c>
      <c r="AF230" s="141">
        <v>13</v>
      </c>
      <c r="AG230" s="20" t="s">
        <v>1771</v>
      </c>
      <c r="AH230" s="141">
        <v>14</v>
      </c>
      <c r="AI230" s="141" t="s">
        <v>1767</v>
      </c>
      <c r="AJ230" s="19" t="str">
        <f t="shared" ref="AJ230:AJ239" si="55">IF(AND(AB230&gt;=11,AD230&gt;=11,AF230&gt;=11,AH230&gt;=11),"APROBADO","DESAPROBADO")</f>
        <v>APROBADO</v>
      </c>
      <c r="AK230" s="218" t="s">
        <v>50</v>
      </c>
    </row>
    <row r="231" spans="1:37" ht="15" hidden="1" customHeight="1" x14ac:dyDescent="0.2">
      <c r="A231" s="9">
        <v>79</v>
      </c>
      <c r="B231" s="10">
        <v>211</v>
      </c>
      <c r="C231" s="10">
        <v>27</v>
      </c>
      <c r="D231" s="132" t="s">
        <v>1432</v>
      </c>
      <c r="E231" s="132" t="s">
        <v>1433</v>
      </c>
      <c r="F231" s="132" t="s">
        <v>34</v>
      </c>
      <c r="G231" s="132" t="s">
        <v>35</v>
      </c>
      <c r="H231" s="132" t="s">
        <v>73</v>
      </c>
      <c r="I231" s="132" t="s">
        <v>123</v>
      </c>
      <c r="J231" s="132" t="s">
        <v>38</v>
      </c>
      <c r="K231" s="133" t="s">
        <v>1434</v>
      </c>
      <c r="L231" s="134" t="s">
        <v>40</v>
      </c>
      <c r="M231" s="135">
        <v>25488</v>
      </c>
      <c r="N231" s="136">
        <v>991827142</v>
      </c>
      <c r="O231" s="144" t="s">
        <v>1435</v>
      </c>
      <c r="P231" s="136" t="s">
        <v>1406</v>
      </c>
      <c r="Q231" s="136" t="s">
        <v>1406</v>
      </c>
      <c r="R231" s="136" t="s">
        <v>1294</v>
      </c>
      <c r="S231" s="136" t="s">
        <v>1295</v>
      </c>
      <c r="T231" s="136" t="s">
        <v>55</v>
      </c>
      <c r="U231" s="136" t="s">
        <v>55</v>
      </c>
      <c r="V231" s="137" t="s">
        <v>1413</v>
      </c>
      <c r="W231" s="138">
        <v>428771</v>
      </c>
      <c r="X231" s="137" t="s">
        <v>48</v>
      </c>
      <c r="Y231" s="140" t="s">
        <v>1413</v>
      </c>
      <c r="Z231" s="140">
        <v>428771</v>
      </c>
      <c r="AA231" s="136" t="s">
        <v>49</v>
      </c>
      <c r="AB231" s="141">
        <v>13</v>
      </c>
      <c r="AC231" s="141" t="s">
        <v>1767</v>
      </c>
      <c r="AD231" s="141">
        <v>11</v>
      </c>
      <c r="AE231" s="141" t="s">
        <v>1768</v>
      </c>
      <c r="AF231" s="141">
        <v>13</v>
      </c>
      <c r="AG231" s="20" t="s">
        <v>1771</v>
      </c>
      <c r="AH231" s="141">
        <v>15</v>
      </c>
      <c r="AI231" s="141" t="s">
        <v>1767</v>
      </c>
      <c r="AJ231" s="19" t="str">
        <f t="shared" si="55"/>
        <v>APROBADO</v>
      </c>
      <c r="AK231" s="218" t="s">
        <v>50</v>
      </c>
    </row>
    <row r="232" spans="1:37" ht="15" hidden="1" customHeight="1" x14ac:dyDescent="0.2">
      <c r="A232" s="9">
        <v>79</v>
      </c>
      <c r="B232" s="10">
        <v>209</v>
      </c>
      <c r="C232" s="10">
        <v>28</v>
      </c>
      <c r="D232" s="132" t="s">
        <v>1436</v>
      </c>
      <c r="E232" s="132" t="s">
        <v>1437</v>
      </c>
      <c r="F232" s="132" t="s">
        <v>34</v>
      </c>
      <c r="G232" s="132" t="s">
        <v>35</v>
      </c>
      <c r="H232" s="132" t="s">
        <v>73</v>
      </c>
      <c r="I232" s="132" t="s">
        <v>123</v>
      </c>
      <c r="J232" s="132" t="s">
        <v>38</v>
      </c>
      <c r="K232" s="133" t="s">
        <v>1438</v>
      </c>
      <c r="L232" s="134" t="s">
        <v>40</v>
      </c>
      <c r="M232" s="135">
        <v>27264</v>
      </c>
      <c r="N232" s="136">
        <v>964233311</v>
      </c>
      <c r="O232" s="144" t="s">
        <v>1439</v>
      </c>
      <c r="P232" s="136" t="s">
        <v>1440</v>
      </c>
      <c r="Q232" s="136" t="s">
        <v>1294</v>
      </c>
      <c r="R232" s="136" t="s">
        <v>1294</v>
      </c>
      <c r="S232" s="136" t="s">
        <v>1295</v>
      </c>
      <c r="T232" s="136" t="s">
        <v>55</v>
      </c>
      <c r="U232" s="136" t="s">
        <v>55</v>
      </c>
      <c r="V232" s="137" t="s">
        <v>1441</v>
      </c>
      <c r="W232" s="138">
        <v>428714</v>
      </c>
      <c r="X232" s="137" t="s">
        <v>48</v>
      </c>
      <c r="Y232" s="140">
        <v>36153</v>
      </c>
      <c r="Z232" s="140">
        <v>428714</v>
      </c>
      <c r="AA232" s="136" t="s">
        <v>49</v>
      </c>
      <c r="AB232" s="141">
        <v>14</v>
      </c>
      <c r="AC232" s="141" t="s">
        <v>1767</v>
      </c>
      <c r="AD232" s="141">
        <v>12</v>
      </c>
      <c r="AE232" s="141" t="s">
        <v>1767</v>
      </c>
      <c r="AF232" s="141">
        <v>11</v>
      </c>
      <c r="AG232" s="141" t="s">
        <v>1768</v>
      </c>
      <c r="AH232" s="141">
        <v>14</v>
      </c>
      <c r="AI232" s="141" t="s">
        <v>1767</v>
      </c>
      <c r="AJ232" s="19" t="str">
        <f t="shared" si="55"/>
        <v>APROBADO</v>
      </c>
      <c r="AK232" s="218" t="s">
        <v>50</v>
      </c>
    </row>
    <row r="233" spans="1:37" ht="15" hidden="1" customHeight="1" x14ac:dyDescent="0.2">
      <c r="A233" s="9">
        <v>79</v>
      </c>
      <c r="B233" s="10">
        <v>236</v>
      </c>
      <c r="C233" s="10">
        <v>29</v>
      </c>
      <c r="D233" s="148" t="s">
        <v>1442</v>
      </c>
      <c r="E233" s="148" t="s">
        <v>1443</v>
      </c>
      <c r="F233" s="148" t="s">
        <v>60</v>
      </c>
      <c r="G233" s="148" t="s">
        <v>61</v>
      </c>
      <c r="H233" s="148" t="s">
        <v>193</v>
      </c>
      <c r="I233" s="148" t="s">
        <v>123</v>
      </c>
      <c r="J233" s="148" t="s">
        <v>38</v>
      </c>
      <c r="K233" s="149">
        <v>70655143</v>
      </c>
      <c r="L233" s="149" t="s">
        <v>40</v>
      </c>
      <c r="M233" s="150">
        <v>35809</v>
      </c>
      <c r="N233" s="148">
        <v>955244270</v>
      </c>
      <c r="O233" s="148" t="s">
        <v>1444</v>
      </c>
      <c r="P233" s="148" t="s">
        <v>1445</v>
      </c>
      <c r="Q233" s="148" t="s">
        <v>1446</v>
      </c>
      <c r="R233" s="148" t="s">
        <v>1045</v>
      </c>
      <c r="S233" s="148" t="s">
        <v>1295</v>
      </c>
      <c r="T233" s="148" t="s">
        <v>55</v>
      </c>
      <c r="U233" s="136" t="s">
        <v>358</v>
      </c>
      <c r="V233" s="137" t="s">
        <v>1311</v>
      </c>
      <c r="W233" s="138" t="s">
        <v>1311</v>
      </c>
      <c r="X233" s="137" t="s">
        <v>85</v>
      </c>
      <c r="Y233" s="140" t="str">
        <f>IF(X233="NO","NO APLICA","ESCRIBA EL NOMBRE DEL IIEE")</f>
        <v>NO APLICA</v>
      </c>
      <c r="Z233" s="140" t="str">
        <f>IF(Y233="NO APLICA","NO APLICA","ESCRIBA EL CÓDIGO MODULAR")</f>
        <v>NO APLICA</v>
      </c>
      <c r="AA233" s="148" t="s">
        <v>1298</v>
      </c>
      <c r="AB233" s="141">
        <v>12</v>
      </c>
      <c r="AC233" s="141" t="s">
        <v>1767</v>
      </c>
      <c r="AD233" s="141">
        <v>13</v>
      </c>
      <c r="AE233" s="141" t="s">
        <v>1771</v>
      </c>
      <c r="AF233" s="141">
        <v>14</v>
      </c>
      <c r="AG233" s="20" t="s">
        <v>1771</v>
      </c>
      <c r="AH233" s="141">
        <v>11</v>
      </c>
      <c r="AI233" s="141" t="s">
        <v>1769</v>
      </c>
      <c r="AJ233" s="19" t="str">
        <f t="shared" si="55"/>
        <v>APROBADO</v>
      </c>
      <c r="AK233" s="218" t="s">
        <v>50</v>
      </c>
    </row>
    <row r="234" spans="1:37" ht="15" hidden="1" customHeight="1" x14ac:dyDescent="0.2">
      <c r="A234" s="9">
        <v>79</v>
      </c>
      <c r="B234" s="10">
        <v>233</v>
      </c>
      <c r="C234" s="10">
        <v>30</v>
      </c>
      <c r="D234" s="136" t="s">
        <v>1383</v>
      </c>
      <c r="E234" s="136" t="s">
        <v>1447</v>
      </c>
      <c r="F234" s="136" t="s">
        <v>60</v>
      </c>
      <c r="G234" s="136" t="s">
        <v>61</v>
      </c>
      <c r="H234" s="136" t="s">
        <v>101</v>
      </c>
      <c r="I234" s="136" t="s">
        <v>123</v>
      </c>
      <c r="J234" s="136" t="s">
        <v>38</v>
      </c>
      <c r="K234" s="134" t="s">
        <v>1448</v>
      </c>
      <c r="L234" s="134" t="s">
        <v>40</v>
      </c>
      <c r="M234" s="135">
        <v>33418</v>
      </c>
      <c r="N234" s="136">
        <v>913555923</v>
      </c>
      <c r="O234" s="145" t="s">
        <v>1449</v>
      </c>
      <c r="P234" s="136" t="s">
        <v>1450</v>
      </c>
      <c r="Q234" s="136" t="s">
        <v>1451</v>
      </c>
      <c r="R234" s="136" t="s">
        <v>1294</v>
      </c>
      <c r="S234" s="136" t="s">
        <v>1295</v>
      </c>
      <c r="T234" s="136" t="s">
        <v>1452</v>
      </c>
      <c r="U234" s="136" t="s">
        <v>1327</v>
      </c>
      <c r="V234" s="137" t="s">
        <v>1311</v>
      </c>
      <c r="W234" s="138" t="s">
        <v>1311</v>
      </c>
      <c r="X234" s="137" t="s">
        <v>48</v>
      </c>
      <c r="Y234" s="140" t="s">
        <v>1311</v>
      </c>
      <c r="Z234" s="140" t="s">
        <v>1311</v>
      </c>
      <c r="AA234" s="136"/>
      <c r="AB234" s="141">
        <v>8</v>
      </c>
      <c r="AC234" s="141" t="s">
        <v>1769</v>
      </c>
      <c r="AD234" s="141">
        <v>7</v>
      </c>
      <c r="AE234" s="141" t="s">
        <v>1770</v>
      </c>
      <c r="AF234" s="141">
        <v>13</v>
      </c>
      <c r="AG234" s="20" t="s">
        <v>1771</v>
      </c>
      <c r="AH234" s="141">
        <v>13</v>
      </c>
      <c r="AI234" s="141" t="s">
        <v>1767</v>
      </c>
      <c r="AJ234" s="19" t="str">
        <f t="shared" si="55"/>
        <v>DESAPROBADO</v>
      </c>
      <c r="AK234" s="218" t="s">
        <v>57</v>
      </c>
    </row>
    <row r="235" spans="1:37" ht="15" hidden="1" customHeight="1" x14ac:dyDescent="0.2">
      <c r="A235" s="9">
        <v>79</v>
      </c>
      <c r="B235" s="10">
        <v>222</v>
      </c>
      <c r="C235" s="10">
        <v>31</v>
      </c>
      <c r="D235" s="132" t="s">
        <v>1453</v>
      </c>
      <c r="E235" s="132" t="s">
        <v>1454</v>
      </c>
      <c r="F235" s="132" t="s">
        <v>155</v>
      </c>
      <c r="G235" s="132" t="s">
        <v>35</v>
      </c>
      <c r="H235" s="132" t="s">
        <v>73</v>
      </c>
      <c r="I235" s="132" t="s">
        <v>37</v>
      </c>
      <c r="J235" s="132" t="s">
        <v>38</v>
      </c>
      <c r="K235" s="133" t="s">
        <v>1455</v>
      </c>
      <c r="L235" s="134" t="s">
        <v>40</v>
      </c>
      <c r="M235" s="135">
        <v>26985</v>
      </c>
      <c r="N235" s="136">
        <v>931745089</v>
      </c>
      <c r="O235" s="136" t="s">
        <v>1456</v>
      </c>
      <c r="P235" s="136" t="s">
        <v>1457</v>
      </c>
      <c r="Q235" s="136" t="s">
        <v>1361</v>
      </c>
      <c r="R235" s="136" t="s">
        <v>1294</v>
      </c>
      <c r="S235" s="136" t="s">
        <v>1295</v>
      </c>
      <c r="T235" s="136" t="s">
        <v>55</v>
      </c>
      <c r="U235" s="136" t="s">
        <v>1458</v>
      </c>
      <c r="V235" s="137" t="s">
        <v>1297</v>
      </c>
      <c r="W235" s="138">
        <v>600692</v>
      </c>
      <c r="X235" s="137" t="s">
        <v>48</v>
      </c>
      <c r="Y235" s="140" t="s">
        <v>1297</v>
      </c>
      <c r="Z235" s="140">
        <v>600692</v>
      </c>
      <c r="AA235" s="136" t="s">
        <v>1298</v>
      </c>
      <c r="AB235" s="141">
        <v>15</v>
      </c>
      <c r="AC235" s="141" t="s">
        <v>1771</v>
      </c>
      <c r="AD235" s="141">
        <v>13</v>
      </c>
      <c r="AE235" s="141" t="s">
        <v>1767</v>
      </c>
      <c r="AF235" s="141">
        <v>13</v>
      </c>
      <c r="AG235" s="20" t="s">
        <v>1771</v>
      </c>
      <c r="AH235" s="141">
        <v>11</v>
      </c>
      <c r="AI235" s="141" t="s">
        <v>1769</v>
      </c>
      <c r="AJ235" s="19" t="str">
        <f t="shared" si="55"/>
        <v>APROBADO</v>
      </c>
      <c r="AK235" s="218" t="s">
        <v>50</v>
      </c>
    </row>
    <row r="236" spans="1:37" ht="15" hidden="1" customHeight="1" x14ac:dyDescent="0.2">
      <c r="A236" s="9">
        <v>79</v>
      </c>
      <c r="B236" s="10">
        <v>204</v>
      </c>
      <c r="C236" s="10">
        <v>32</v>
      </c>
      <c r="D236" s="132" t="s">
        <v>1459</v>
      </c>
      <c r="E236" s="132" t="s">
        <v>1460</v>
      </c>
      <c r="F236" s="132" t="s">
        <v>242</v>
      </c>
      <c r="G236" s="132" t="s">
        <v>61</v>
      </c>
      <c r="H236" s="132" t="s">
        <v>62</v>
      </c>
      <c r="I236" s="132" t="s">
        <v>132</v>
      </c>
      <c r="J236" s="132" t="s">
        <v>38</v>
      </c>
      <c r="K236" s="133">
        <v>23662598</v>
      </c>
      <c r="L236" s="134" t="s">
        <v>40</v>
      </c>
      <c r="M236" s="135">
        <v>26244</v>
      </c>
      <c r="N236" s="136">
        <v>964252328</v>
      </c>
      <c r="O236" s="136" t="s">
        <v>1461</v>
      </c>
      <c r="P236" s="136" t="s">
        <v>1462</v>
      </c>
      <c r="Q236" s="136" t="s">
        <v>1294</v>
      </c>
      <c r="R236" s="136" t="s">
        <v>1294</v>
      </c>
      <c r="S236" s="136" t="s">
        <v>1295</v>
      </c>
      <c r="T236" s="136" t="s">
        <v>55</v>
      </c>
      <c r="U236" s="136" t="s">
        <v>46</v>
      </c>
      <c r="V236" s="137" t="s">
        <v>1441</v>
      </c>
      <c r="W236" s="138">
        <v>428714</v>
      </c>
      <c r="X236" s="137" t="s">
        <v>85</v>
      </c>
      <c r="Y236" s="140" t="str">
        <f>IF(X236="NO","NO APLICA","ESCRIBA EL NOMBRE DEL IIEE")</f>
        <v>NO APLICA</v>
      </c>
      <c r="Z236" s="140" t="str">
        <f>IF(Y236="NO APLICA","NO APLICA","ESCRIBA EL CÓDIGO MODULAR")</f>
        <v>NO APLICA</v>
      </c>
      <c r="AA236" s="136" t="s">
        <v>49</v>
      </c>
      <c r="AB236" s="141">
        <v>9</v>
      </c>
      <c r="AC236" s="141" t="s">
        <v>1769</v>
      </c>
      <c r="AD236" s="141">
        <v>7</v>
      </c>
      <c r="AE236" s="141" t="s">
        <v>1770</v>
      </c>
      <c r="AF236" s="141">
        <v>12</v>
      </c>
      <c r="AG236" s="20" t="s">
        <v>1771</v>
      </c>
      <c r="AH236" s="141">
        <v>13</v>
      </c>
      <c r="AI236" s="141" t="s">
        <v>1767</v>
      </c>
      <c r="AJ236" s="19" t="str">
        <f t="shared" si="55"/>
        <v>DESAPROBADO</v>
      </c>
      <c r="AK236" s="218" t="s">
        <v>57</v>
      </c>
    </row>
    <row r="237" spans="1:37" ht="15" hidden="1" customHeight="1" x14ac:dyDescent="0.2">
      <c r="A237" s="9">
        <v>79</v>
      </c>
      <c r="B237" s="10">
        <v>218</v>
      </c>
      <c r="C237" s="10">
        <v>33</v>
      </c>
      <c r="D237" s="132" t="s">
        <v>1463</v>
      </c>
      <c r="E237" s="132" t="s">
        <v>1464</v>
      </c>
      <c r="F237" s="132" t="s">
        <v>34</v>
      </c>
      <c r="G237" s="132" t="s">
        <v>35</v>
      </c>
      <c r="H237" s="132" t="s">
        <v>73</v>
      </c>
      <c r="I237" s="132" t="s">
        <v>123</v>
      </c>
      <c r="J237" s="132" t="s">
        <v>38</v>
      </c>
      <c r="K237" s="133" t="s">
        <v>1465</v>
      </c>
      <c r="L237" s="134" t="s">
        <v>40</v>
      </c>
      <c r="M237" s="135">
        <v>26816</v>
      </c>
      <c r="N237" s="136">
        <v>963845707</v>
      </c>
      <c r="O237" s="136" t="s">
        <v>1466</v>
      </c>
      <c r="P237" s="136" t="s">
        <v>1467</v>
      </c>
      <c r="Q237" s="136" t="s">
        <v>1294</v>
      </c>
      <c r="R237" s="136" t="s">
        <v>1294</v>
      </c>
      <c r="S237" s="136" t="s">
        <v>1295</v>
      </c>
      <c r="T237" s="136" t="s">
        <v>55</v>
      </c>
      <c r="U237" s="136" t="s">
        <v>1430</v>
      </c>
      <c r="V237" s="137" t="s">
        <v>1297</v>
      </c>
      <c r="W237" s="138">
        <v>600692</v>
      </c>
      <c r="X237" s="137" t="s">
        <v>48</v>
      </c>
      <c r="Y237" s="140" t="s">
        <v>1297</v>
      </c>
      <c r="Z237" s="140">
        <v>600692</v>
      </c>
      <c r="AA237" s="136" t="s">
        <v>1298</v>
      </c>
      <c r="AB237" s="141">
        <v>11</v>
      </c>
      <c r="AC237" s="141" t="s">
        <v>1768</v>
      </c>
      <c r="AD237" s="141">
        <v>14</v>
      </c>
      <c r="AE237" s="141" t="s">
        <v>1771</v>
      </c>
      <c r="AF237" s="141">
        <v>15</v>
      </c>
      <c r="AG237" s="20" t="s">
        <v>1771</v>
      </c>
      <c r="AH237" s="141">
        <v>12</v>
      </c>
      <c r="AI237" s="141" t="s">
        <v>1767</v>
      </c>
      <c r="AJ237" s="19" t="str">
        <f t="shared" si="55"/>
        <v>APROBADO</v>
      </c>
      <c r="AK237" s="218" t="s">
        <v>50</v>
      </c>
    </row>
    <row r="238" spans="1:37" ht="15" hidden="1" customHeight="1" x14ac:dyDescent="0.2">
      <c r="A238" s="9">
        <v>79</v>
      </c>
      <c r="B238" s="10">
        <v>225</v>
      </c>
      <c r="C238" s="10">
        <v>34</v>
      </c>
      <c r="D238" s="132" t="s">
        <v>1468</v>
      </c>
      <c r="E238" s="132" t="s">
        <v>1469</v>
      </c>
      <c r="F238" s="132" t="s">
        <v>155</v>
      </c>
      <c r="G238" s="132" t="s">
        <v>35</v>
      </c>
      <c r="H238" s="132" t="s">
        <v>73</v>
      </c>
      <c r="I238" s="132" t="s">
        <v>37</v>
      </c>
      <c r="J238" s="132" t="s">
        <v>38</v>
      </c>
      <c r="K238" s="142" t="s">
        <v>1470</v>
      </c>
      <c r="L238" s="143" t="s">
        <v>40</v>
      </c>
      <c r="M238" s="135">
        <v>28470</v>
      </c>
      <c r="N238" s="136">
        <v>995399017</v>
      </c>
      <c r="O238" s="136" t="s">
        <v>1471</v>
      </c>
      <c r="P238" s="136" t="s">
        <v>1472</v>
      </c>
      <c r="Q238" s="136" t="s">
        <v>1361</v>
      </c>
      <c r="R238" s="136" t="s">
        <v>1294</v>
      </c>
      <c r="S238" s="136" t="s">
        <v>1295</v>
      </c>
      <c r="T238" s="136" t="s">
        <v>45</v>
      </c>
      <c r="U238" s="151" t="s">
        <v>1473</v>
      </c>
      <c r="V238" s="137" t="s">
        <v>1297</v>
      </c>
      <c r="W238" s="138">
        <v>600692</v>
      </c>
      <c r="X238" s="137" t="s">
        <v>85</v>
      </c>
      <c r="Y238" s="140" t="str">
        <f>IF(X238="NO","NO APLICA","ESCRIBA EL NOMBRE DEL IIEE")</f>
        <v>NO APLICA</v>
      </c>
      <c r="Z238" s="140" t="str">
        <f>IF(Y238="NO APLICA","NO APLICA","ESCRIBA EL CÓDIGO MODULAR")</f>
        <v>NO APLICA</v>
      </c>
      <c r="AA238" s="136" t="s">
        <v>1298</v>
      </c>
      <c r="AB238" s="141">
        <v>13</v>
      </c>
      <c r="AC238" s="141" t="s">
        <v>1771</v>
      </c>
      <c r="AD238" s="141">
        <v>11</v>
      </c>
      <c r="AE238" s="141" t="s">
        <v>1768</v>
      </c>
      <c r="AF238" s="141">
        <v>14</v>
      </c>
      <c r="AG238" s="20" t="s">
        <v>1771</v>
      </c>
      <c r="AH238" s="141">
        <v>11</v>
      </c>
      <c r="AI238" s="141" t="s">
        <v>1769</v>
      </c>
      <c r="AJ238" s="19" t="str">
        <f t="shared" si="55"/>
        <v>APROBADO</v>
      </c>
      <c r="AK238" s="218" t="s">
        <v>50</v>
      </c>
    </row>
    <row r="239" spans="1:37" ht="15" hidden="1" customHeight="1" x14ac:dyDescent="0.2">
      <c r="A239" s="9">
        <v>79</v>
      </c>
      <c r="B239" s="10">
        <v>224</v>
      </c>
      <c r="C239" s="10">
        <v>35</v>
      </c>
      <c r="D239" s="132" t="s">
        <v>1474</v>
      </c>
      <c r="E239" s="132" t="s">
        <v>1475</v>
      </c>
      <c r="F239" s="132" t="s">
        <v>60</v>
      </c>
      <c r="G239" s="132" t="s">
        <v>35</v>
      </c>
      <c r="H239" s="132" t="s">
        <v>141</v>
      </c>
      <c r="I239" s="132" t="s">
        <v>123</v>
      </c>
      <c r="J239" s="132" t="s">
        <v>38</v>
      </c>
      <c r="K239" s="133" t="s">
        <v>1476</v>
      </c>
      <c r="L239" s="134" t="s">
        <v>40</v>
      </c>
      <c r="M239" s="135">
        <v>30624</v>
      </c>
      <c r="N239" s="136">
        <v>913567223</v>
      </c>
      <c r="O239" s="136" t="s">
        <v>1477</v>
      </c>
      <c r="P239" s="136" t="s">
        <v>1478</v>
      </c>
      <c r="Q239" s="136" t="s">
        <v>1294</v>
      </c>
      <c r="R239" s="136" t="s">
        <v>1294</v>
      </c>
      <c r="S239" s="136" t="s">
        <v>1295</v>
      </c>
      <c r="T239" s="136" t="s">
        <v>55</v>
      </c>
      <c r="U239" s="136" t="s">
        <v>1296</v>
      </c>
      <c r="V239" s="137" t="s">
        <v>1297</v>
      </c>
      <c r="W239" s="138">
        <v>600692</v>
      </c>
      <c r="X239" s="137" t="s">
        <v>48</v>
      </c>
      <c r="Y239" s="140" t="s">
        <v>1297</v>
      </c>
      <c r="Z239" s="140">
        <v>600692</v>
      </c>
      <c r="AA239" s="136" t="s">
        <v>1298</v>
      </c>
      <c r="AB239" s="141">
        <v>14</v>
      </c>
      <c r="AC239" s="141" t="s">
        <v>1771</v>
      </c>
      <c r="AD239" s="141">
        <v>14</v>
      </c>
      <c r="AE239" s="141" t="s">
        <v>1771</v>
      </c>
      <c r="AF239" s="141">
        <v>17</v>
      </c>
      <c r="AG239" s="20" t="s">
        <v>1771</v>
      </c>
      <c r="AH239" s="141">
        <v>15</v>
      </c>
      <c r="AI239" s="141" t="s">
        <v>1767</v>
      </c>
      <c r="AJ239" s="19" t="str">
        <f t="shared" si="55"/>
        <v>APROBADO</v>
      </c>
      <c r="AK239" s="218" t="s">
        <v>50</v>
      </c>
    </row>
    <row r="240" spans="1:37" ht="15" hidden="1" customHeight="1" x14ac:dyDescent="0.2">
      <c r="A240" s="9">
        <v>79</v>
      </c>
      <c r="B240" s="10">
        <v>231</v>
      </c>
      <c r="C240" s="10">
        <v>36</v>
      </c>
      <c r="D240" s="132" t="s">
        <v>1479</v>
      </c>
      <c r="E240" s="132" t="s">
        <v>1480</v>
      </c>
      <c r="F240" s="132" t="s">
        <v>34</v>
      </c>
      <c r="G240" s="132" t="s">
        <v>35</v>
      </c>
      <c r="H240" s="132" t="s">
        <v>36</v>
      </c>
      <c r="I240" s="132" t="s">
        <v>132</v>
      </c>
      <c r="J240" s="132" t="s">
        <v>38</v>
      </c>
      <c r="K240" s="133" t="s">
        <v>1481</v>
      </c>
      <c r="L240" s="134" t="s">
        <v>40</v>
      </c>
      <c r="M240" s="135">
        <v>35979</v>
      </c>
      <c r="N240" s="136">
        <v>925076115</v>
      </c>
      <c r="O240" s="144" t="s">
        <v>1482</v>
      </c>
      <c r="P240" s="136" t="s">
        <v>1483</v>
      </c>
      <c r="Q240" s="136" t="s">
        <v>1484</v>
      </c>
      <c r="R240" s="136" t="s">
        <v>1485</v>
      </c>
      <c r="S240" s="136" t="s">
        <v>1295</v>
      </c>
      <c r="T240" s="136" t="s">
        <v>1486</v>
      </c>
      <c r="U240" s="136" t="s">
        <v>1327</v>
      </c>
      <c r="V240" s="137" t="s">
        <v>1487</v>
      </c>
      <c r="W240" s="138">
        <v>579987</v>
      </c>
      <c r="X240" s="137" t="s">
        <v>85</v>
      </c>
      <c r="Y240" s="140" t="str">
        <f>IF(X240="NO","NO APLICA","ESCRIBA EL NOMBRE DEL IIEE")</f>
        <v>NO APLICA</v>
      </c>
      <c r="Z240" s="140" t="str">
        <f>IF(Y240="NO APLICA","NO APLICA","ESCRIBA EL CÓDIGO MODULAR")</f>
        <v>NO APLICA</v>
      </c>
      <c r="AA240" s="136" t="s">
        <v>1298</v>
      </c>
      <c r="AB240" s="141">
        <v>11</v>
      </c>
      <c r="AC240" s="141" t="s">
        <v>1768</v>
      </c>
      <c r="AD240" s="141">
        <v>12</v>
      </c>
      <c r="AE240" s="141" t="s">
        <v>1767</v>
      </c>
      <c r="AF240" s="141">
        <v>15</v>
      </c>
      <c r="AG240" s="20" t="s">
        <v>1771</v>
      </c>
      <c r="AH240" s="141">
        <v>13</v>
      </c>
      <c r="AI240" s="141" t="s">
        <v>1767</v>
      </c>
      <c r="AJ240" s="24" t="s">
        <v>50</v>
      </c>
      <c r="AK240" s="218" t="s">
        <v>50</v>
      </c>
    </row>
    <row r="241" spans="11:26" ht="12.75" hidden="1" customHeight="1" x14ac:dyDescent="0.2">
      <c r="K241" s="152"/>
      <c r="L241" s="152"/>
      <c r="Y241" s="153"/>
      <c r="Z241" s="153"/>
    </row>
    <row r="242" spans="11:26" ht="12.75" hidden="1" customHeight="1" x14ac:dyDescent="0.2">
      <c r="K242" s="152"/>
      <c r="L242" s="152"/>
      <c r="Y242" s="153"/>
      <c r="Z242" s="153"/>
    </row>
    <row r="243" spans="11:26" ht="12.75" hidden="1" customHeight="1" x14ac:dyDescent="0.2">
      <c r="K243" s="152"/>
      <c r="L243" s="152"/>
      <c r="Y243" s="153"/>
      <c r="Z243" s="153"/>
    </row>
    <row r="244" spans="11:26" ht="12.75" hidden="1" customHeight="1" x14ac:dyDescent="0.2">
      <c r="K244" s="152"/>
      <c r="L244" s="152"/>
      <c r="Y244" s="153"/>
      <c r="Z244" s="153"/>
    </row>
    <row r="245" spans="11:26" ht="12.75" hidden="1" customHeight="1" x14ac:dyDescent="0.2">
      <c r="K245" s="152"/>
      <c r="L245" s="152"/>
      <c r="Y245" s="153"/>
      <c r="Z245" s="153"/>
    </row>
    <row r="246" spans="11:26" ht="12.75" hidden="1" customHeight="1" x14ac:dyDescent="0.2">
      <c r="K246" s="152"/>
      <c r="L246" s="152"/>
      <c r="Y246" s="153"/>
      <c r="Z246" s="153"/>
    </row>
    <row r="247" spans="11:26" ht="12.75" hidden="1" customHeight="1" x14ac:dyDescent="0.2">
      <c r="K247" s="152"/>
      <c r="L247" s="152"/>
      <c r="Y247" s="153"/>
      <c r="Z247" s="153"/>
    </row>
    <row r="248" spans="11:26" ht="12.75" hidden="1" customHeight="1" x14ac:dyDescent="0.2">
      <c r="K248" s="152"/>
      <c r="L248" s="152"/>
      <c r="Y248" s="153"/>
      <c r="Z248" s="153"/>
    </row>
    <row r="249" spans="11:26" ht="12.75" hidden="1" customHeight="1" x14ac:dyDescent="0.2">
      <c r="K249" s="152"/>
      <c r="L249" s="152"/>
      <c r="Y249" s="153"/>
      <c r="Z249" s="153"/>
    </row>
    <row r="250" spans="11:26" ht="12.75" hidden="1" customHeight="1" x14ac:dyDescent="0.2">
      <c r="K250" s="152"/>
      <c r="L250" s="152"/>
      <c r="Y250" s="153"/>
      <c r="Z250" s="153"/>
    </row>
    <row r="251" spans="11:26" ht="12.75" hidden="1" customHeight="1" x14ac:dyDescent="0.2">
      <c r="K251" s="152"/>
      <c r="L251" s="152"/>
      <c r="Y251" s="153"/>
      <c r="Z251" s="153"/>
    </row>
    <row r="252" spans="11:26" ht="12.75" hidden="1" customHeight="1" x14ac:dyDescent="0.2">
      <c r="K252" s="152"/>
      <c r="L252" s="152"/>
      <c r="Y252" s="153"/>
      <c r="Z252" s="153"/>
    </row>
    <row r="253" spans="11:26" ht="12.75" hidden="1" customHeight="1" x14ac:dyDescent="0.2">
      <c r="K253" s="152"/>
      <c r="L253" s="152"/>
      <c r="Y253" s="153"/>
      <c r="Z253" s="153"/>
    </row>
    <row r="254" spans="11:26" ht="12.75" hidden="1" customHeight="1" x14ac:dyDescent="0.2">
      <c r="K254" s="152"/>
      <c r="L254" s="152"/>
      <c r="Y254" s="153"/>
      <c r="Z254" s="153"/>
    </row>
    <row r="255" spans="11:26" ht="12.75" hidden="1" customHeight="1" x14ac:dyDescent="0.2">
      <c r="K255" s="152"/>
      <c r="L255" s="152"/>
      <c r="Y255" s="153"/>
      <c r="Z255" s="153"/>
    </row>
    <row r="256" spans="11:26" ht="12.75" hidden="1" customHeight="1" x14ac:dyDescent="0.2">
      <c r="K256" s="152"/>
      <c r="L256" s="152"/>
      <c r="Y256" s="153"/>
      <c r="Z256" s="153"/>
    </row>
    <row r="257" spans="11:26" ht="12.75" hidden="1" customHeight="1" x14ac:dyDescent="0.2">
      <c r="K257" s="152"/>
      <c r="L257" s="152"/>
      <c r="Y257" s="153"/>
      <c r="Z257" s="153"/>
    </row>
    <row r="258" spans="11:26" ht="12.75" hidden="1" customHeight="1" x14ac:dyDescent="0.2">
      <c r="K258" s="152"/>
      <c r="L258" s="152"/>
      <c r="Y258" s="153"/>
      <c r="Z258" s="153"/>
    </row>
    <row r="259" spans="11:26" ht="12.75" hidden="1" customHeight="1" x14ac:dyDescent="0.2">
      <c r="K259" s="152"/>
      <c r="L259" s="152"/>
      <c r="Y259" s="153"/>
      <c r="Z259" s="153"/>
    </row>
    <row r="260" spans="11:26" ht="12.75" hidden="1" customHeight="1" x14ac:dyDescent="0.2">
      <c r="K260" s="152"/>
      <c r="L260" s="152"/>
      <c r="Y260" s="153"/>
      <c r="Z260" s="153"/>
    </row>
    <row r="261" spans="11:26" ht="12.75" hidden="1" customHeight="1" x14ac:dyDescent="0.2">
      <c r="K261" s="152"/>
      <c r="L261" s="152"/>
      <c r="Y261" s="153"/>
      <c r="Z261" s="153"/>
    </row>
    <row r="262" spans="11:26" ht="12.75" hidden="1" customHeight="1" x14ac:dyDescent="0.2">
      <c r="K262" s="152"/>
      <c r="L262" s="152"/>
      <c r="Y262" s="153"/>
      <c r="Z262" s="153"/>
    </row>
    <row r="263" spans="11:26" ht="12.75" hidden="1" customHeight="1" x14ac:dyDescent="0.2">
      <c r="K263" s="152"/>
      <c r="L263" s="152"/>
      <c r="Y263" s="153"/>
      <c r="Z263" s="153"/>
    </row>
    <row r="264" spans="11:26" ht="12.75" hidden="1" customHeight="1" x14ac:dyDescent="0.2">
      <c r="K264" s="152"/>
      <c r="L264" s="152"/>
      <c r="Y264" s="153"/>
      <c r="Z264" s="153"/>
    </row>
    <row r="265" spans="11:26" ht="12.75" hidden="1" customHeight="1" x14ac:dyDescent="0.2">
      <c r="K265" s="152"/>
      <c r="L265" s="152"/>
      <c r="Y265" s="153"/>
      <c r="Z265" s="153"/>
    </row>
    <row r="266" spans="11:26" ht="12.75" hidden="1" customHeight="1" x14ac:dyDescent="0.2">
      <c r="K266" s="152"/>
      <c r="L266" s="152"/>
      <c r="Y266" s="153"/>
      <c r="Z266" s="153"/>
    </row>
    <row r="267" spans="11:26" ht="12.75" hidden="1" customHeight="1" x14ac:dyDescent="0.2">
      <c r="K267" s="152"/>
      <c r="L267" s="152"/>
      <c r="Y267" s="153"/>
      <c r="Z267" s="153"/>
    </row>
    <row r="268" spans="11:26" ht="12.75" hidden="1" customHeight="1" x14ac:dyDescent="0.2">
      <c r="K268" s="152"/>
      <c r="L268" s="152"/>
      <c r="Y268" s="153"/>
      <c r="Z268" s="153"/>
    </row>
    <row r="269" spans="11:26" ht="12.75" hidden="1" customHeight="1" x14ac:dyDescent="0.2">
      <c r="K269" s="152"/>
      <c r="L269" s="152"/>
      <c r="Y269" s="153"/>
      <c r="Z269" s="153"/>
    </row>
    <row r="270" spans="11:26" ht="12.75" hidden="1" customHeight="1" x14ac:dyDescent="0.2">
      <c r="K270" s="152"/>
      <c r="L270" s="152"/>
      <c r="Y270" s="153"/>
      <c r="Z270" s="153"/>
    </row>
    <row r="271" spans="11:26" ht="12.75" hidden="1" customHeight="1" x14ac:dyDescent="0.2">
      <c r="K271" s="152"/>
      <c r="L271" s="152"/>
      <c r="Y271" s="153"/>
      <c r="Z271" s="153"/>
    </row>
    <row r="272" spans="11:26" ht="12.75" hidden="1" customHeight="1" x14ac:dyDescent="0.2">
      <c r="K272" s="152"/>
      <c r="L272" s="152"/>
      <c r="Y272" s="153"/>
      <c r="Z272" s="153"/>
    </row>
    <row r="273" spans="11:26" ht="12.75" hidden="1" customHeight="1" x14ac:dyDescent="0.2">
      <c r="K273" s="152"/>
      <c r="L273" s="152"/>
      <c r="Y273" s="153"/>
      <c r="Z273" s="153"/>
    </row>
    <row r="274" spans="11:26" ht="12.75" hidden="1" customHeight="1" x14ac:dyDescent="0.2">
      <c r="K274" s="152"/>
      <c r="L274" s="152"/>
      <c r="Y274" s="153"/>
      <c r="Z274" s="153"/>
    </row>
    <row r="275" spans="11:26" ht="12.75" hidden="1" customHeight="1" x14ac:dyDescent="0.2">
      <c r="K275" s="152"/>
      <c r="L275" s="152"/>
      <c r="Y275" s="153"/>
      <c r="Z275" s="153"/>
    </row>
    <row r="276" spans="11:26" ht="12.75" hidden="1" customHeight="1" x14ac:dyDescent="0.2">
      <c r="K276" s="152"/>
      <c r="L276" s="152"/>
      <c r="Y276" s="153"/>
      <c r="Z276" s="153"/>
    </row>
    <row r="277" spans="11:26" ht="12.75" hidden="1" customHeight="1" x14ac:dyDescent="0.2">
      <c r="K277" s="152"/>
      <c r="L277" s="152"/>
      <c r="Y277" s="153"/>
      <c r="Z277" s="153"/>
    </row>
    <row r="278" spans="11:26" ht="12.75" hidden="1" customHeight="1" x14ac:dyDescent="0.2">
      <c r="K278" s="152"/>
      <c r="L278" s="152"/>
      <c r="Y278" s="153"/>
      <c r="Z278" s="153"/>
    </row>
    <row r="279" spans="11:26" ht="12.75" hidden="1" customHeight="1" x14ac:dyDescent="0.2">
      <c r="K279" s="152"/>
      <c r="L279" s="152"/>
      <c r="Y279" s="153"/>
      <c r="Z279" s="153"/>
    </row>
    <row r="280" spans="11:26" ht="12.75" hidden="1" customHeight="1" x14ac:dyDescent="0.2">
      <c r="K280" s="152"/>
      <c r="L280" s="152"/>
      <c r="Y280" s="153"/>
      <c r="Z280" s="153"/>
    </row>
    <row r="281" spans="11:26" ht="12.75" hidden="1" customHeight="1" x14ac:dyDescent="0.2">
      <c r="K281" s="152"/>
      <c r="L281" s="152"/>
      <c r="Y281" s="153"/>
      <c r="Z281" s="153"/>
    </row>
    <row r="282" spans="11:26" ht="12.75" hidden="1" customHeight="1" x14ac:dyDescent="0.2">
      <c r="K282" s="152"/>
      <c r="L282" s="152"/>
      <c r="Y282" s="153"/>
      <c r="Z282" s="153"/>
    </row>
    <row r="283" spans="11:26" ht="12.75" hidden="1" customHeight="1" x14ac:dyDescent="0.2">
      <c r="K283" s="152"/>
      <c r="L283" s="152"/>
      <c r="Y283" s="153"/>
      <c r="Z283" s="153"/>
    </row>
    <row r="284" spans="11:26" ht="12.75" hidden="1" customHeight="1" x14ac:dyDescent="0.2">
      <c r="K284" s="152"/>
      <c r="L284" s="152"/>
      <c r="Y284" s="153"/>
      <c r="Z284" s="153"/>
    </row>
    <row r="285" spans="11:26" ht="12.75" hidden="1" customHeight="1" x14ac:dyDescent="0.2">
      <c r="K285" s="152"/>
      <c r="L285" s="152"/>
      <c r="Y285" s="153"/>
      <c r="Z285" s="153"/>
    </row>
    <row r="286" spans="11:26" ht="12.75" hidden="1" customHeight="1" x14ac:dyDescent="0.2">
      <c r="K286" s="152"/>
      <c r="L286" s="152"/>
      <c r="Y286" s="153"/>
      <c r="Z286" s="153"/>
    </row>
    <row r="287" spans="11:26" ht="12.75" hidden="1" customHeight="1" x14ac:dyDescent="0.2">
      <c r="K287" s="152"/>
      <c r="L287" s="152"/>
      <c r="Y287" s="153"/>
      <c r="Z287" s="153"/>
    </row>
    <row r="288" spans="11:26" ht="12.75" hidden="1" customHeight="1" x14ac:dyDescent="0.2">
      <c r="K288" s="152"/>
      <c r="L288" s="152"/>
      <c r="Y288" s="153"/>
      <c r="Z288" s="153"/>
    </row>
    <row r="289" spans="11:26" ht="12.75" hidden="1" customHeight="1" x14ac:dyDescent="0.2">
      <c r="K289" s="152"/>
      <c r="L289" s="152"/>
      <c r="Y289" s="153"/>
      <c r="Z289" s="153"/>
    </row>
    <row r="290" spans="11:26" ht="12.75" hidden="1" customHeight="1" x14ac:dyDescent="0.2">
      <c r="K290" s="152"/>
      <c r="L290" s="152"/>
      <c r="Y290" s="153"/>
      <c r="Z290" s="153"/>
    </row>
    <row r="291" spans="11:26" ht="12.75" hidden="1" customHeight="1" x14ac:dyDescent="0.2">
      <c r="K291" s="152"/>
      <c r="L291" s="152"/>
      <c r="Y291" s="153"/>
      <c r="Z291" s="153"/>
    </row>
    <row r="292" spans="11:26" ht="12.75" hidden="1" customHeight="1" x14ac:dyDescent="0.2">
      <c r="K292" s="152"/>
      <c r="L292" s="152"/>
      <c r="Y292" s="153"/>
      <c r="Z292" s="153"/>
    </row>
    <row r="293" spans="11:26" ht="12.75" hidden="1" customHeight="1" x14ac:dyDescent="0.2">
      <c r="K293" s="152"/>
      <c r="L293" s="152"/>
      <c r="Y293" s="153"/>
      <c r="Z293" s="153"/>
    </row>
    <row r="294" spans="11:26" ht="12.75" hidden="1" customHeight="1" x14ac:dyDescent="0.2">
      <c r="K294" s="152"/>
      <c r="L294" s="152"/>
      <c r="Y294" s="153"/>
      <c r="Z294" s="153"/>
    </row>
    <row r="295" spans="11:26" ht="12.75" hidden="1" customHeight="1" x14ac:dyDescent="0.2">
      <c r="K295" s="152"/>
      <c r="L295" s="152"/>
      <c r="Y295" s="153"/>
      <c r="Z295" s="153"/>
    </row>
    <row r="296" spans="11:26" ht="12.75" hidden="1" customHeight="1" x14ac:dyDescent="0.2">
      <c r="K296" s="152"/>
      <c r="L296" s="152"/>
      <c r="Y296" s="153"/>
      <c r="Z296" s="153"/>
    </row>
    <row r="297" spans="11:26" ht="12.75" hidden="1" customHeight="1" x14ac:dyDescent="0.2">
      <c r="K297" s="152"/>
      <c r="L297" s="152"/>
      <c r="Y297" s="153"/>
      <c r="Z297" s="153"/>
    </row>
    <row r="298" spans="11:26" ht="12.75" hidden="1" customHeight="1" x14ac:dyDescent="0.2">
      <c r="K298" s="152"/>
      <c r="L298" s="152"/>
      <c r="Y298" s="153"/>
      <c r="Z298" s="153"/>
    </row>
    <row r="299" spans="11:26" ht="12.75" hidden="1" customHeight="1" x14ac:dyDescent="0.2">
      <c r="K299" s="152"/>
      <c r="L299" s="152"/>
      <c r="Y299" s="153"/>
      <c r="Z299" s="153"/>
    </row>
    <row r="300" spans="11:26" ht="12.75" hidden="1" customHeight="1" x14ac:dyDescent="0.2">
      <c r="K300" s="152"/>
      <c r="L300" s="152"/>
      <c r="Y300" s="153"/>
      <c r="Z300" s="153"/>
    </row>
    <row r="301" spans="11:26" ht="12.75" hidden="1" customHeight="1" x14ac:dyDescent="0.2">
      <c r="K301" s="152"/>
      <c r="L301" s="152"/>
      <c r="Y301" s="153"/>
      <c r="Z301" s="153"/>
    </row>
    <row r="302" spans="11:26" ht="12.75" hidden="1" customHeight="1" x14ac:dyDescent="0.2">
      <c r="K302" s="152"/>
      <c r="L302" s="152"/>
      <c r="Y302" s="153"/>
      <c r="Z302" s="153"/>
    </row>
    <row r="303" spans="11:26" ht="12.75" hidden="1" customHeight="1" x14ac:dyDescent="0.2">
      <c r="K303" s="152"/>
      <c r="L303" s="152"/>
      <c r="Y303" s="153"/>
      <c r="Z303" s="153"/>
    </row>
    <row r="304" spans="11:26" ht="12.75" hidden="1" customHeight="1" x14ac:dyDescent="0.2">
      <c r="K304" s="152"/>
      <c r="L304" s="152"/>
      <c r="Y304" s="153"/>
      <c r="Z304" s="153"/>
    </row>
    <row r="305" spans="11:26" ht="12.75" hidden="1" customHeight="1" x14ac:dyDescent="0.2">
      <c r="K305" s="152"/>
      <c r="L305" s="152"/>
      <c r="Y305" s="153"/>
      <c r="Z305" s="153"/>
    </row>
    <row r="306" spans="11:26" ht="12.75" hidden="1" customHeight="1" x14ac:dyDescent="0.2">
      <c r="K306" s="152"/>
      <c r="L306" s="152"/>
      <c r="Y306" s="153"/>
      <c r="Z306" s="153"/>
    </row>
    <row r="307" spans="11:26" ht="12.75" hidden="1" customHeight="1" x14ac:dyDescent="0.2">
      <c r="K307" s="152"/>
      <c r="L307" s="152"/>
      <c r="Y307" s="153"/>
      <c r="Z307" s="153"/>
    </row>
    <row r="308" spans="11:26" ht="12.75" hidden="1" customHeight="1" x14ac:dyDescent="0.2">
      <c r="K308" s="152"/>
      <c r="L308" s="152"/>
      <c r="Y308" s="153"/>
      <c r="Z308" s="153"/>
    </row>
    <row r="309" spans="11:26" ht="12.75" hidden="1" customHeight="1" x14ac:dyDescent="0.2">
      <c r="K309" s="152"/>
      <c r="L309" s="152"/>
      <c r="Y309" s="153"/>
      <c r="Z309" s="153"/>
    </row>
    <row r="310" spans="11:26" ht="12.75" hidden="1" customHeight="1" x14ac:dyDescent="0.2">
      <c r="K310" s="152"/>
      <c r="L310" s="152"/>
      <c r="Y310" s="153"/>
      <c r="Z310" s="153"/>
    </row>
    <row r="311" spans="11:26" ht="12.75" hidden="1" customHeight="1" x14ac:dyDescent="0.2">
      <c r="K311" s="152"/>
      <c r="L311" s="152"/>
      <c r="Y311" s="153"/>
      <c r="Z311" s="153"/>
    </row>
    <row r="312" spans="11:26" ht="12.75" hidden="1" customHeight="1" x14ac:dyDescent="0.2">
      <c r="K312" s="152"/>
      <c r="L312" s="152"/>
      <c r="Y312" s="153"/>
      <c r="Z312" s="153"/>
    </row>
    <row r="313" spans="11:26" ht="12.75" hidden="1" customHeight="1" x14ac:dyDescent="0.2">
      <c r="K313" s="152"/>
      <c r="L313" s="152"/>
      <c r="Y313" s="153"/>
      <c r="Z313" s="153"/>
    </row>
    <row r="314" spans="11:26" ht="12.75" hidden="1" customHeight="1" x14ac:dyDescent="0.2">
      <c r="K314" s="152"/>
      <c r="L314" s="152"/>
      <c r="Y314" s="153"/>
      <c r="Z314" s="153"/>
    </row>
    <row r="315" spans="11:26" ht="12.75" hidden="1" customHeight="1" x14ac:dyDescent="0.2">
      <c r="K315" s="152"/>
      <c r="L315" s="152"/>
      <c r="Y315" s="153"/>
      <c r="Z315" s="153"/>
    </row>
    <row r="316" spans="11:26" ht="12.75" hidden="1" customHeight="1" x14ac:dyDescent="0.2">
      <c r="K316" s="152"/>
      <c r="L316" s="152"/>
      <c r="Y316" s="153"/>
      <c r="Z316" s="153"/>
    </row>
    <row r="317" spans="11:26" ht="12.75" hidden="1" customHeight="1" x14ac:dyDescent="0.2">
      <c r="K317" s="152"/>
      <c r="L317" s="152"/>
      <c r="Y317" s="153"/>
      <c r="Z317" s="153"/>
    </row>
    <row r="318" spans="11:26" ht="12.75" hidden="1" customHeight="1" x14ac:dyDescent="0.2">
      <c r="K318" s="152"/>
      <c r="L318" s="152"/>
      <c r="Y318" s="153"/>
      <c r="Z318" s="153"/>
    </row>
    <row r="319" spans="11:26" ht="12.75" hidden="1" customHeight="1" x14ac:dyDescent="0.2">
      <c r="K319" s="152"/>
      <c r="L319" s="152"/>
      <c r="Y319" s="153"/>
      <c r="Z319" s="153"/>
    </row>
    <row r="320" spans="11:26" ht="12.75" hidden="1" customHeight="1" x14ac:dyDescent="0.2">
      <c r="K320" s="152"/>
      <c r="L320" s="152"/>
      <c r="Y320" s="153"/>
      <c r="Z320" s="153"/>
    </row>
    <row r="321" spans="11:26" ht="12.75" hidden="1" customHeight="1" x14ac:dyDescent="0.2">
      <c r="K321" s="152"/>
      <c r="L321" s="152"/>
      <c r="Y321" s="153"/>
      <c r="Z321" s="153"/>
    </row>
    <row r="322" spans="11:26" ht="12.75" hidden="1" customHeight="1" x14ac:dyDescent="0.2">
      <c r="K322" s="152"/>
      <c r="L322" s="152"/>
      <c r="Y322" s="153"/>
      <c r="Z322" s="153"/>
    </row>
    <row r="323" spans="11:26" ht="12.75" hidden="1" customHeight="1" x14ac:dyDescent="0.2">
      <c r="K323" s="152"/>
      <c r="L323" s="152"/>
      <c r="Y323" s="153"/>
      <c r="Z323" s="153"/>
    </row>
    <row r="324" spans="11:26" ht="12.75" hidden="1" customHeight="1" x14ac:dyDescent="0.2">
      <c r="K324" s="152"/>
      <c r="L324" s="152"/>
      <c r="Y324" s="153"/>
      <c r="Z324" s="153"/>
    </row>
    <row r="325" spans="11:26" ht="12.75" hidden="1" customHeight="1" x14ac:dyDescent="0.2">
      <c r="K325" s="152"/>
      <c r="L325" s="152"/>
      <c r="Y325" s="153"/>
      <c r="Z325" s="153"/>
    </row>
    <row r="326" spans="11:26" ht="12.75" hidden="1" customHeight="1" x14ac:dyDescent="0.2">
      <c r="K326" s="152"/>
      <c r="L326" s="152"/>
      <c r="Y326" s="153"/>
      <c r="Z326" s="153"/>
    </row>
    <row r="327" spans="11:26" ht="12.75" hidden="1" customHeight="1" x14ac:dyDescent="0.2">
      <c r="K327" s="152"/>
      <c r="L327" s="152"/>
      <c r="Y327" s="153"/>
      <c r="Z327" s="153"/>
    </row>
    <row r="328" spans="11:26" ht="12.75" hidden="1" customHeight="1" x14ac:dyDescent="0.2">
      <c r="K328" s="152"/>
      <c r="L328" s="152"/>
      <c r="Y328" s="153"/>
      <c r="Z328" s="153"/>
    </row>
    <row r="329" spans="11:26" ht="12.75" hidden="1" customHeight="1" x14ac:dyDescent="0.2">
      <c r="K329" s="152"/>
      <c r="L329" s="152"/>
      <c r="Y329" s="153"/>
      <c r="Z329" s="153"/>
    </row>
    <row r="330" spans="11:26" ht="12.75" hidden="1" customHeight="1" x14ac:dyDescent="0.2">
      <c r="K330" s="152"/>
      <c r="L330" s="152"/>
      <c r="Y330" s="153"/>
      <c r="Z330" s="153"/>
    </row>
    <row r="331" spans="11:26" ht="12.75" hidden="1" customHeight="1" x14ac:dyDescent="0.2">
      <c r="K331" s="152"/>
      <c r="L331" s="152"/>
      <c r="Y331" s="153"/>
      <c r="Z331" s="153"/>
    </row>
    <row r="332" spans="11:26" ht="12.75" hidden="1" customHeight="1" x14ac:dyDescent="0.2">
      <c r="K332" s="152"/>
      <c r="L332" s="152"/>
      <c r="Y332" s="153"/>
      <c r="Z332" s="153"/>
    </row>
    <row r="333" spans="11:26" ht="12.75" hidden="1" customHeight="1" x14ac:dyDescent="0.2">
      <c r="K333" s="152"/>
      <c r="L333" s="152"/>
      <c r="Y333" s="153"/>
      <c r="Z333" s="153"/>
    </row>
    <row r="334" spans="11:26" ht="12.75" hidden="1" customHeight="1" x14ac:dyDescent="0.2">
      <c r="K334" s="152"/>
      <c r="L334" s="152"/>
      <c r="Y334" s="153"/>
      <c r="Z334" s="153"/>
    </row>
    <row r="335" spans="11:26" ht="12.75" hidden="1" customHeight="1" x14ac:dyDescent="0.2">
      <c r="K335" s="152"/>
      <c r="L335" s="152"/>
      <c r="Y335" s="153"/>
      <c r="Z335" s="153"/>
    </row>
    <row r="336" spans="11:26" ht="12.75" hidden="1" customHeight="1" x14ac:dyDescent="0.2">
      <c r="K336" s="152"/>
      <c r="L336" s="152"/>
      <c r="Y336" s="153"/>
      <c r="Z336" s="153"/>
    </row>
    <row r="337" spans="11:26" ht="12.75" hidden="1" customHeight="1" x14ac:dyDescent="0.2">
      <c r="K337" s="152"/>
      <c r="L337" s="152"/>
      <c r="Y337" s="153"/>
      <c r="Z337" s="153"/>
    </row>
    <row r="338" spans="11:26" ht="12.75" hidden="1" customHeight="1" x14ac:dyDescent="0.2">
      <c r="K338" s="152"/>
      <c r="L338" s="152"/>
      <c r="Y338" s="153"/>
      <c r="Z338" s="153"/>
    </row>
    <row r="339" spans="11:26" ht="12.75" hidden="1" customHeight="1" x14ac:dyDescent="0.2">
      <c r="K339" s="152"/>
      <c r="L339" s="152"/>
      <c r="Y339" s="153"/>
      <c r="Z339" s="153"/>
    </row>
    <row r="340" spans="11:26" ht="12.75" hidden="1" customHeight="1" x14ac:dyDescent="0.2">
      <c r="K340" s="152"/>
      <c r="L340" s="152"/>
      <c r="Y340" s="153"/>
      <c r="Z340" s="153"/>
    </row>
    <row r="341" spans="11:26" ht="12.75" hidden="1" customHeight="1" x14ac:dyDescent="0.2">
      <c r="K341" s="152"/>
      <c r="L341" s="152"/>
      <c r="Y341" s="153"/>
      <c r="Z341" s="153"/>
    </row>
    <row r="342" spans="11:26" ht="12.75" hidden="1" customHeight="1" x14ac:dyDescent="0.2">
      <c r="K342" s="152"/>
      <c r="L342" s="152"/>
      <c r="Y342" s="153"/>
      <c r="Z342" s="153"/>
    </row>
    <row r="343" spans="11:26" ht="12.75" hidden="1" customHeight="1" x14ac:dyDescent="0.2">
      <c r="K343" s="152"/>
      <c r="L343" s="152"/>
      <c r="Y343" s="153"/>
      <c r="Z343" s="153"/>
    </row>
    <row r="344" spans="11:26" ht="12.75" hidden="1" customHeight="1" x14ac:dyDescent="0.2">
      <c r="K344" s="152"/>
      <c r="L344" s="152"/>
      <c r="Y344" s="153"/>
      <c r="Z344" s="153"/>
    </row>
    <row r="345" spans="11:26" ht="12.75" hidden="1" customHeight="1" x14ac:dyDescent="0.2">
      <c r="K345" s="152"/>
      <c r="L345" s="152"/>
      <c r="Y345" s="153"/>
      <c r="Z345" s="153"/>
    </row>
    <row r="346" spans="11:26" ht="12.75" hidden="1" customHeight="1" x14ac:dyDescent="0.2">
      <c r="K346" s="152"/>
      <c r="L346" s="152"/>
      <c r="Y346" s="153"/>
      <c r="Z346" s="153"/>
    </row>
    <row r="347" spans="11:26" ht="12.75" hidden="1" customHeight="1" x14ac:dyDescent="0.2">
      <c r="K347" s="152"/>
      <c r="L347" s="152"/>
      <c r="Y347" s="153"/>
      <c r="Z347" s="153"/>
    </row>
    <row r="348" spans="11:26" ht="12.75" hidden="1" customHeight="1" x14ac:dyDescent="0.2">
      <c r="K348" s="152"/>
      <c r="L348" s="152"/>
      <c r="Y348" s="153"/>
      <c r="Z348" s="153"/>
    </row>
    <row r="349" spans="11:26" ht="12.75" hidden="1" customHeight="1" x14ac:dyDescent="0.2">
      <c r="K349" s="152"/>
      <c r="L349" s="152"/>
      <c r="Y349" s="153"/>
      <c r="Z349" s="153"/>
    </row>
    <row r="350" spans="11:26" ht="12.75" hidden="1" customHeight="1" x14ac:dyDescent="0.2">
      <c r="K350" s="152"/>
      <c r="L350" s="152"/>
      <c r="Y350" s="153"/>
      <c r="Z350" s="153"/>
    </row>
    <row r="351" spans="11:26" ht="12.75" hidden="1" customHeight="1" x14ac:dyDescent="0.2">
      <c r="K351" s="152"/>
      <c r="L351" s="152"/>
      <c r="Y351" s="153"/>
      <c r="Z351" s="153"/>
    </row>
    <row r="352" spans="11:26" ht="12.75" hidden="1" customHeight="1" x14ac:dyDescent="0.2">
      <c r="K352" s="152"/>
      <c r="L352" s="152"/>
      <c r="Y352" s="153"/>
      <c r="Z352" s="153"/>
    </row>
    <row r="353" spans="11:26" ht="12.75" hidden="1" customHeight="1" x14ac:dyDescent="0.2">
      <c r="K353" s="152"/>
      <c r="L353" s="152"/>
      <c r="Y353" s="153"/>
      <c r="Z353" s="153"/>
    </row>
    <row r="354" spans="11:26" ht="12.75" hidden="1" customHeight="1" x14ac:dyDescent="0.2">
      <c r="K354" s="152"/>
      <c r="L354" s="152"/>
      <c r="Y354" s="153"/>
      <c r="Z354" s="153"/>
    </row>
    <row r="355" spans="11:26" ht="12.75" hidden="1" customHeight="1" x14ac:dyDescent="0.2">
      <c r="K355" s="152"/>
      <c r="L355" s="152"/>
      <c r="Y355" s="153"/>
      <c r="Z355" s="153"/>
    </row>
    <row r="356" spans="11:26" ht="12.75" hidden="1" customHeight="1" x14ac:dyDescent="0.2">
      <c r="K356" s="152"/>
      <c r="L356" s="152"/>
      <c r="Y356" s="153"/>
      <c r="Z356" s="153"/>
    </row>
    <row r="357" spans="11:26" ht="12.75" hidden="1" customHeight="1" x14ac:dyDescent="0.2">
      <c r="K357" s="152"/>
      <c r="L357" s="152"/>
      <c r="Y357" s="153"/>
      <c r="Z357" s="153"/>
    </row>
    <row r="358" spans="11:26" ht="12.75" hidden="1" customHeight="1" x14ac:dyDescent="0.2">
      <c r="K358" s="152"/>
      <c r="L358" s="152"/>
      <c r="Y358" s="153"/>
      <c r="Z358" s="153"/>
    </row>
    <row r="359" spans="11:26" ht="12.75" hidden="1" customHeight="1" x14ac:dyDescent="0.2">
      <c r="K359" s="152"/>
      <c r="L359" s="152"/>
      <c r="Y359" s="153"/>
      <c r="Z359" s="153"/>
    </row>
    <row r="360" spans="11:26" ht="12.75" hidden="1" customHeight="1" x14ac:dyDescent="0.2">
      <c r="K360" s="152"/>
      <c r="L360" s="152"/>
      <c r="Y360" s="153"/>
      <c r="Z360" s="153"/>
    </row>
    <row r="361" spans="11:26" ht="12.75" hidden="1" customHeight="1" x14ac:dyDescent="0.2">
      <c r="K361" s="152"/>
      <c r="L361" s="152"/>
      <c r="Y361" s="153"/>
      <c r="Z361" s="153"/>
    </row>
    <row r="362" spans="11:26" ht="12.75" hidden="1" customHeight="1" x14ac:dyDescent="0.2">
      <c r="K362" s="152"/>
      <c r="L362" s="152"/>
      <c r="Y362" s="153"/>
      <c r="Z362" s="153"/>
    </row>
    <row r="363" spans="11:26" ht="12.75" hidden="1" customHeight="1" x14ac:dyDescent="0.2">
      <c r="K363" s="152"/>
      <c r="L363" s="152"/>
      <c r="Y363" s="153"/>
      <c r="Z363" s="153"/>
    </row>
    <row r="364" spans="11:26" ht="12.75" hidden="1" customHeight="1" x14ac:dyDescent="0.2">
      <c r="K364" s="152"/>
      <c r="L364" s="152"/>
      <c r="Y364" s="153"/>
      <c r="Z364" s="153"/>
    </row>
    <row r="365" spans="11:26" ht="12.75" hidden="1" customHeight="1" x14ac:dyDescent="0.2">
      <c r="K365" s="152"/>
      <c r="L365" s="152"/>
      <c r="Y365" s="153"/>
      <c r="Z365" s="153"/>
    </row>
    <row r="366" spans="11:26" ht="12.75" hidden="1" customHeight="1" x14ac:dyDescent="0.2">
      <c r="K366" s="152"/>
      <c r="L366" s="152"/>
      <c r="Y366" s="153"/>
      <c r="Z366" s="153"/>
    </row>
    <row r="367" spans="11:26" ht="12.75" hidden="1" customHeight="1" x14ac:dyDescent="0.2">
      <c r="K367" s="152"/>
      <c r="L367" s="152"/>
      <c r="Y367" s="153"/>
      <c r="Z367" s="153"/>
    </row>
    <row r="368" spans="11:26" ht="12.75" hidden="1" customHeight="1" x14ac:dyDescent="0.2">
      <c r="K368" s="152"/>
      <c r="L368" s="152"/>
      <c r="Y368" s="153"/>
      <c r="Z368" s="153"/>
    </row>
    <row r="369" spans="11:26" ht="12.75" hidden="1" customHeight="1" x14ac:dyDescent="0.2">
      <c r="K369" s="152"/>
      <c r="L369" s="152"/>
      <c r="Y369" s="153"/>
      <c r="Z369" s="153"/>
    </row>
    <row r="370" spans="11:26" ht="12.75" hidden="1" customHeight="1" x14ac:dyDescent="0.2">
      <c r="K370" s="152"/>
      <c r="L370" s="152"/>
      <c r="Y370" s="153"/>
      <c r="Z370" s="153"/>
    </row>
    <row r="371" spans="11:26" ht="12.75" hidden="1" customHeight="1" x14ac:dyDescent="0.2">
      <c r="K371" s="152"/>
      <c r="L371" s="152"/>
      <c r="Y371" s="153"/>
      <c r="Z371" s="153"/>
    </row>
    <row r="372" spans="11:26" ht="12.75" hidden="1" customHeight="1" x14ac:dyDescent="0.2">
      <c r="K372" s="152"/>
      <c r="L372" s="152"/>
      <c r="Y372" s="153"/>
      <c r="Z372" s="153"/>
    </row>
    <row r="373" spans="11:26" ht="12.75" hidden="1" customHeight="1" x14ac:dyDescent="0.2">
      <c r="K373" s="152"/>
      <c r="L373" s="152"/>
      <c r="Y373" s="153"/>
      <c r="Z373" s="153"/>
    </row>
    <row r="374" spans="11:26" ht="12.75" hidden="1" customHeight="1" x14ac:dyDescent="0.2">
      <c r="K374" s="152"/>
      <c r="L374" s="152"/>
      <c r="Y374" s="153"/>
      <c r="Z374" s="153"/>
    </row>
    <row r="375" spans="11:26" ht="12.75" hidden="1" customHeight="1" x14ac:dyDescent="0.2">
      <c r="K375" s="152"/>
      <c r="L375" s="152"/>
      <c r="Y375" s="153"/>
      <c r="Z375" s="153"/>
    </row>
    <row r="376" spans="11:26" ht="12.75" hidden="1" customHeight="1" x14ac:dyDescent="0.2">
      <c r="K376" s="152"/>
      <c r="L376" s="152"/>
      <c r="Y376" s="153"/>
      <c r="Z376" s="153"/>
    </row>
    <row r="377" spans="11:26" ht="12.75" hidden="1" customHeight="1" x14ac:dyDescent="0.2">
      <c r="K377" s="152"/>
      <c r="L377" s="152"/>
      <c r="Y377" s="153"/>
      <c r="Z377" s="153"/>
    </row>
    <row r="378" spans="11:26" ht="12.75" hidden="1" customHeight="1" x14ac:dyDescent="0.2">
      <c r="K378" s="152"/>
      <c r="L378" s="152"/>
      <c r="Y378" s="153"/>
      <c r="Z378" s="153"/>
    </row>
    <row r="379" spans="11:26" ht="12.75" hidden="1" customHeight="1" x14ac:dyDescent="0.2">
      <c r="K379" s="152"/>
      <c r="L379" s="152"/>
      <c r="Y379" s="153"/>
      <c r="Z379" s="153"/>
    </row>
    <row r="380" spans="11:26" ht="12.75" hidden="1" customHeight="1" x14ac:dyDescent="0.2">
      <c r="K380" s="152"/>
      <c r="L380" s="152"/>
      <c r="Y380" s="153"/>
      <c r="Z380" s="153"/>
    </row>
    <row r="381" spans="11:26" ht="12.75" hidden="1" customHeight="1" x14ac:dyDescent="0.2">
      <c r="K381" s="152"/>
      <c r="L381" s="152"/>
      <c r="Y381" s="153"/>
      <c r="Z381" s="153"/>
    </row>
    <row r="382" spans="11:26" ht="12.75" hidden="1" customHeight="1" x14ac:dyDescent="0.2">
      <c r="K382" s="152"/>
      <c r="L382" s="152"/>
      <c r="Y382" s="153"/>
      <c r="Z382" s="153"/>
    </row>
    <row r="383" spans="11:26" ht="12.75" hidden="1" customHeight="1" x14ac:dyDescent="0.2">
      <c r="K383" s="152"/>
      <c r="L383" s="152"/>
      <c r="Y383" s="153"/>
      <c r="Z383" s="153"/>
    </row>
    <row r="384" spans="11:26" ht="12.75" hidden="1" customHeight="1" x14ac:dyDescent="0.2">
      <c r="K384" s="152"/>
      <c r="L384" s="152"/>
      <c r="Y384" s="153"/>
      <c r="Z384" s="153"/>
    </row>
    <row r="385" spans="11:26" ht="12.75" hidden="1" customHeight="1" x14ac:dyDescent="0.2">
      <c r="K385" s="152"/>
      <c r="L385" s="152"/>
      <c r="Y385" s="153"/>
      <c r="Z385" s="153"/>
    </row>
    <row r="386" spans="11:26" ht="12.75" hidden="1" customHeight="1" x14ac:dyDescent="0.2">
      <c r="K386" s="152"/>
      <c r="L386" s="152"/>
      <c r="Y386" s="153"/>
      <c r="Z386" s="153"/>
    </row>
    <row r="387" spans="11:26" ht="12.75" hidden="1" customHeight="1" x14ac:dyDescent="0.2">
      <c r="K387" s="152"/>
      <c r="L387" s="152"/>
      <c r="Y387" s="153"/>
      <c r="Z387" s="153"/>
    </row>
    <row r="388" spans="11:26" ht="12.75" hidden="1" customHeight="1" x14ac:dyDescent="0.2">
      <c r="K388" s="152"/>
      <c r="L388" s="152"/>
      <c r="Y388" s="153"/>
      <c r="Z388" s="153"/>
    </row>
    <row r="389" spans="11:26" ht="12.75" hidden="1" customHeight="1" x14ac:dyDescent="0.2">
      <c r="K389" s="152"/>
      <c r="L389" s="152"/>
      <c r="Y389" s="153"/>
      <c r="Z389" s="153"/>
    </row>
    <row r="390" spans="11:26" ht="12.75" hidden="1" customHeight="1" x14ac:dyDescent="0.2">
      <c r="K390" s="152"/>
      <c r="L390" s="152"/>
      <c r="Y390" s="153"/>
      <c r="Z390" s="153"/>
    </row>
    <row r="391" spans="11:26" ht="12.75" hidden="1" customHeight="1" x14ac:dyDescent="0.2">
      <c r="K391" s="152"/>
      <c r="L391" s="152"/>
      <c r="Y391" s="153"/>
      <c r="Z391" s="153"/>
    </row>
    <row r="392" spans="11:26" ht="12.75" hidden="1" customHeight="1" x14ac:dyDescent="0.2">
      <c r="K392" s="152"/>
      <c r="L392" s="152"/>
      <c r="Y392" s="153"/>
      <c r="Z392" s="153"/>
    </row>
    <row r="393" spans="11:26" ht="12.75" hidden="1" customHeight="1" x14ac:dyDescent="0.2">
      <c r="K393" s="152"/>
      <c r="L393" s="152"/>
      <c r="Y393" s="153"/>
      <c r="Z393" s="153"/>
    </row>
    <row r="394" spans="11:26" ht="12.75" hidden="1" customHeight="1" x14ac:dyDescent="0.2">
      <c r="K394" s="152"/>
      <c r="L394" s="152"/>
      <c r="Y394" s="153"/>
      <c r="Z394" s="153"/>
    </row>
    <row r="395" spans="11:26" ht="12.75" hidden="1" customHeight="1" x14ac:dyDescent="0.2">
      <c r="K395" s="152"/>
      <c r="L395" s="152"/>
      <c r="Y395" s="153"/>
      <c r="Z395" s="153"/>
    </row>
    <row r="396" spans="11:26" ht="12.75" hidden="1" customHeight="1" x14ac:dyDescent="0.2">
      <c r="K396" s="152"/>
      <c r="L396" s="152"/>
      <c r="Y396" s="153"/>
      <c r="Z396" s="153"/>
    </row>
    <row r="397" spans="11:26" ht="12.75" hidden="1" customHeight="1" x14ac:dyDescent="0.2">
      <c r="K397" s="152"/>
      <c r="L397" s="152"/>
      <c r="Y397" s="153"/>
      <c r="Z397" s="153"/>
    </row>
    <row r="398" spans="11:26" ht="12.75" hidden="1" customHeight="1" x14ac:dyDescent="0.2">
      <c r="K398" s="152"/>
      <c r="L398" s="152"/>
      <c r="Y398" s="153"/>
      <c r="Z398" s="153"/>
    </row>
    <row r="399" spans="11:26" ht="12.75" hidden="1" customHeight="1" x14ac:dyDescent="0.2">
      <c r="K399" s="152"/>
      <c r="L399" s="152"/>
      <c r="Y399" s="153"/>
      <c r="Z399" s="153"/>
    </row>
    <row r="400" spans="11:26" ht="12.75" hidden="1" customHeight="1" x14ac:dyDescent="0.2">
      <c r="K400" s="152"/>
      <c r="L400" s="152"/>
      <c r="Y400" s="153"/>
      <c r="Z400" s="153"/>
    </row>
    <row r="401" spans="11:26" ht="12.75" hidden="1" customHeight="1" x14ac:dyDescent="0.2">
      <c r="K401" s="152"/>
      <c r="L401" s="152"/>
      <c r="Y401" s="153"/>
      <c r="Z401" s="153"/>
    </row>
    <row r="402" spans="11:26" ht="12.75" hidden="1" customHeight="1" x14ac:dyDescent="0.2">
      <c r="K402" s="152"/>
      <c r="L402" s="152"/>
      <c r="Y402" s="153"/>
      <c r="Z402" s="153"/>
    </row>
    <row r="403" spans="11:26" ht="12.75" hidden="1" customHeight="1" x14ac:dyDescent="0.2">
      <c r="K403" s="152"/>
      <c r="L403" s="152"/>
      <c r="Y403" s="153"/>
      <c r="Z403" s="153"/>
    </row>
    <row r="404" spans="11:26" ht="12.75" hidden="1" customHeight="1" x14ac:dyDescent="0.2">
      <c r="K404" s="152"/>
      <c r="L404" s="152"/>
      <c r="Y404" s="153"/>
      <c r="Z404" s="153"/>
    </row>
    <row r="405" spans="11:26" ht="12.75" hidden="1" customHeight="1" x14ac:dyDescent="0.2">
      <c r="K405" s="152"/>
      <c r="L405" s="152"/>
      <c r="Y405" s="153"/>
      <c r="Z405" s="153"/>
    </row>
    <row r="406" spans="11:26" ht="12.75" hidden="1" customHeight="1" x14ac:dyDescent="0.2">
      <c r="K406" s="152"/>
      <c r="L406" s="152"/>
      <c r="Y406" s="153"/>
      <c r="Z406" s="153"/>
    </row>
    <row r="407" spans="11:26" ht="12.75" hidden="1" customHeight="1" x14ac:dyDescent="0.2">
      <c r="K407" s="152"/>
      <c r="L407" s="152"/>
      <c r="Y407" s="153"/>
      <c r="Z407" s="153"/>
    </row>
    <row r="408" spans="11:26" ht="12.75" hidden="1" customHeight="1" x14ac:dyDescent="0.2">
      <c r="K408" s="152"/>
      <c r="L408" s="152"/>
      <c r="Y408" s="153"/>
      <c r="Z408" s="153"/>
    </row>
    <row r="409" spans="11:26" ht="12.75" hidden="1" customHeight="1" x14ac:dyDescent="0.2">
      <c r="K409" s="152"/>
      <c r="L409" s="152"/>
      <c r="Y409" s="153"/>
      <c r="Z409" s="153"/>
    </row>
    <row r="410" spans="11:26" ht="12.75" hidden="1" customHeight="1" x14ac:dyDescent="0.2">
      <c r="K410" s="152"/>
      <c r="L410" s="152"/>
      <c r="Y410" s="153"/>
      <c r="Z410" s="153"/>
    </row>
    <row r="411" spans="11:26" ht="12.75" hidden="1" customHeight="1" x14ac:dyDescent="0.2">
      <c r="K411" s="152"/>
      <c r="L411" s="152"/>
      <c r="Y411" s="153"/>
      <c r="Z411" s="153"/>
    </row>
    <row r="412" spans="11:26" ht="12.75" hidden="1" customHeight="1" x14ac:dyDescent="0.2">
      <c r="K412" s="152"/>
      <c r="L412" s="152"/>
      <c r="Y412" s="153"/>
      <c r="Z412" s="153"/>
    </row>
    <row r="413" spans="11:26" ht="12.75" hidden="1" customHeight="1" x14ac:dyDescent="0.2">
      <c r="K413" s="152"/>
      <c r="L413" s="152"/>
      <c r="Y413" s="153"/>
      <c r="Z413" s="153"/>
    </row>
    <row r="414" spans="11:26" ht="12.75" hidden="1" customHeight="1" x14ac:dyDescent="0.2">
      <c r="K414" s="152"/>
      <c r="L414" s="152"/>
      <c r="Y414" s="153"/>
      <c r="Z414" s="153"/>
    </row>
    <row r="415" spans="11:26" ht="12.75" hidden="1" customHeight="1" x14ac:dyDescent="0.2">
      <c r="K415" s="152"/>
      <c r="L415" s="152"/>
      <c r="Y415" s="153"/>
      <c r="Z415" s="153"/>
    </row>
    <row r="416" spans="11:26" ht="12.75" hidden="1" customHeight="1" x14ac:dyDescent="0.2">
      <c r="K416" s="152"/>
      <c r="L416" s="152"/>
      <c r="Y416" s="153"/>
      <c r="Z416" s="153"/>
    </row>
    <row r="417" spans="11:26" ht="12.75" hidden="1" customHeight="1" x14ac:dyDescent="0.2">
      <c r="K417" s="152"/>
      <c r="L417" s="152"/>
      <c r="Y417" s="153"/>
      <c r="Z417" s="153"/>
    </row>
    <row r="418" spans="11:26" ht="12.75" hidden="1" customHeight="1" x14ac:dyDescent="0.2">
      <c r="K418" s="152"/>
      <c r="L418" s="152"/>
      <c r="Y418" s="153"/>
      <c r="Z418" s="153"/>
    </row>
    <row r="419" spans="11:26" ht="12.75" hidden="1" customHeight="1" x14ac:dyDescent="0.2">
      <c r="K419" s="152"/>
      <c r="L419" s="152"/>
      <c r="Y419" s="153"/>
      <c r="Z419" s="153"/>
    </row>
    <row r="420" spans="11:26" ht="12.75" hidden="1" customHeight="1" x14ac:dyDescent="0.2">
      <c r="K420" s="152"/>
      <c r="L420" s="152"/>
      <c r="Y420" s="153"/>
      <c r="Z420" s="153"/>
    </row>
    <row r="421" spans="11:26" ht="12.75" hidden="1" customHeight="1" x14ac:dyDescent="0.2">
      <c r="K421" s="152"/>
      <c r="L421" s="152"/>
      <c r="Y421" s="153"/>
      <c r="Z421" s="153"/>
    </row>
    <row r="422" spans="11:26" ht="12.75" hidden="1" customHeight="1" x14ac:dyDescent="0.2">
      <c r="K422" s="152"/>
      <c r="L422" s="152"/>
      <c r="Y422" s="153"/>
      <c r="Z422" s="153"/>
    </row>
    <row r="423" spans="11:26" ht="12.75" hidden="1" customHeight="1" x14ac:dyDescent="0.2">
      <c r="K423" s="152"/>
      <c r="L423" s="152"/>
      <c r="Y423" s="153"/>
      <c r="Z423" s="153"/>
    </row>
    <row r="424" spans="11:26" ht="12.75" hidden="1" customHeight="1" x14ac:dyDescent="0.2">
      <c r="K424" s="152"/>
      <c r="L424" s="152"/>
      <c r="Y424" s="153"/>
      <c r="Z424" s="153"/>
    </row>
    <row r="425" spans="11:26" ht="12.75" hidden="1" customHeight="1" x14ac:dyDescent="0.2">
      <c r="K425" s="152"/>
      <c r="L425" s="152"/>
      <c r="Y425" s="153"/>
      <c r="Z425" s="153"/>
    </row>
    <row r="426" spans="11:26" ht="12.75" hidden="1" customHeight="1" x14ac:dyDescent="0.2">
      <c r="K426" s="152"/>
      <c r="L426" s="152"/>
      <c r="Y426" s="153"/>
      <c r="Z426" s="153"/>
    </row>
    <row r="427" spans="11:26" ht="12.75" hidden="1" customHeight="1" x14ac:dyDescent="0.2">
      <c r="K427" s="152"/>
      <c r="L427" s="152"/>
      <c r="Y427" s="153"/>
      <c r="Z427" s="153"/>
    </row>
    <row r="428" spans="11:26" ht="12.75" hidden="1" customHeight="1" x14ac:dyDescent="0.2">
      <c r="K428" s="152"/>
      <c r="L428" s="152"/>
      <c r="Y428" s="153"/>
      <c r="Z428" s="153"/>
    </row>
    <row r="429" spans="11:26" ht="12.75" hidden="1" customHeight="1" x14ac:dyDescent="0.2">
      <c r="K429" s="152"/>
      <c r="L429" s="152"/>
      <c r="Y429" s="153"/>
      <c r="Z429" s="153"/>
    </row>
    <row r="430" spans="11:26" ht="12.75" hidden="1" customHeight="1" x14ac:dyDescent="0.2">
      <c r="K430" s="152"/>
      <c r="L430" s="152"/>
      <c r="Y430" s="153"/>
      <c r="Z430" s="153"/>
    </row>
    <row r="431" spans="11:26" ht="12.75" hidden="1" customHeight="1" x14ac:dyDescent="0.2">
      <c r="K431" s="152"/>
      <c r="L431" s="152"/>
      <c r="Y431" s="153"/>
      <c r="Z431" s="153"/>
    </row>
    <row r="432" spans="11:26" ht="12.75" hidden="1" customHeight="1" x14ac:dyDescent="0.2">
      <c r="K432" s="152"/>
      <c r="L432" s="152"/>
      <c r="Y432" s="153"/>
      <c r="Z432" s="153"/>
    </row>
    <row r="433" spans="11:26" ht="12.75" hidden="1" customHeight="1" x14ac:dyDescent="0.2">
      <c r="K433" s="152"/>
      <c r="L433" s="152"/>
      <c r="Y433" s="153"/>
      <c r="Z433" s="153"/>
    </row>
    <row r="434" spans="11:26" ht="12.75" hidden="1" customHeight="1" x14ac:dyDescent="0.2">
      <c r="K434" s="152"/>
      <c r="L434" s="152"/>
      <c r="Y434" s="153"/>
      <c r="Z434" s="153"/>
    </row>
    <row r="435" spans="11:26" ht="12.75" hidden="1" customHeight="1" x14ac:dyDescent="0.2">
      <c r="K435" s="152"/>
      <c r="L435" s="152"/>
      <c r="Y435" s="153"/>
      <c r="Z435" s="153"/>
    </row>
    <row r="436" spans="11:26" ht="12.75" hidden="1" customHeight="1" x14ac:dyDescent="0.2">
      <c r="K436" s="152"/>
      <c r="L436" s="152"/>
      <c r="Y436" s="153"/>
      <c r="Z436" s="153"/>
    </row>
    <row r="437" spans="11:26" ht="12.75" hidden="1" customHeight="1" x14ac:dyDescent="0.2">
      <c r="K437" s="152"/>
      <c r="L437" s="152"/>
      <c r="Y437" s="153"/>
      <c r="Z437" s="153"/>
    </row>
    <row r="438" spans="11:26" ht="12.75" hidden="1" customHeight="1" x14ac:dyDescent="0.2">
      <c r="K438" s="152"/>
      <c r="L438" s="152"/>
      <c r="Y438" s="153"/>
      <c r="Z438" s="153"/>
    </row>
    <row r="439" spans="11:26" ht="12.75" hidden="1" customHeight="1" x14ac:dyDescent="0.2">
      <c r="K439" s="152"/>
      <c r="L439" s="152"/>
      <c r="Y439" s="153"/>
      <c r="Z439" s="153"/>
    </row>
    <row r="440" spans="11:26" ht="12.75" hidden="1" customHeight="1" x14ac:dyDescent="0.2">
      <c r="K440" s="152"/>
      <c r="L440" s="152"/>
      <c r="Y440" s="153"/>
      <c r="Z440" s="153"/>
    </row>
    <row r="441" spans="11:26" ht="12.75" hidden="1" customHeight="1" x14ac:dyDescent="0.2">
      <c r="K441" s="152"/>
      <c r="L441" s="152"/>
      <c r="Y441" s="153"/>
      <c r="Z441" s="153"/>
    </row>
    <row r="442" spans="11:26" ht="12.75" hidden="1" customHeight="1" x14ac:dyDescent="0.2">
      <c r="K442" s="152"/>
      <c r="L442" s="152"/>
      <c r="Y442" s="153"/>
      <c r="Z442" s="153"/>
    </row>
    <row r="443" spans="11:26" ht="12.75" hidden="1" customHeight="1" x14ac:dyDescent="0.2">
      <c r="K443" s="152"/>
      <c r="L443" s="152"/>
      <c r="Y443" s="153"/>
      <c r="Z443" s="153"/>
    </row>
    <row r="444" spans="11:26" ht="12.75" hidden="1" customHeight="1" x14ac:dyDescent="0.2">
      <c r="K444" s="152"/>
      <c r="L444" s="152"/>
      <c r="Y444" s="153"/>
      <c r="Z444" s="153"/>
    </row>
    <row r="445" spans="11:26" ht="12.75" hidden="1" customHeight="1" x14ac:dyDescent="0.2">
      <c r="K445" s="152"/>
      <c r="L445" s="152"/>
      <c r="Y445" s="153"/>
      <c r="Z445" s="153"/>
    </row>
    <row r="446" spans="11:26" ht="12.75" hidden="1" customHeight="1" x14ac:dyDescent="0.2">
      <c r="K446" s="152"/>
      <c r="L446" s="152"/>
      <c r="Y446" s="153"/>
      <c r="Z446" s="153"/>
    </row>
    <row r="447" spans="11:26" ht="12.75" hidden="1" customHeight="1" x14ac:dyDescent="0.2">
      <c r="K447" s="152"/>
      <c r="L447" s="152"/>
      <c r="Y447" s="153"/>
      <c r="Z447" s="153"/>
    </row>
    <row r="448" spans="11:26" ht="12.75" hidden="1" customHeight="1" x14ac:dyDescent="0.2">
      <c r="K448" s="152"/>
      <c r="L448" s="152"/>
      <c r="Y448" s="153"/>
      <c r="Z448" s="153"/>
    </row>
    <row r="449" spans="11:26" ht="12.75" hidden="1" customHeight="1" x14ac:dyDescent="0.2">
      <c r="K449" s="152"/>
      <c r="L449" s="152"/>
      <c r="Y449" s="153"/>
      <c r="Z449" s="153"/>
    </row>
    <row r="450" spans="11:26" ht="12.75" hidden="1" customHeight="1" x14ac:dyDescent="0.2">
      <c r="K450" s="152"/>
      <c r="L450" s="152"/>
      <c r="Y450" s="153"/>
      <c r="Z450" s="153"/>
    </row>
    <row r="451" spans="11:26" ht="12.75" hidden="1" customHeight="1" x14ac:dyDescent="0.2">
      <c r="K451" s="152"/>
      <c r="L451" s="152"/>
      <c r="Y451" s="153"/>
      <c r="Z451" s="153"/>
    </row>
    <row r="452" spans="11:26" ht="12.75" hidden="1" customHeight="1" x14ac:dyDescent="0.2">
      <c r="K452" s="152"/>
      <c r="L452" s="152"/>
      <c r="Y452" s="153"/>
      <c r="Z452" s="153"/>
    </row>
    <row r="453" spans="11:26" ht="12.75" hidden="1" customHeight="1" x14ac:dyDescent="0.2">
      <c r="K453" s="152"/>
      <c r="L453" s="152"/>
      <c r="Y453" s="153"/>
      <c r="Z453" s="153"/>
    </row>
    <row r="454" spans="11:26" ht="12.75" hidden="1" customHeight="1" x14ac:dyDescent="0.2">
      <c r="K454" s="152"/>
      <c r="L454" s="152"/>
      <c r="Y454" s="153"/>
      <c r="Z454" s="153"/>
    </row>
    <row r="455" spans="11:26" ht="12.75" hidden="1" customHeight="1" x14ac:dyDescent="0.2">
      <c r="K455" s="152"/>
      <c r="L455" s="152"/>
      <c r="Y455" s="153"/>
      <c r="Z455" s="153"/>
    </row>
    <row r="456" spans="11:26" ht="12.75" hidden="1" customHeight="1" x14ac:dyDescent="0.2">
      <c r="K456" s="152"/>
      <c r="L456" s="152"/>
      <c r="Y456" s="153"/>
      <c r="Z456" s="153"/>
    </row>
    <row r="457" spans="11:26" ht="12.75" hidden="1" customHeight="1" x14ac:dyDescent="0.2">
      <c r="K457" s="152"/>
      <c r="L457" s="152"/>
      <c r="Y457" s="153"/>
      <c r="Z457" s="153"/>
    </row>
    <row r="458" spans="11:26" ht="12.75" hidden="1" customHeight="1" x14ac:dyDescent="0.2">
      <c r="K458" s="152"/>
      <c r="L458" s="152"/>
      <c r="Y458" s="153"/>
      <c r="Z458" s="153"/>
    </row>
    <row r="459" spans="11:26" ht="12.75" hidden="1" customHeight="1" x14ac:dyDescent="0.2">
      <c r="K459" s="152"/>
      <c r="L459" s="152"/>
      <c r="Y459" s="153"/>
      <c r="Z459" s="153"/>
    </row>
    <row r="460" spans="11:26" ht="12.75" hidden="1" customHeight="1" x14ac:dyDescent="0.2">
      <c r="K460" s="152"/>
      <c r="L460" s="152"/>
      <c r="Y460" s="153"/>
      <c r="Z460" s="153"/>
    </row>
    <row r="461" spans="11:26" ht="12.75" hidden="1" customHeight="1" x14ac:dyDescent="0.2">
      <c r="K461" s="152"/>
      <c r="L461" s="152"/>
      <c r="Y461" s="153"/>
      <c r="Z461" s="153"/>
    </row>
    <row r="462" spans="11:26" ht="12.75" hidden="1" customHeight="1" x14ac:dyDescent="0.2">
      <c r="K462" s="152"/>
      <c r="L462" s="152"/>
      <c r="Y462" s="153"/>
      <c r="Z462" s="153"/>
    </row>
    <row r="463" spans="11:26" ht="12.75" hidden="1" customHeight="1" x14ac:dyDescent="0.2">
      <c r="K463" s="152"/>
      <c r="L463" s="152"/>
      <c r="Y463" s="153"/>
      <c r="Z463" s="153"/>
    </row>
    <row r="464" spans="11:26" ht="12.75" hidden="1" customHeight="1" x14ac:dyDescent="0.2">
      <c r="K464" s="152"/>
      <c r="L464" s="152"/>
      <c r="Y464" s="153"/>
      <c r="Z464" s="153"/>
    </row>
    <row r="465" spans="11:26" ht="12.75" hidden="1" customHeight="1" x14ac:dyDescent="0.2">
      <c r="K465" s="152"/>
      <c r="L465" s="152"/>
      <c r="Y465" s="153"/>
      <c r="Z465" s="153"/>
    </row>
    <row r="466" spans="11:26" ht="12.75" hidden="1" customHeight="1" x14ac:dyDescent="0.2">
      <c r="K466" s="152"/>
      <c r="L466" s="152"/>
      <c r="Y466" s="153"/>
      <c r="Z466" s="153"/>
    </row>
    <row r="467" spans="11:26" ht="12.75" hidden="1" customHeight="1" x14ac:dyDescent="0.2">
      <c r="K467" s="152"/>
      <c r="L467" s="152"/>
      <c r="Y467" s="153"/>
      <c r="Z467" s="153"/>
    </row>
    <row r="468" spans="11:26" ht="12.75" hidden="1" customHeight="1" x14ac:dyDescent="0.2">
      <c r="K468" s="152"/>
      <c r="L468" s="152"/>
      <c r="Y468" s="153"/>
      <c r="Z468" s="153"/>
    </row>
    <row r="469" spans="11:26" ht="12.75" hidden="1" customHeight="1" x14ac:dyDescent="0.2">
      <c r="K469" s="152"/>
      <c r="L469" s="152"/>
      <c r="Y469" s="153"/>
      <c r="Z469" s="153"/>
    </row>
    <row r="470" spans="11:26" ht="12.75" hidden="1" customHeight="1" x14ac:dyDescent="0.2">
      <c r="K470" s="152"/>
      <c r="L470" s="152"/>
      <c r="Y470" s="153"/>
      <c r="Z470" s="153"/>
    </row>
    <row r="471" spans="11:26" ht="12.75" hidden="1" customHeight="1" x14ac:dyDescent="0.2">
      <c r="K471" s="152"/>
      <c r="L471" s="152"/>
      <c r="Y471" s="153"/>
      <c r="Z471" s="153"/>
    </row>
    <row r="472" spans="11:26" ht="12.75" hidden="1" customHeight="1" x14ac:dyDescent="0.2">
      <c r="K472" s="152"/>
      <c r="L472" s="152"/>
      <c r="Y472" s="153"/>
      <c r="Z472" s="153"/>
    </row>
    <row r="473" spans="11:26" ht="12.75" hidden="1" customHeight="1" x14ac:dyDescent="0.2">
      <c r="K473" s="152"/>
      <c r="L473" s="152"/>
      <c r="Y473" s="153"/>
      <c r="Z473" s="153"/>
    </row>
    <row r="474" spans="11:26" ht="12.75" hidden="1" customHeight="1" x14ac:dyDescent="0.2">
      <c r="K474" s="152"/>
      <c r="L474" s="152"/>
      <c r="Y474" s="153"/>
      <c r="Z474" s="153"/>
    </row>
    <row r="475" spans="11:26" ht="12.75" hidden="1" customHeight="1" x14ac:dyDescent="0.2">
      <c r="K475" s="152"/>
      <c r="L475" s="152"/>
      <c r="Y475" s="153"/>
      <c r="Z475" s="153"/>
    </row>
    <row r="476" spans="11:26" ht="12.75" hidden="1" customHeight="1" x14ac:dyDescent="0.2">
      <c r="K476" s="152"/>
      <c r="L476" s="152"/>
      <c r="Y476" s="153"/>
      <c r="Z476" s="153"/>
    </row>
    <row r="477" spans="11:26" ht="12.75" hidden="1" customHeight="1" x14ac:dyDescent="0.2">
      <c r="K477" s="152"/>
      <c r="L477" s="152"/>
      <c r="Y477" s="153"/>
      <c r="Z477" s="153"/>
    </row>
    <row r="478" spans="11:26" ht="12.75" hidden="1" customHeight="1" x14ac:dyDescent="0.2">
      <c r="K478" s="152"/>
      <c r="L478" s="152"/>
      <c r="Y478" s="153"/>
      <c r="Z478" s="153"/>
    </row>
    <row r="479" spans="11:26" ht="12.75" hidden="1" customHeight="1" x14ac:dyDescent="0.2">
      <c r="K479" s="152"/>
      <c r="L479" s="152"/>
      <c r="Y479" s="153"/>
      <c r="Z479" s="153"/>
    </row>
    <row r="480" spans="11:26" ht="12.75" hidden="1" customHeight="1" x14ac:dyDescent="0.2">
      <c r="K480" s="152"/>
      <c r="L480" s="152"/>
      <c r="Y480" s="153"/>
      <c r="Z480" s="153"/>
    </row>
    <row r="481" spans="11:26" ht="12.75" hidden="1" customHeight="1" x14ac:dyDescent="0.2">
      <c r="K481" s="152"/>
      <c r="L481" s="152"/>
      <c r="Y481" s="153"/>
      <c r="Z481" s="153"/>
    </row>
    <row r="482" spans="11:26" ht="12.75" hidden="1" customHeight="1" x14ac:dyDescent="0.2">
      <c r="K482" s="152"/>
      <c r="L482" s="152"/>
      <c r="Y482" s="153"/>
      <c r="Z482" s="153"/>
    </row>
    <row r="483" spans="11:26" ht="12.75" hidden="1" customHeight="1" x14ac:dyDescent="0.2">
      <c r="K483" s="152"/>
      <c r="L483" s="152"/>
      <c r="Y483" s="153"/>
      <c r="Z483" s="153"/>
    </row>
    <row r="484" spans="11:26" ht="12.75" hidden="1" customHeight="1" x14ac:dyDescent="0.2">
      <c r="K484" s="152"/>
      <c r="L484" s="152"/>
      <c r="Y484" s="153"/>
      <c r="Z484" s="153"/>
    </row>
    <row r="485" spans="11:26" ht="12.75" hidden="1" customHeight="1" x14ac:dyDescent="0.2">
      <c r="K485" s="152"/>
      <c r="L485" s="152"/>
      <c r="Y485" s="153"/>
      <c r="Z485" s="153"/>
    </row>
    <row r="486" spans="11:26" ht="12.75" hidden="1" customHeight="1" x14ac:dyDescent="0.2">
      <c r="K486" s="152"/>
      <c r="L486" s="152"/>
      <c r="Y486" s="153"/>
      <c r="Z486" s="153"/>
    </row>
    <row r="487" spans="11:26" ht="12.75" hidden="1" customHeight="1" x14ac:dyDescent="0.2">
      <c r="K487" s="152"/>
      <c r="L487" s="152"/>
      <c r="Y487" s="153"/>
      <c r="Z487" s="153"/>
    </row>
    <row r="488" spans="11:26" ht="12.75" hidden="1" customHeight="1" x14ac:dyDescent="0.2">
      <c r="K488" s="152"/>
      <c r="L488" s="152"/>
      <c r="Y488" s="153"/>
      <c r="Z488" s="153"/>
    </row>
    <row r="489" spans="11:26" ht="12.75" hidden="1" customHeight="1" x14ac:dyDescent="0.2">
      <c r="K489" s="152"/>
      <c r="L489" s="152"/>
      <c r="Y489" s="153"/>
      <c r="Z489" s="153"/>
    </row>
    <row r="490" spans="11:26" ht="12.75" hidden="1" customHeight="1" x14ac:dyDescent="0.2">
      <c r="K490" s="152"/>
      <c r="L490" s="152"/>
      <c r="Y490" s="153"/>
      <c r="Z490" s="153"/>
    </row>
    <row r="491" spans="11:26" ht="12.75" hidden="1" customHeight="1" x14ac:dyDescent="0.2">
      <c r="K491" s="152"/>
      <c r="L491" s="152"/>
      <c r="Y491" s="153"/>
      <c r="Z491" s="153"/>
    </row>
    <row r="492" spans="11:26" ht="12.75" hidden="1" customHeight="1" x14ac:dyDescent="0.2">
      <c r="K492" s="152"/>
      <c r="L492" s="152"/>
      <c r="Y492" s="153"/>
      <c r="Z492" s="153"/>
    </row>
    <row r="493" spans="11:26" ht="12.75" hidden="1" customHeight="1" x14ac:dyDescent="0.2">
      <c r="K493" s="152"/>
      <c r="L493" s="152"/>
      <c r="Y493" s="153"/>
      <c r="Z493" s="153"/>
    </row>
    <row r="494" spans="11:26" ht="12.75" hidden="1" customHeight="1" x14ac:dyDescent="0.2">
      <c r="K494" s="152"/>
      <c r="L494" s="152"/>
      <c r="Y494" s="153"/>
      <c r="Z494" s="153"/>
    </row>
    <row r="495" spans="11:26" ht="12.75" hidden="1" customHeight="1" x14ac:dyDescent="0.2">
      <c r="K495" s="152"/>
      <c r="L495" s="152"/>
      <c r="Y495" s="153"/>
      <c r="Z495" s="153"/>
    </row>
    <row r="496" spans="11:26" ht="12.75" hidden="1" customHeight="1" x14ac:dyDescent="0.2">
      <c r="K496" s="152"/>
      <c r="L496" s="152"/>
      <c r="Y496" s="153"/>
      <c r="Z496" s="153"/>
    </row>
    <row r="497" spans="11:26" ht="12.75" hidden="1" customHeight="1" x14ac:dyDescent="0.2">
      <c r="K497" s="152"/>
      <c r="L497" s="152"/>
      <c r="Y497" s="153"/>
      <c r="Z497" s="153"/>
    </row>
    <row r="498" spans="11:26" ht="12.75" hidden="1" customHeight="1" x14ac:dyDescent="0.2">
      <c r="K498" s="152"/>
      <c r="L498" s="152"/>
      <c r="Y498" s="153"/>
      <c r="Z498" s="153"/>
    </row>
    <row r="499" spans="11:26" ht="12.75" hidden="1" customHeight="1" x14ac:dyDescent="0.2">
      <c r="K499" s="152"/>
      <c r="L499" s="152"/>
      <c r="Y499" s="153"/>
      <c r="Z499" s="153"/>
    </row>
    <row r="500" spans="11:26" ht="12.75" hidden="1" customHeight="1" x14ac:dyDescent="0.2">
      <c r="K500" s="152"/>
      <c r="L500" s="152"/>
      <c r="Y500" s="153"/>
      <c r="Z500" s="153"/>
    </row>
    <row r="501" spans="11:26" ht="12.75" hidden="1" customHeight="1" x14ac:dyDescent="0.2">
      <c r="K501" s="152"/>
      <c r="L501" s="152"/>
      <c r="Y501" s="153"/>
      <c r="Z501" s="153"/>
    </row>
    <row r="502" spans="11:26" ht="12.75" hidden="1" customHeight="1" x14ac:dyDescent="0.2">
      <c r="K502" s="152"/>
      <c r="L502" s="152"/>
      <c r="Y502" s="153"/>
      <c r="Z502" s="153"/>
    </row>
    <row r="503" spans="11:26" ht="12.75" hidden="1" customHeight="1" x14ac:dyDescent="0.2">
      <c r="K503" s="152"/>
      <c r="L503" s="152"/>
      <c r="Y503" s="153"/>
      <c r="Z503" s="153"/>
    </row>
    <row r="504" spans="11:26" ht="12.75" hidden="1" customHeight="1" x14ac:dyDescent="0.2">
      <c r="K504" s="152"/>
      <c r="L504" s="152"/>
      <c r="Y504" s="153"/>
      <c r="Z504" s="153"/>
    </row>
    <row r="505" spans="11:26" ht="12.75" hidden="1" customHeight="1" x14ac:dyDescent="0.2">
      <c r="K505" s="152"/>
      <c r="L505" s="152"/>
      <c r="Y505" s="153"/>
      <c r="Z505" s="153"/>
    </row>
    <row r="506" spans="11:26" ht="12.75" hidden="1" customHeight="1" x14ac:dyDescent="0.2">
      <c r="K506" s="152"/>
      <c r="L506" s="152"/>
      <c r="Y506" s="153"/>
      <c r="Z506" s="153"/>
    </row>
    <row r="507" spans="11:26" ht="12.75" hidden="1" customHeight="1" x14ac:dyDescent="0.2">
      <c r="K507" s="152"/>
      <c r="L507" s="152"/>
      <c r="Y507" s="153"/>
      <c r="Z507" s="153"/>
    </row>
    <row r="508" spans="11:26" ht="12.75" hidden="1" customHeight="1" x14ac:dyDescent="0.2">
      <c r="K508" s="152"/>
      <c r="L508" s="152"/>
      <c r="Y508" s="153"/>
      <c r="Z508" s="153"/>
    </row>
    <row r="509" spans="11:26" ht="12.75" hidden="1" customHeight="1" x14ac:dyDescent="0.2">
      <c r="K509" s="152"/>
      <c r="L509" s="152"/>
      <c r="Y509" s="153"/>
      <c r="Z509" s="153"/>
    </row>
    <row r="510" spans="11:26" ht="12.75" hidden="1" customHeight="1" x14ac:dyDescent="0.2">
      <c r="K510" s="152"/>
      <c r="L510" s="152"/>
      <c r="Y510" s="153"/>
      <c r="Z510" s="153"/>
    </row>
    <row r="511" spans="11:26" ht="12.75" hidden="1" customHeight="1" x14ac:dyDescent="0.2">
      <c r="K511" s="152"/>
      <c r="L511" s="152"/>
      <c r="Y511" s="153"/>
      <c r="Z511" s="153"/>
    </row>
    <row r="512" spans="11:26" ht="12.75" hidden="1" customHeight="1" x14ac:dyDescent="0.2">
      <c r="K512" s="152"/>
      <c r="L512" s="152"/>
      <c r="Y512" s="153"/>
      <c r="Z512" s="153"/>
    </row>
    <row r="513" spans="11:26" ht="12.75" hidden="1" customHeight="1" x14ac:dyDescent="0.2">
      <c r="K513" s="152"/>
      <c r="L513" s="152"/>
      <c r="Y513" s="153"/>
      <c r="Z513" s="153"/>
    </row>
    <row r="514" spans="11:26" ht="12.75" hidden="1" customHeight="1" x14ac:dyDescent="0.2">
      <c r="K514" s="152"/>
      <c r="L514" s="152"/>
      <c r="Y514" s="153"/>
      <c r="Z514" s="153"/>
    </row>
    <row r="515" spans="11:26" ht="12.75" hidden="1" customHeight="1" x14ac:dyDescent="0.2">
      <c r="K515" s="152"/>
      <c r="L515" s="152"/>
      <c r="Y515" s="153"/>
      <c r="Z515" s="153"/>
    </row>
    <row r="516" spans="11:26" ht="12.75" hidden="1" customHeight="1" x14ac:dyDescent="0.2">
      <c r="K516" s="152"/>
      <c r="L516" s="152"/>
      <c r="Y516" s="153"/>
      <c r="Z516" s="153"/>
    </row>
    <row r="517" spans="11:26" ht="12.75" hidden="1" customHeight="1" x14ac:dyDescent="0.2">
      <c r="K517" s="152"/>
      <c r="L517" s="152"/>
      <c r="Y517" s="153"/>
      <c r="Z517" s="153"/>
    </row>
    <row r="518" spans="11:26" ht="12.75" hidden="1" customHeight="1" x14ac:dyDescent="0.2">
      <c r="K518" s="152"/>
      <c r="L518" s="152"/>
      <c r="Y518" s="153"/>
      <c r="Z518" s="153"/>
    </row>
    <row r="519" spans="11:26" ht="12.75" hidden="1" customHeight="1" x14ac:dyDescent="0.2">
      <c r="K519" s="152"/>
      <c r="L519" s="152"/>
      <c r="Y519" s="153"/>
      <c r="Z519" s="153"/>
    </row>
    <row r="520" spans="11:26" ht="12.75" hidden="1" customHeight="1" x14ac:dyDescent="0.2">
      <c r="K520" s="152"/>
      <c r="L520" s="152"/>
      <c r="Y520" s="153"/>
      <c r="Z520" s="153"/>
    </row>
    <row r="521" spans="11:26" ht="12.75" hidden="1" customHeight="1" x14ac:dyDescent="0.2">
      <c r="K521" s="152"/>
      <c r="L521" s="152"/>
      <c r="Y521" s="153"/>
      <c r="Z521" s="153"/>
    </row>
    <row r="522" spans="11:26" ht="12.75" hidden="1" customHeight="1" x14ac:dyDescent="0.2">
      <c r="K522" s="152"/>
      <c r="L522" s="152"/>
      <c r="Y522" s="153"/>
      <c r="Z522" s="153"/>
    </row>
    <row r="523" spans="11:26" ht="12.75" hidden="1" customHeight="1" x14ac:dyDescent="0.2">
      <c r="K523" s="152"/>
      <c r="L523" s="152"/>
      <c r="Y523" s="153"/>
      <c r="Z523" s="153"/>
    </row>
    <row r="524" spans="11:26" ht="12.75" hidden="1" customHeight="1" x14ac:dyDescent="0.2">
      <c r="K524" s="152"/>
      <c r="L524" s="152"/>
      <c r="Y524" s="153"/>
      <c r="Z524" s="153"/>
    </row>
    <row r="525" spans="11:26" ht="12.75" hidden="1" customHeight="1" x14ac:dyDescent="0.2">
      <c r="K525" s="152"/>
      <c r="L525" s="152"/>
      <c r="Y525" s="153"/>
      <c r="Z525" s="153"/>
    </row>
    <row r="526" spans="11:26" ht="12.75" hidden="1" customHeight="1" x14ac:dyDescent="0.2">
      <c r="K526" s="152"/>
      <c r="L526" s="152"/>
      <c r="Y526" s="153"/>
      <c r="Z526" s="153"/>
    </row>
    <row r="527" spans="11:26" ht="12.75" hidden="1" customHeight="1" x14ac:dyDescent="0.2">
      <c r="K527" s="152"/>
      <c r="L527" s="152"/>
      <c r="Y527" s="153"/>
      <c r="Z527" s="153"/>
    </row>
    <row r="528" spans="11:26" ht="12.75" hidden="1" customHeight="1" x14ac:dyDescent="0.2">
      <c r="K528" s="152"/>
      <c r="L528" s="152"/>
      <c r="Y528" s="153"/>
      <c r="Z528" s="153"/>
    </row>
    <row r="529" spans="11:26" ht="12.75" hidden="1" customHeight="1" x14ac:dyDescent="0.2">
      <c r="K529" s="152"/>
      <c r="L529" s="152"/>
      <c r="Y529" s="153"/>
      <c r="Z529" s="153"/>
    </row>
    <row r="530" spans="11:26" ht="12.75" hidden="1" customHeight="1" x14ac:dyDescent="0.2">
      <c r="K530" s="152"/>
      <c r="L530" s="152"/>
      <c r="Y530" s="153"/>
      <c r="Z530" s="153"/>
    </row>
    <row r="531" spans="11:26" ht="12.75" hidden="1" customHeight="1" x14ac:dyDescent="0.2">
      <c r="K531" s="152"/>
      <c r="L531" s="152"/>
      <c r="Y531" s="153"/>
      <c r="Z531" s="153"/>
    </row>
    <row r="532" spans="11:26" ht="12.75" hidden="1" customHeight="1" x14ac:dyDescent="0.2">
      <c r="K532" s="152"/>
      <c r="L532" s="152"/>
      <c r="Y532" s="153"/>
      <c r="Z532" s="153"/>
    </row>
    <row r="533" spans="11:26" ht="12.75" hidden="1" customHeight="1" x14ac:dyDescent="0.2">
      <c r="K533" s="152"/>
      <c r="L533" s="152"/>
      <c r="Y533" s="153"/>
      <c r="Z533" s="153"/>
    </row>
    <row r="534" spans="11:26" ht="12.75" hidden="1" customHeight="1" x14ac:dyDescent="0.2">
      <c r="K534" s="152"/>
      <c r="L534" s="152"/>
      <c r="Y534" s="153"/>
      <c r="Z534" s="153"/>
    </row>
    <row r="535" spans="11:26" ht="12.75" hidden="1" customHeight="1" x14ac:dyDescent="0.2">
      <c r="K535" s="152"/>
      <c r="L535" s="152"/>
      <c r="Y535" s="153"/>
      <c r="Z535" s="153"/>
    </row>
    <row r="536" spans="11:26" ht="12.75" hidden="1" customHeight="1" x14ac:dyDescent="0.2">
      <c r="K536" s="152"/>
      <c r="L536" s="152"/>
      <c r="Y536" s="153"/>
      <c r="Z536" s="153"/>
    </row>
    <row r="537" spans="11:26" ht="12.75" hidden="1" customHeight="1" x14ac:dyDescent="0.2">
      <c r="K537" s="152"/>
      <c r="L537" s="152"/>
      <c r="Y537" s="153"/>
      <c r="Z537" s="153"/>
    </row>
    <row r="538" spans="11:26" ht="12.75" hidden="1" customHeight="1" x14ac:dyDescent="0.2">
      <c r="K538" s="152"/>
      <c r="L538" s="152"/>
      <c r="Y538" s="153"/>
      <c r="Z538" s="153"/>
    </row>
    <row r="539" spans="11:26" ht="12.75" hidden="1" customHeight="1" x14ac:dyDescent="0.2">
      <c r="K539" s="152"/>
      <c r="L539" s="152"/>
      <c r="Y539" s="153"/>
      <c r="Z539" s="153"/>
    </row>
    <row r="540" spans="11:26" ht="12.75" hidden="1" customHeight="1" x14ac:dyDescent="0.2">
      <c r="K540" s="152"/>
      <c r="L540" s="152"/>
      <c r="Y540" s="153"/>
      <c r="Z540" s="153"/>
    </row>
    <row r="541" spans="11:26" ht="12.75" hidden="1" customHeight="1" x14ac:dyDescent="0.2">
      <c r="K541" s="152"/>
      <c r="L541" s="152"/>
      <c r="Y541" s="153"/>
      <c r="Z541" s="153"/>
    </row>
    <row r="542" spans="11:26" ht="12.75" hidden="1" customHeight="1" x14ac:dyDescent="0.2">
      <c r="K542" s="152"/>
      <c r="L542" s="152"/>
      <c r="Y542" s="153"/>
      <c r="Z542" s="153"/>
    </row>
    <row r="543" spans="11:26" ht="12.75" hidden="1" customHeight="1" x14ac:dyDescent="0.2">
      <c r="K543" s="152"/>
      <c r="L543" s="152"/>
      <c r="Y543" s="153"/>
      <c r="Z543" s="153"/>
    </row>
    <row r="544" spans="11:26" ht="12.75" hidden="1" customHeight="1" x14ac:dyDescent="0.2">
      <c r="K544" s="152"/>
      <c r="L544" s="152"/>
      <c r="Y544" s="153"/>
      <c r="Z544" s="153"/>
    </row>
    <row r="545" spans="11:26" ht="12.75" hidden="1" customHeight="1" x14ac:dyDescent="0.2">
      <c r="K545" s="152"/>
      <c r="L545" s="152"/>
      <c r="Y545" s="153"/>
      <c r="Z545" s="153"/>
    </row>
    <row r="546" spans="11:26" ht="12.75" hidden="1" customHeight="1" x14ac:dyDescent="0.2">
      <c r="K546" s="152"/>
      <c r="L546" s="152"/>
      <c r="Y546" s="153"/>
      <c r="Z546" s="153"/>
    </row>
    <row r="547" spans="11:26" ht="12.75" hidden="1" customHeight="1" x14ac:dyDescent="0.2">
      <c r="K547" s="152"/>
      <c r="L547" s="152"/>
      <c r="Y547" s="153"/>
      <c r="Z547" s="153"/>
    </row>
    <row r="548" spans="11:26" ht="12.75" hidden="1" customHeight="1" x14ac:dyDescent="0.2">
      <c r="K548" s="152"/>
      <c r="L548" s="152"/>
      <c r="Y548" s="153"/>
      <c r="Z548" s="153"/>
    </row>
    <row r="549" spans="11:26" ht="12.75" hidden="1" customHeight="1" x14ac:dyDescent="0.2">
      <c r="K549" s="152"/>
      <c r="L549" s="152"/>
      <c r="Y549" s="153"/>
      <c r="Z549" s="153"/>
    </row>
    <row r="550" spans="11:26" ht="12.75" hidden="1" customHeight="1" x14ac:dyDescent="0.2">
      <c r="K550" s="152"/>
      <c r="L550" s="152"/>
      <c r="Y550" s="153"/>
      <c r="Z550" s="153"/>
    </row>
    <row r="551" spans="11:26" ht="12.75" hidden="1" customHeight="1" x14ac:dyDescent="0.2">
      <c r="K551" s="152"/>
      <c r="L551" s="152"/>
      <c r="Y551" s="153"/>
      <c r="Z551" s="153"/>
    </row>
    <row r="552" spans="11:26" ht="12.75" hidden="1" customHeight="1" x14ac:dyDescent="0.2">
      <c r="K552" s="152"/>
      <c r="L552" s="152"/>
      <c r="Y552" s="153"/>
      <c r="Z552" s="153"/>
    </row>
    <row r="553" spans="11:26" ht="12.75" hidden="1" customHeight="1" x14ac:dyDescent="0.2">
      <c r="K553" s="152"/>
      <c r="L553" s="152"/>
      <c r="Y553" s="153"/>
      <c r="Z553" s="153"/>
    </row>
    <row r="554" spans="11:26" ht="12.75" hidden="1" customHeight="1" x14ac:dyDescent="0.2">
      <c r="K554" s="152"/>
      <c r="L554" s="152"/>
      <c r="Y554" s="153"/>
      <c r="Z554" s="153"/>
    </row>
    <row r="555" spans="11:26" ht="12.75" hidden="1" customHeight="1" x14ac:dyDescent="0.2">
      <c r="K555" s="152"/>
      <c r="L555" s="152"/>
      <c r="Y555" s="153"/>
      <c r="Z555" s="153"/>
    </row>
    <row r="556" spans="11:26" ht="12.75" hidden="1" customHeight="1" x14ac:dyDescent="0.2">
      <c r="K556" s="152"/>
      <c r="L556" s="152"/>
      <c r="Y556" s="153"/>
      <c r="Z556" s="153"/>
    </row>
    <row r="557" spans="11:26" ht="12.75" hidden="1" customHeight="1" x14ac:dyDescent="0.2">
      <c r="K557" s="152"/>
      <c r="L557" s="152"/>
      <c r="Y557" s="153"/>
      <c r="Z557" s="153"/>
    </row>
    <row r="558" spans="11:26" ht="12.75" hidden="1" customHeight="1" x14ac:dyDescent="0.2">
      <c r="K558" s="152"/>
      <c r="L558" s="152"/>
      <c r="Y558" s="153"/>
      <c r="Z558" s="153"/>
    </row>
    <row r="559" spans="11:26" ht="12.75" hidden="1" customHeight="1" x14ac:dyDescent="0.2">
      <c r="K559" s="152"/>
      <c r="L559" s="152"/>
      <c r="Y559" s="153"/>
      <c r="Z559" s="153"/>
    </row>
    <row r="560" spans="11:26" ht="12.75" hidden="1" customHeight="1" x14ac:dyDescent="0.2">
      <c r="K560" s="152"/>
      <c r="L560" s="152"/>
      <c r="Y560" s="153"/>
      <c r="Z560" s="153"/>
    </row>
    <row r="561" spans="11:26" ht="12.75" hidden="1" customHeight="1" x14ac:dyDescent="0.2">
      <c r="K561" s="152"/>
      <c r="L561" s="152"/>
      <c r="Y561" s="153"/>
      <c r="Z561" s="153"/>
    </row>
    <row r="562" spans="11:26" ht="12.75" hidden="1" customHeight="1" x14ac:dyDescent="0.2">
      <c r="K562" s="152"/>
      <c r="L562" s="152"/>
      <c r="Y562" s="153"/>
      <c r="Z562" s="153"/>
    </row>
    <row r="563" spans="11:26" ht="12.75" hidden="1" customHeight="1" x14ac:dyDescent="0.2">
      <c r="K563" s="152"/>
      <c r="L563" s="152"/>
      <c r="Y563" s="153"/>
      <c r="Z563" s="153"/>
    </row>
    <row r="564" spans="11:26" ht="12.75" hidden="1" customHeight="1" x14ac:dyDescent="0.2">
      <c r="K564" s="152"/>
      <c r="L564" s="152"/>
      <c r="Y564" s="153"/>
      <c r="Z564" s="153"/>
    </row>
    <row r="565" spans="11:26" ht="12.75" hidden="1" customHeight="1" x14ac:dyDescent="0.2">
      <c r="K565" s="152"/>
      <c r="L565" s="152"/>
      <c r="Y565" s="153"/>
      <c r="Z565" s="153"/>
    </row>
    <row r="566" spans="11:26" ht="12.75" hidden="1" customHeight="1" x14ac:dyDescent="0.2">
      <c r="K566" s="152"/>
      <c r="L566" s="152"/>
      <c r="Y566" s="153"/>
      <c r="Z566" s="153"/>
    </row>
    <row r="567" spans="11:26" ht="12.75" hidden="1" customHeight="1" x14ac:dyDescent="0.2">
      <c r="K567" s="152"/>
      <c r="L567" s="152"/>
      <c r="Y567" s="153"/>
      <c r="Z567" s="153"/>
    </row>
    <row r="568" spans="11:26" ht="12.75" hidden="1" customHeight="1" x14ac:dyDescent="0.2">
      <c r="K568" s="152"/>
      <c r="L568" s="152"/>
      <c r="Y568" s="153"/>
      <c r="Z568" s="153"/>
    </row>
    <row r="569" spans="11:26" ht="12.75" hidden="1" customHeight="1" x14ac:dyDescent="0.2">
      <c r="K569" s="152"/>
      <c r="L569" s="152"/>
      <c r="Y569" s="153"/>
      <c r="Z569" s="153"/>
    </row>
    <row r="570" spans="11:26" ht="12.75" hidden="1" customHeight="1" x14ac:dyDescent="0.2">
      <c r="K570" s="152"/>
      <c r="L570" s="152"/>
      <c r="Y570" s="153"/>
      <c r="Z570" s="153"/>
    </row>
    <row r="571" spans="11:26" ht="12.75" hidden="1" customHeight="1" x14ac:dyDescent="0.2">
      <c r="K571" s="152"/>
      <c r="L571" s="152"/>
      <c r="Y571" s="153"/>
      <c r="Z571" s="153"/>
    </row>
    <row r="572" spans="11:26" ht="12.75" hidden="1" customHeight="1" x14ac:dyDescent="0.2">
      <c r="K572" s="152"/>
      <c r="L572" s="152"/>
      <c r="Y572" s="153"/>
      <c r="Z572" s="153"/>
    </row>
    <row r="573" spans="11:26" ht="12.75" hidden="1" customHeight="1" x14ac:dyDescent="0.2">
      <c r="K573" s="152"/>
      <c r="L573" s="152"/>
      <c r="Y573" s="153"/>
      <c r="Z573" s="153"/>
    </row>
    <row r="574" spans="11:26" ht="12.75" hidden="1" customHeight="1" x14ac:dyDescent="0.2">
      <c r="K574" s="152"/>
      <c r="L574" s="152"/>
      <c r="Y574" s="153"/>
      <c r="Z574" s="153"/>
    </row>
    <row r="575" spans="11:26" ht="12.75" hidden="1" customHeight="1" x14ac:dyDescent="0.2">
      <c r="K575" s="152"/>
      <c r="L575" s="152"/>
      <c r="Y575" s="153"/>
      <c r="Z575" s="153"/>
    </row>
    <row r="576" spans="11:26" ht="12.75" hidden="1" customHeight="1" x14ac:dyDescent="0.2">
      <c r="K576" s="152"/>
      <c r="L576" s="152"/>
      <c r="Y576" s="153"/>
      <c r="Z576" s="153"/>
    </row>
    <row r="577" spans="11:26" ht="12.75" hidden="1" customHeight="1" x14ac:dyDescent="0.2">
      <c r="K577" s="152"/>
      <c r="L577" s="152"/>
      <c r="Y577" s="153"/>
      <c r="Z577" s="153"/>
    </row>
    <row r="578" spans="11:26" ht="12.75" hidden="1" customHeight="1" x14ac:dyDescent="0.2">
      <c r="K578" s="152"/>
      <c r="L578" s="152"/>
      <c r="Y578" s="153"/>
      <c r="Z578" s="153"/>
    </row>
    <row r="579" spans="11:26" ht="12.75" hidden="1" customHeight="1" x14ac:dyDescent="0.2">
      <c r="K579" s="152"/>
      <c r="L579" s="152"/>
      <c r="Y579" s="153"/>
      <c r="Z579" s="153"/>
    </row>
    <row r="580" spans="11:26" ht="12.75" hidden="1" customHeight="1" x14ac:dyDescent="0.2">
      <c r="K580" s="152"/>
      <c r="L580" s="152"/>
      <c r="Y580" s="153"/>
      <c r="Z580" s="153"/>
    </row>
    <row r="581" spans="11:26" ht="12.75" hidden="1" customHeight="1" x14ac:dyDescent="0.2">
      <c r="K581" s="152"/>
      <c r="L581" s="152"/>
      <c r="Y581" s="153"/>
      <c r="Z581" s="153"/>
    </row>
    <row r="582" spans="11:26" ht="12.75" hidden="1" customHeight="1" x14ac:dyDescent="0.2">
      <c r="K582" s="152"/>
      <c r="L582" s="152"/>
      <c r="Y582" s="153"/>
      <c r="Z582" s="153"/>
    </row>
    <row r="583" spans="11:26" ht="12.75" hidden="1" customHeight="1" x14ac:dyDescent="0.2">
      <c r="K583" s="152"/>
      <c r="L583" s="152"/>
      <c r="Y583" s="153"/>
      <c r="Z583" s="153"/>
    </row>
    <row r="584" spans="11:26" ht="12.75" hidden="1" customHeight="1" x14ac:dyDescent="0.2">
      <c r="K584" s="152"/>
      <c r="L584" s="152"/>
      <c r="Y584" s="153"/>
      <c r="Z584" s="153"/>
    </row>
    <row r="585" spans="11:26" ht="12.75" hidden="1" customHeight="1" x14ac:dyDescent="0.2">
      <c r="K585" s="152"/>
      <c r="L585" s="152"/>
      <c r="Y585" s="153"/>
      <c r="Z585" s="153"/>
    </row>
    <row r="586" spans="11:26" ht="12.75" hidden="1" customHeight="1" x14ac:dyDescent="0.2">
      <c r="K586" s="152"/>
      <c r="L586" s="152"/>
      <c r="Y586" s="153"/>
      <c r="Z586" s="153"/>
    </row>
    <row r="587" spans="11:26" ht="12.75" hidden="1" customHeight="1" x14ac:dyDescent="0.2">
      <c r="K587" s="152"/>
      <c r="L587" s="152"/>
      <c r="Y587" s="153"/>
      <c r="Z587" s="153"/>
    </row>
    <row r="588" spans="11:26" ht="12.75" hidden="1" customHeight="1" x14ac:dyDescent="0.2">
      <c r="K588" s="152"/>
      <c r="L588" s="152"/>
      <c r="Y588" s="153"/>
      <c r="Z588" s="153"/>
    </row>
    <row r="589" spans="11:26" ht="12.75" hidden="1" customHeight="1" x14ac:dyDescent="0.2">
      <c r="K589" s="152"/>
      <c r="L589" s="152"/>
      <c r="Y589" s="153"/>
      <c r="Z589" s="153"/>
    </row>
    <row r="590" spans="11:26" ht="12.75" hidden="1" customHeight="1" x14ac:dyDescent="0.2">
      <c r="K590" s="152"/>
      <c r="L590" s="152"/>
      <c r="Y590" s="153"/>
      <c r="Z590" s="153"/>
    </row>
    <row r="591" spans="11:26" ht="12.75" hidden="1" customHeight="1" x14ac:dyDescent="0.2">
      <c r="K591" s="152"/>
      <c r="L591" s="152"/>
      <c r="Y591" s="153"/>
      <c r="Z591" s="153"/>
    </row>
    <row r="592" spans="11:26" ht="12.75" hidden="1" customHeight="1" x14ac:dyDescent="0.2">
      <c r="K592" s="152"/>
      <c r="L592" s="152"/>
      <c r="Y592" s="153"/>
      <c r="Z592" s="153"/>
    </row>
    <row r="593" spans="11:26" ht="12.75" hidden="1" customHeight="1" x14ac:dyDescent="0.2">
      <c r="K593" s="152"/>
      <c r="L593" s="152"/>
      <c r="Y593" s="153"/>
      <c r="Z593" s="153"/>
    </row>
    <row r="594" spans="11:26" ht="12.75" hidden="1" customHeight="1" x14ac:dyDescent="0.2">
      <c r="K594" s="152"/>
      <c r="L594" s="152"/>
      <c r="Y594" s="153"/>
      <c r="Z594" s="153"/>
    </row>
    <row r="595" spans="11:26" ht="12.75" hidden="1" customHeight="1" x14ac:dyDescent="0.2">
      <c r="K595" s="152"/>
      <c r="L595" s="152"/>
      <c r="Y595" s="153"/>
      <c r="Z595" s="153"/>
    </row>
    <row r="596" spans="11:26" ht="12.75" hidden="1" customHeight="1" x14ac:dyDescent="0.2">
      <c r="K596" s="152"/>
      <c r="L596" s="152"/>
      <c r="Y596" s="153"/>
      <c r="Z596" s="153"/>
    </row>
    <row r="597" spans="11:26" ht="12.75" hidden="1" customHeight="1" x14ac:dyDescent="0.2">
      <c r="K597" s="152"/>
      <c r="L597" s="152"/>
      <c r="Y597" s="153"/>
      <c r="Z597" s="153"/>
    </row>
    <row r="598" spans="11:26" ht="12.75" hidden="1" customHeight="1" x14ac:dyDescent="0.2">
      <c r="K598" s="152"/>
      <c r="L598" s="152"/>
      <c r="Y598" s="153"/>
      <c r="Z598" s="153"/>
    </row>
    <row r="599" spans="11:26" ht="12.75" hidden="1" customHeight="1" x14ac:dyDescent="0.2">
      <c r="K599" s="152"/>
      <c r="L599" s="152"/>
      <c r="Y599" s="153"/>
      <c r="Z599" s="153"/>
    </row>
    <row r="600" spans="11:26" ht="12.75" hidden="1" customHeight="1" x14ac:dyDescent="0.2">
      <c r="K600" s="152"/>
      <c r="L600" s="152"/>
      <c r="Y600" s="153"/>
      <c r="Z600" s="153"/>
    </row>
    <row r="601" spans="11:26" ht="12.75" hidden="1" customHeight="1" x14ac:dyDescent="0.2">
      <c r="K601" s="152"/>
      <c r="L601" s="152"/>
      <c r="Y601" s="153"/>
      <c r="Z601" s="153"/>
    </row>
    <row r="602" spans="11:26" ht="12.75" hidden="1" customHeight="1" x14ac:dyDescent="0.2">
      <c r="K602" s="152"/>
      <c r="L602" s="152"/>
      <c r="Y602" s="153"/>
      <c r="Z602" s="153"/>
    </row>
    <row r="603" spans="11:26" ht="12.75" hidden="1" customHeight="1" x14ac:dyDescent="0.2">
      <c r="K603" s="152"/>
      <c r="L603" s="152"/>
      <c r="Y603" s="153"/>
      <c r="Z603" s="153"/>
    </row>
    <row r="604" spans="11:26" ht="12.75" hidden="1" customHeight="1" x14ac:dyDescent="0.2">
      <c r="K604" s="152"/>
      <c r="L604" s="152"/>
      <c r="Y604" s="153"/>
      <c r="Z604" s="153"/>
    </row>
    <row r="605" spans="11:26" ht="12.75" hidden="1" customHeight="1" x14ac:dyDescent="0.2">
      <c r="K605" s="152"/>
      <c r="L605" s="152"/>
      <c r="Y605" s="153"/>
      <c r="Z605" s="153"/>
    </row>
    <row r="606" spans="11:26" ht="12.75" hidden="1" customHeight="1" x14ac:dyDescent="0.2">
      <c r="K606" s="152"/>
      <c r="L606" s="152"/>
      <c r="Y606" s="153"/>
      <c r="Z606" s="153"/>
    </row>
    <row r="607" spans="11:26" ht="12.75" hidden="1" customHeight="1" x14ac:dyDescent="0.2">
      <c r="K607" s="152"/>
      <c r="L607" s="152"/>
      <c r="Y607" s="153"/>
      <c r="Z607" s="153"/>
    </row>
    <row r="608" spans="11:26" ht="12.75" hidden="1" customHeight="1" x14ac:dyDescent="0.2">
      <c r="K608" s="152"/>
      <c r="L608" s="152"/>
      <c r="Y608" s="153"/>
      <c r="Z608" s="153"/>
    </row>
    <row r="609" spans="11:26" ht="12.75" hidden="1" customHeight="1" x14ac:dyDescent="0.2">
      <c r="K609" s="152"/>
      <c r="L609" s="152"/>
      <c r="Y609" s="153"/>
      <c r="Z609" s="153"/>
    </row>
    <row r="610" spans="11:26" ht="12.75" hidden="1" customHeight="1" x14ac:dyDescent="0.2">
      <c r="K610" s="152"/>
      <c r="L610" s="152"/>
      <c r="Y610" s="153"/>
      <c r="Z610" s="153"/>
    </row>
    <row r="611" spans="11:26" ht="12.75" hidden="1" customHeight="1" x14ac:dyDescent="0.2">
      <c r="K611" s="152"/>
      <c r="L611" s="152"/>
      <c r="Y611" s="153"/>
      <c r="Z611" s="153"/>
    </row>
    <row r="612" spans="11:26" ht="12.75" hidden="1" customHeight="1" x14ac:dyDescent="0.2">
      <c r="K612" s="152"/>
      <c r="L612" s="152"/>
      <c r="Y612" s="153"/>
      <c r="Z612" s="153"/>
    </row>
    <row r="613" spans="11:26" ht="12.75" hidden="1" customHeight="1" x14ac:dyDescent="0.2">
      <c r="K613" s="152"/>
      <c r="L613" s="152"/>
      <c r="Y613" s="153"/>
      <c r="Z613" s="153"/>
    </row>
    <row r="614" spans="11:26" ht="12.75" hidden="1" customHeight="1" x14ac:dyDescent="0.2">
      <c r="K614" s="152"/>
      <c r="L614" s="152"/>
      <c r="Y614" s="153"/>
      <c r="Z614" s="153"/>
    </row>
    <row r="615" spans="11:26" ht="12.75" hidden="1" customHeight="1" x14ac:dyDescent="0.2">
      <c r="K615" s="152"/>
      <c r="L615" s="152"/>
      <c r="Y615" s="153"/>
      <c r="Z615" s="153"/>
    </row>
    <row r="616" spans="11:26" ht="12.75" hidden="1" customHeight="1" x14ac:dyDescent="0.2">
      <c r="K616" s="152"/>
      <c r="L616" s="152"/>
      <c r="Y616" s="153"/>
      <c r="Z616" s="153"/>
    </row>
    <row r="617" spans="11:26" ht="12.75" hidden="1" customHeight="1" x14ac:dyDescent="0.2">
      <c r="K617" s="152"/>
      <c r="L617" s="152"/>
      <c r="Y617" s="153"/>
      <c r="Z617" s="153"/>
    </row>
    <row r="618" spans="11:26" ht="12.75" hidden="1" customHeight="1" x14ac:dyDescent="0.2">
      <c r="K618" s="152"/>
      <c r="L618" s="152"/>
      <c r="Y618" s="153"/>
      <c r="Z618" s="153"/>
    </row>
    <row r="619" spans="11:26" ht="12.75" hidden="1" customHeight="1" x14ac:dyDescent="0.2">
      <c r="K619" s="152"/>
      <c r="L619" s="152"/>
      <c r="Y619" s="153"/>
      <c r="Z619" s="153"/>
    </row>
    <row r="620" spans="11:26" ht="12.75" hidden="1" customHeight="1" x14ac:dyDescent="0.2">
      <c r="K620" s="152"/>
      <c r="L620" s="152"/>
      <c r="Y620" s="153"/>
      <c r="Z620" s="153"/>
    </row>
    <row r="621" spans="11:26" ht="12.75" hidden="1" customHeight="1" x14ac:dyDescent="0.2">
      <c r="K621" s="152"/>
      <c r="L621" s="152"/>
      <c r="Y621" s="153"/>
      <c r="Z621" s="153"/>
    </row>
    <row r="622" spans="11:26" ht="12.75" hidden="1" customHeight="1" x14ac:dyDescent="0.2">
      <c r="K622" s="152"/>
      <c r="L622" s="152"/>
      <c r="Y622" s="153"/>
      <c r="Z622" s="153"/>
    </row>
    <row r="623" spans="11:26" ht="12.75" hidden="1" customHeight="1" x14ac:dyDescent="0.2">
      <c r="K623" s="152"/>
      <c r="L623" s="152"/>
      <c r="Y623" s="153"/>
      <c r="Z623" s="153"/>
    </row>
    <row r="624" spans="11:26" ht="12.75" hidden="1" customHeight="1" x14ac:dyDescent="0.2">
      <c r="K624" s="152"/>
      <c r="L624" s="152"/>
      <c r="Y624" s="153"/>
      <c r="Z624" s="153"/>
    </row>
    <row r="625" spans="11:26" ht="12.75" hidden="1" customHeight="1" x14ac:dyDescent="0.2">
      <c r="K625" s="152"/>
      <c r="L625" s="152"/>
      <c r="Y625" s="153"/>
      <c r="Z625" s="153"/>
    </row>
    <row r="626" spans="11:26" ht="12.75" hidden="1" customHeight="1" x14ac:dyDescent="0.2">
      <c r="K626" s="152"/>
      <c r="L626" s="152"/>
      <c r="Y626" s="153"/>
      <c r="Z626" s="153"/>
    </row>
    <row r="627" spans="11:26" ht="12.75" hidden="1" customHeight="1" x14ac:dyDescent="0.2">
      <c r="K627" s="152"/>
      <c r="L627" s="152"/>
      <c r="Y627" s="153"/>
      <c r="Z627" s="153"/>
    </row>
    <row r="628" spans="11:26" ht="12.75" hidden="1" customHeight="1" x14ac:dyDescent="0.2">
      <c r="K628" s="152"/>
      <c r="L628" s="152"/>
      <c r="Y628" s="153"/>
      <c r="Z628" s="153"/>
    </row>
    <row r="629" spans="11:26" ht="12.75" hidden="1" customHeight="1" x14ac:dyDescent="0.2">
      <c r="K629" s="152"/>
      <c r="L629" s="152"/>
      <c r="Y629" s="153"/>
      <c r="Z629" s="153"/>
    </row>
    <row r="630" spans="11:26" ht="12.75" hidden="1" customHeight="1" x14ac:dyDescent="0.2">
      <c r="K630" s="152"/>
      <c r="L630" s="152"/>
      <c r="Y630" s="153"/>
      <c r="Z630" s="153"/>
    </row>
    <row r="631" spans="11:26" ht="12.75" hidden="1" customHeight="1" x14ac:dyDescent="0.2">
      <c r="K631" s="152"/>
      <c r="L631" s="152"/>
      <c r="Y631" s="153"/>
      <c r="Z631" s="153"/>
    </row>
    <row r="632" spans="11:26" ht="12.75" hidden="1" customHeight="1" x14ac:dyDescent="0.2">
      <c r="K632" s="152"/>
      <c r="L632" s="152"/>
      <c r="Y632" s="153"/>
      <c r="Z632" s="153"/>
    </row>
    <row r="633" spans="11:26" ht="12.75" hidden="1" customHeight="1" x14ac:dyDescent="0.2">
      <c r="K633" s="152"/>
      <c r="L633" s="152"/>
      <c r="Y633" s="153"/>
      <c r="Z633" s="153"/>
    </row>
    <row r="634" spans="11:26" ht="12.75" hidden="1" customHeight="1" x14ac:dyDescent="0.2">
      <c r="K634" s="152"/>
      <c r="L634" s="152"/>
      <c r="Y634" s="153"/>
      <c r="Z634" s="153"/>
    </row>
    <row r="635" spans="11:26" ht="12.75" hidden="1" customHeight="1" x14ac:dyDescent="0.2">
      <c r="K635" s="152"/>
      <c r="L635" s="152"/>
      <c r="Y635" s="153"/>
      <c r="Z635" s="153"/>
    </row>
    <row r="636" spans="11:26" ht="12.75" hidden="1" customHeight="1" x14ac:dyDescent="0.2">
      <c r="K636" s="152"/>
      <c r="L636" s="152"/>
      <c r="Y636" s="153"/>
      <c r="Z636" s="153"/>
    </row>
    <row r="637" spans="11:26" ht="12.75" hidden="1" customHeight="1" x14ac:dyDescent="0.2">
      <c r="K637" s="152"/>
      <c r="L637" s="152"/>
      <c r="Y637" s="153"/>
      <c r="Z637" s="153"/>
    </row>
    <row r="638" spans="11:26" ht="12.75" hidden="1" customHeight="1" x14ac:dyDescent="0.2">
      <c r="K638" s="152"/>
      <c r="L638" s="152"/>
      <c r="Y638" s="153"/>
      <c r="Z638" s="153"/>
    </row>
    <row r="639" spans="11:26" ht="12.75" hidden="1" customHeight="1" x14ac:dyDescent="0.2">
      <c r="K639" s="152"/>
      <c r="L639" s="152"/>
      <c r="Y639" s="153"/>
      <c r="Z639" s="153"/>
    </row>
    <row r="640" spans="11:26" ht="12.75" hidden="1" customHeight="1" x14ac:dyDescent="0.2">
      <c r="K640" s="152"/>
      <c r="L640" s="152"/>
      <c r="Y640" s="153"/>
      <c r="Z640" s="153"/>
    </row>
    <row r="641" spans="11:26" ht="12.75" hidden="1" customHeight="1" x14ac:dyDescent="0.2">
      <c r="K641" s="152"/>
      <c r="L641" s="152"/>
      <c r="Y641" s="153"/>
      <c r="Z641" s="153"/>
    </row>
    <row r="642" spans="11:26" ht="12.75" hidden="1" customHeight="1" x14ac:dyDescent="0.2">
      <c r="K642" s="152"/>
      <c r="L642" s="152"/>
      <c r="Y642" s="153"/>
      <c r="Z642" s="153"/>
    </row>
    <row r="643" spans="11:26" ht="12.75" hidden="1" customHeight="1" x14ac:dyDescent="0.2">
      <c r="K643" s="152"/>
      <c r="L643" s="152"/>
      <c r="Y643" s="153"/>
      <c r="Z643" s="153"/>
    </row>
    <row r="644" spans="11:26" ht="12.75" hidden="1" customHeight="1" x14ac:dyDescent="0.2">
      <c r="K644" s="152"/>
      <c r="L644" s="152"/>
      <c r="Y644" s="153"/>
      <c r="Z644" s="153"/>
    </row>
    <row r="645" spans="11:26" ht="12.75" hidden="1" customHeight="1" x14ac:dyDescent="0.2">
      <c r="K645" s="152"/>
      <c r="L645" s="152"/>
      <c r="Y645" s="153"/>
      <c r="Z645" s="153"/>
    </row>
    <row r="646" spans="11:26" ht="12.75" hidden="1" customHeight="1" x14ac:dyDescent="0.2">
      <c r="K646" s="152"/>
      <c r="L646" s="152"/>
      <c r="Y646" s="153"/>
      <c r="Z646" s="153"/>
    </row>
    <row r="647" spans="11:26" ht="12.75" hidden="1" customHeight="1" x14ac:dyDescent="0.2">
      <c r="K647" s="152"/>
      <c r="L647" s="152"/>
      <c r="Y647" s="153"/>
      <c r="Z647" s="153"/>
    </row>
    <row r="648" spans="11:26" ht="12.75" hidden="1" customHeight="1" x14ac:dyDescent="0.2">
      <c r="K648" s="152"/>
      <c r="L648" s="152"/>
      <c r="Y648" s="153"/>
      <c r="Z648" s="153"/>
    </row>
    <row r="649" spans="11:26" ht="12.75" hidden="1" customHeight="1" x14ac:dyDescent="0.2">
      <c r="K649" s="152"/>
      <c r="L649" s="152"/>
      <c r="Y649" s="153"/>
      <c r="Z649" s="153"/>
    </row>
    <row r="650" spans="11:26" ht="12.75" hidden="1" customHeight="1" x14ac:dyDescent="0.2">
      <c r="K650" s="152"/>
      <c r="L650" s="152"/>
      <c r="Y650" s="153"/>
      <c r="Z650" s="153"/>
    </row>
    <row r="651" spans="11:26" ht="12.75" hidden="1" customHeight="1" x14ac:dyDescent="0.2">
      <c r="K651" s="152"/>
      <c r="L651" s="152"/>
      <c r="Y651" s="153"/>
      <c r="Z651" s="153"/>
    </row>
    <row r="652" spans="11:26" ht="12.75" hidden="1" customHeight="1" x14ac:dyDescent="0.2">
      <c r="K652" s="152"/>
      <c r="L652" s="152"/>
      <c r="Y652" s="153"/>
      <c r="Z652" s="153"/>
    </row>
    <row r="653" spans="11:26" ht="12.75" hidden="1" customHeight="1" x14ac:dyDescent="0.2">
      <c r="K653" s="152"/>
      <c r="L653" s="152"/>
      <c r="Y653" s="153"/>
      <c r="Z653" s="153"/>
    </row>
    <row r="654" spans="11:26" ht="12.75" hidden="1" customHeight="1" x14ac:dyDescent="0.2">
      <c r="K654" s="152"/>
      <c r="L654" s="152"/>
      <c r="Y654" s="153"/>
      <c r="Z654" s="153"/>
    </row>
    <row r="655" spans="11:26" ht="12.75" hidden="1" customHeight="1" x14ac:dyDescent="0.2">
      <c r="K655" s="152"/>
      <c r="L655" s="152"/>
      <c r="Y655" s="153"/>
      <c r="Z655" s="153"/>
    </row>
    <row r="656" spans="11:26" ht="12.75" hidden="1" customHeight="1" x14ac:dyDescent="0.2">
      <c r="K656" s="152"/>
      <c r="L656" s="152"/>
      <c r="Y656" s="153"/>
      <c r="Z656" s="153"/>
    </row>
    <row r="657" spans="11:26" ht="12.75" hidden="1" customHeight="1" x14ac:dyDescent="0.2">
      <c r="K657" s="152"/>
      <c r="L657" s="152"/>
      <c r="Y657" s="153"/>
      <c r="Z657" s="153"/>
    </row>
    <row r="658" spans="11:26" ht="12.75" hidden="1" customHeight="1" x14ac:dyDescent="0.2">
      <c r="K658" s="152"/>
      <c r="L658" s="152"/>
      <c r="Y658" s="153"/>
      <c r="Z658" s="153"/>
    </row>
    <row r="659" spans="11:26" ht="12.75" hidden="1" customHeight="1" x14ac:dyDescent="0.2">
      <c r="K659" s="152"/>
      <c r="L659" s="152"/>
      <c r="Y659" s="153"/>
      <c r="Z659" s="153"/>
    </row>
    <row r="660" spans="11:26" ht="12.75" hidden="1" customHeight="1" x14ac:dyDescent="0.2">
      <c r="K660" s="152"/>
      <c r="L660" s="152"/>
      <c r="Y660" s="153"/>
      <c r="Z660" s="153"/>
    </row>
    <row r="661" spans="11:26" ht="12.75" hidden="1" customHeight="1" x14ac:dyDescent="0.2">
      <c r="K661" s="152"/>
      <c r="L661" s="152"/>
      <c r="Y661" s="153"/>
      <c r="Z661" s="153"/>
    </row>
    <row r="662" spans="11:26" ht="12.75" hidden="1" customHeight="1" x14ac:dyDescent="0.2">
      <c r="K662" s="152"/>
      <c r="L662" s="152"/>
      <c r="Y662" s="153"/>
      <c r="Z662" s="153"/>
    </row>
    <row r="663" spans="11:26" ht="12.75" hidden="1" customHeight="1" x14ac:dyDescent="0.2">
      <c r="K663" s="152"/>
      <c r="L663" s="152"/>
      <c r="Y663" s="153"/>
      <c r="Z663" s="153"/>
    </row>
    <row r="664" spans="11:26" ht="12.75" hidden="1" customHeight="1" x14ac:dyDescent="0.2">
      <c r="K664" s="152"/>
      <c r="L664" s="152"/>
      <c r="Y664" s="153"/>
      <c r="Z664" s="153"/>
    </row>
    <row r="665" spans="11:26" ht="12.75" hidden="1" customHeight="1" x14ac:dyDescent="0.2">
      <c r="K665" s="152"/>
      <c r="L665" s="152"/>
      <c r="Y665" s="153"/>
      <c r="Z665" s="153"/>
    </row>
    <row r="666" spans="11:26" ht="12.75" hidden="1" customHeight="1" x14ac:dyDescent="0.2">
      <c r="K666" s="152"/>
      <c r="L666" s="152"/>
      <c r="Y666" s="153"/>
      <c r="Z666" s="153"/>
    </row>
    <row r="667" spans="11:26" ht="12.75" hidden="1" customHeight="1" x14ac:dyDescent="0.2">
      <c r="K667" s="152"/>
      <c r="L667" s="152"/>
      <c r="Y667" s="153"/>
      <c r="Z667" s="153"/>
    </row>
    <row r="668" spans="11:26" ht="12.75" hidden="1" customHeight="1" x14ac:dyDescent="0.2">
      <c r="K668" s="152"/>
      <c r="L668" s="152"/>
      <c r="Y668" s="153"/>
      <c r="Z668" s="153"/>
    </row>
    <row r="669" spans="11:26" ht="12.75" hidden="1" customHeight="1" x14ac:dyDescent="0.2">
      <c r="K669" s="152"/>
      <c r="L669" s="152"/>
      <c r="Y669" s="153"/>
      <c r="Z669" s="153"/>
    </row>
    <row r="670" spans="11:26" ht="12.75" hidden="1" customHeight="1" x14ac:dyDescent="0.2">
      <c r="K670" s="152"/>
      <c r="L670" s="152"/>
      <c r="Y670" s="153"/>
      <c r="Z670" s="153"/>
    </row>
    <row r="671" spans="11:26" ht="12.75" hidden="1" customHeight="1" x14ac:dyDescent="0.2">
      <c r="K671" s="152"/>
      <c r="L671" s="152"/>
      <c r="Y671" s="153"/>
      <c r="Z671" s="153"/>
    </row>
    <row r="672" spans="11:26" ht="12.75" hidden="1" customHeight="1" x14ac:dyDescent="0.2">
      <c r="K672" s="152"/>
      <c r="L672" s="152"/>
      <c r="Y672" s="153"/>
      <c r="Z672" s="153"/>
    </row>
    <row r="673" spans="11:26" ht="12.75" hidden="1" customHeight="1" x14ac:dyDescent="0.2">
      <c r="K673" s="152"/>
      <c r="L673" s="152"/>
      <c r="Y673" s="153"/>
      <c r="Z673" s="153"/>
    </row>
    <row r="674" spans="11:26" ht="12.75" hidden="1" customHeight="1" x14ac:dyDescent="0.2">
      <c r="K674" s="152"/>
      <c r="L674" s="152"/>
      <c r="Y674" s="153"/>
      <c r="Z674" s="153"/>
    </row>
    <row r="675" spans="11:26" ht="12.75" hidden="1" customHeight="1" x14ac:dyDescent="0.2">
      <c r="K675" s="152"/>
      <c r="L675" s="152"/>
      <c r="Y675" s="153"/>
      <c r="Z675" s="153"/>
    </row>
    <row r="676" spans="11:26" ht="12.75" hidden="1" customHeight="1" x14ac:dyDescent="0.2">
      <c r="K676" s="152"/>
      <c r="L676" s="152"/>
      <c r="Y676" s="153"/>
      <c r="Z676" s="153"/>
    </row>
    <row r="677" spans="11:26" ht="12.75" hidden="1" customHeight="1" x14ac:dyDescent="0.2">
      <c r="K677" s="152"/>
      <c r="L677" s="152"/>
      <c r="Y677" s="153"/>
      <c r="Z677" s="153"/>
    </row>
    <row r="678" spans="11:26" ht="12.75" hidden="1" customHeight="1" x14ac:dyDescent="0.2">
      <c r="K678" s="152"/>
      <c r="L678" s="152"/>
      <c r="Y678" s="153"/>
      <c r="Z678" s="153"/>
    </row>
    <row r="679" spans="11:26" ht="12.75" hidden="1" customHeight="1" x14ac:dyDescent="0.2">
      <c r="K679" s="152"/>
      <c r="L679" s="152"/>
      <c r="Y679" s="153"/>
      <c r="Z679" s="153"/>
    </row>
    <row r="680" spans="11:26" ht="12.75" hidden="1" customHeight="1" x14ac:dyDescent="0.2">
      <c r="K680" s="152"/>
      <c r="L680" s="152"/>
      <c r="Y680" s="153"/>
      <c r="Z680" s="153"/>
    </row>
    <row r="681" spans="11:26" ht="12.75" hidden="1" customHeight="1" x14ac:dyDescent="0.2">
      <c r="K681" s="152"/>
      <c r="L681" s="152"/>
      <c r="Y681" s="153"/>
      <c r="Z681" s="153"/>
    </row>
    <row r="682" spans="11:26" ht="12.75" hidden="1" customHeight="1" x14ac:dyDescent="0.2">
      <c r="K682" s="152"/>
      <c r="L682" s="152"/>
      <c r="Y682" s="153"/>
      <c r="Z682" s="153"/>
    </row>
    <row r="683" spans="11:26" ht="12.75" hidden="1" customHeight="1" x14ac:dyDescent="0.2">
      <c r="K683" s="152"/>
      <c r="L683" s="152"/>
      <c r="Y683" s="153"/>
      <c r="Z683" s="153"/>
    </row>
    <row r="684" spans="11:26" ht="12.75" hidden="1" customHeight="1" x14ac:dyDescent="0.2">
      <c r="K684" s="152"/>
      <c r="L684" s="152"/>
      <c r="Y684" s="153"/>
      <c r="Z684" s="153"/>
    </row>
    <row r="685" spans="11:26" ht="12.75" hidden="1" customHeight="1" x14ac:dyDescent="0.2">
      <c r="K685" s="152"/>
      <c r="L685" s="152"/>
      <c r="Y685" s="153"/>
      <c r="Z685" s="153"/>
    </row>
    <row r="686" spans="11:26" ht="12.75" hidden="1" customHeight="1" x14ac:dyDescent="0.2">
      <c r="K686" s="152"/>
      <c r="L686" s="152"/>
      <c r="Y686" s="153"/>
      <c r="Z686" s="153"/>
    </row>
    <row r="687" spans="11:26" ht="12.75" hidden="1" customHeight="1" x14ac:dyDescent="0.2">
      <c r="K687" s="152"/>
      <c r="L687" s="152"/>
      <c r="Y687" s="153"/>
      <c r="Z687" s="153"/>
    </row>
    <row r="688" spans="11:26" ht="12.75" hidden="1" customHeight="1" x14ac:dyDescent="0.2">
      <c r="K688" s="152"/>
      <c r="L688" s="152"/>
      <c r="Y688" s="153"/>
      <c r="Z688" s="153"/>
    </row>
    <row r="689" spans="11:26" ht="12.75" hidden="1" customHeight="1" x14ac:dyDescent="0.2">
      <c r="K689" s="152"/>
      <c r="L689" s="152"/>
      <c r="Y689" s="153"/>
      <c r="Z689" s="153"/>
    </row>
    <row r="690" spans="11:26" ht="12.75" hidden="1" customHeight="1" x14ac:dyDescent="0.2">
      <c r="K690" s="152"/>
      <c r="L690" s="152"/>
      <c r="Y690" s="153"/>
      <c r="Z690" s="153"/>
    </row>
    <row r="691" spans="11:26" ht="12.75" hidden="1" customHeight="1" x14ac:dyDescent="0.2">
      <c r="K691" s="152"/>
      <c r="L691" s="152"/>
      <c r="Y691" s="153"/>
      <c r="Z691" s="153"/>
    </row>
    <row r="692" spans="11:26" ht="12.75" hidden="1" customHeight="1" x14ac:dyDescent="0.2">
      <c r="K692" s="152"/>
      <c r="L692" s="152"/>
      <c r="Y692" s="153"/>
      <c r="Z692" s="153"/>
    </row>
    <row r="693" spans="11:26" ht="12.75" hidden="1" customHeight="1" x14ac:dyDescent="0.2">
      <c r="K693" s="152"/>
      <c r="L693" s="152"/>
      <c r="Y693" s="153"/>
      <c r="Z693" s="153"/>
    </row>
    <row r="694" spans="11:26" ht="12.75" hidden="1" customHeight="1" x14ac:dyDescent="0.2">
      <c r="K694" s="152"/>
      <c r="L694" s="152"/>
      <c r="Y694" s="153"/>
      <c r="Z694" s="153"/>
    </row>
    <row r="695" spans="11:26" ht="12.75" hidden="1" customHeight="1" x14ac:dyDescent="0.2">
      <c r="K695" s="152"/>
      <c r="L695" s="152"/>
      <c r="Y695" s="153"/>
      <c r="Z695" s="153"/>
    </row>
    <row r="696" spans="11:26" ht="12.75" hidden="1" customHeight="1" x14ac:dyDescent="0.2">
      <c r="K696" s="152"/>
      <c r="L696" s="152"/>
      <c r="Y696" s="153"/>
      <c r="Z696" s="153"/>
    </row>
    <row r="697" spans="11:26" ht="12.75" hidden="1" customHeight="1" x14ac:dyDescent="0.2">
      <c r="K697" s="152"/>
      <c r="L697" s="152"/>
      <c r="Y697" s="153"/>
      <c r="Z697" s="153"/>
    </row>
    <row r="698" spans="11:26" ht="12.75" hidden="1" customHeight="1" x14ac:dyDescent="0.2">
      <c r="K698" s="152"/>
      <c r="L698" s="152"/>
      <c r="Y698" s="153"/>
      <c r="Z698" s="153"/>
    </row>
    <row r="699" spans="11:26" ht="12.75" hidden="1" customHeight="1" x14ac:dyDescent="0.2">
      <c r="K699" s="152"/>
      <c r="L699" s="152"/>
      <c r="Y699" s="153"/>
      <c r="Z699" s="153"/>
    </row>
    <row r="700" spans="11:26" ht="12.75" hidden="1" customHeight="1" x14ac:dyDescent="0.2">
      <c r="K700" s="152"/>
      <c r="L700" s="152"/>
      <c r="Y700" s="153"/>
      <c r="Z700" s="153"/>
    </row>
    <row r="701" spans="11:26" ht="12.75" hidden="1" customHeight="1" x14ac:dyDescent="0.2">
      <c r="K701" s="152"/>
      <c r="L701" s="152"/>
      <c r="Y701" s="153"/>
      <c r="Z701" s="153"/>
    </row>
    <row r="702" spans="11:26" ht="12.75" hidden="1" customHeight="1" x14ac:dyDescent="0.2">
      <c r="K702" s="152"/>
      <c r="L702" s="152"/>
      <c r="Y702" s="153"/>
      <c r="Z702" s="153"/>
    </row>
    <row r="703" spans="11:26" ht="12.75" hidden="1" customHeight="1" x14ac:dyDescent="0.2">
      <c r="K703" s="152"/>
      <c r="L703" s="152"/>
      <c r="Y703" s="153"/>
      <c r="Z703" s="153"/>
    </row>
    <row r="704" spans="11:26" ht="12.75" hidden="1" customHeight="1" x14ac:dyDescent="0.2">
      <c r="K704" s="152"/>
      <c r="L704" s="152"/>
      <c r="Y704" s="153"/>
      <c r="Z704" s="153"/>
    </row>
    <row r="705" spans="11:26" ht="12.75" hidden="1" customHeight="1" x14ac:dyDescent="0.2">
      <c r="K705" s="152"/>
      <c r="L705" s="152"/>
      <c r="Y705" s="153"/>
      <c r="Z705" s="153"/>
    </row>
    <row r="706" spans="11:26" ht="12.75" hidden="1" customHeight="1" x14ac:dyDescent="0.2">
      <c r="K706" s="152"/>
      <c r="L706" s="152"/>
      <c r="Y706" s="153"/>
      <c r="Z706" s="153"/>
    </row>
    <row r="707" spans="11:26" ht="12.75" hidden="1" customHeight="1" x14ac:dyDescent="0.2">
      <c r="K707" s="152"/>
      <c r="L707" s="152"/>
      <c r="Y707" s="153"/>
      <c r="Z707" s="153"/>
    </row>
    <row r="708" spans="11:26" ht="12.75" hidden="1" customHeight="1" x14ac:dyDescent="0.2">
      <c r="K708" s="152"/>
      <c r="L708" s="152"/>
      <c r="Y708" s="153"/>
      <c r="Z708" s="153"/>
    </row>
    <row r="709" spans="11:26" ht="12.75" hidden="1" customHeight="1" x14ac:dyDescent="0.2">
      <c r="K709" s="152"/>
      <c r="L709" s="152"/>
      <c r="Y709" s="153"/>
      <c r="Z709" s="153"/>
    </row>
    <row r="710" spans="11:26" ht="12.75" hidden="1" customHeight="1" x14ac:dyDescent="0.2">
      <c r="K710" s="152"/>
      <c r="L710" s="152"/>
      <c r="Y710" s="153"/>
      <c r="Z710" s="153"/>
    </row>
    <row r="711" spans="11:26" ht="12.75" hidden="1" customHeight="1" x14ac:dyDescent="0.2">
      <c r="K711" s="152"/>
      <c r="L711" s="152"/>
      <c r="Y711" s="153"/>
      <c r="Z711" s="153"/>
    </row>
    <row r="712" spans="11:26" ht="12.75" hidden="1" customHeight="1" x14ac:dyDescent="0.2">
      <c r="K712" s="152"/>
      <c r="L712" s="152"/>
      <c r="Y712" s="153"/>
      <c r="Z712" s="153"/>
    </row>
    <row r="713" spans="11:26" ht="12.75" hidden="1" customHeight="1" x14ac:dyDescent="0.2">
      <c r="K713" s="152"/>
      <c r="L713" s="152"/>
      <c r="Y713" s="153"/>
      <c r="Z713" s="153"/>
    </row>
    <row r="714" spans="11:26" ht="12.75" hidden="1" customHeight="1" x14ac:dyDescent="0.2">
      <c r="K714" s="152"/>
      <c r="L714" s="152"/>
      <c r="Y714" s="153"/>
      <c r="Z714" s="153"/>
    </row>
    <row r="715" spans="11:26" ht="12.75" hidden="1" customHeight="1" x14ac:dyDescent="0.2">
      <c r="K715" s="152"/>
      <c r="L715" s="152"/>
      <c r="Y715" s="153"/>
      <c r="Z715" s="153"/>
    </row>
    <row r="716" spans="11:26" ht="12.75" hidden="1" customHeight="1" x14ac:dyDescent="0.2">
      <c r="K716" s="152"/>
      <c r="L716" s="152"/>
      <c r="Y716" s="153"/>
      <c r="Z716" s="153"/>
    </row>
    <row r="717" spans="11:26" ht="12.75" hidden="1" customHeight="1" x14ac:dyDescent="0.2">
      <c r="K717" s="152"/>
      <c r="L717" s="152"/>
      <c r="Y717" s="153"/>
      <c r="Z717" s="153"/>
    </row>
    <row r="718" spans="11:26" ht="12.75" hidden="1" customHeight="1" x14ac:dyDescent="0.2">
      <c r="K718" s="152"/>
      <c r="L718" s="152"/>
      <c r="Y718" s="153"/>
      <c r="Z718" s="153"/>
    </row>
    <row r="719" spans="11:26" ht="12.75" hidden="1" customHeight="1" x14ac:dyDescent="0.2">
      <c r="K719" s="152"/>
      <c r="L719" s="152"/>
      <c r="Y719" s="153"/>
      <c r="Z719" s="153"/>
    </row>
    <row r="720" spans="11:26" ht="12.75" hidden="1" customHeight="1" x14ac:dyDescent="0.2">
      <c r="K720" s="152"/>
      <c r="L720" s="152"/>
      <c r="Y720" s="153"/>
      <c r="Z720" s="153"/>
    </row>
    <row r="721" spans="11:26" ht="12.75" hidden="1" customHeight="1" x14ac:dyDescent="0.2">
      <c r="K721" s="152"/>
      <c r="L721" s="152"/>
      <c r="Y721" s="153"/>
      <c r="Z721" s="153"/>
    </row>
    <row r="722" spans="11:26" ht="12.75" hidden="1" customHeight="1" x14ac:dyDescent="0.2">
      <c r="K722" s="152"/>
      <c r="L722" s="152"/>
      <c r="Y722" s="153"/>
      <c r="Z722" s="153"/>
    </row>
    <row r="723" spans="11:26" ht="12.75" hidden="1" customHeight="1" x14ac:dyDescent="0.2">
      <c r="K723" s="152"/>
      <c r="L723" s="152"/>
      <c r="Y723" s="153"/>
      <c r="Z723" s="153"/>
    </row>
    <row r="724" spans="11:26" ht="12.75" hidden="1" customHeight="1" x14ac:dyDescent="0.2">
      <c r="K724" s="152"/>
      <c r="L724" s="152"/>
      <c r="Y724" s="153"/>
      <c r="Z724" s="153"/>
    </row>
    <row r="725" spans="11:26" ht="12.75" hidden="1" customHeight="1" x14ac:dyDescent="0.2">
      <c r="K725" s="152"/>
      <c r="L725" s="152"/>
      <c r="Y725" s="153"/>
      <c r="Z725" s="153"/>
    </row>
    <row r="726" spans="11:26" ht="12.75" hidden="1" customHeight="1" x14ac:dyDescent="0.2">
      <c r="K726" s="152"/>
      <c r="L726" s="152"/>
      <c r="Y726" s="153"/>
      <c r="Z726" s="153"/>
    </row>
    <row r="727" spans="11:26" ht="12.75" hidden="1" customHeight="1" x14ac:dyDescent="0.2">
      <c r="K727" s="152"/>
      <c r="L727" s="152"/>
      <c r="Y727" s="153"/>
      <c r="Z727" s="153"/>
    </row>
    <row r="728" spans="11:26" ht="12.75" hidden="1" customHeight="1" x14ac:dyDescent="0.2">
      <c r="K728" s="152"/>
      <c r="L728" s="152"/>
      <c r="Y728" s="153"/>
      <c r="Z728" s="153"/>
    </row>
    <row r="729" spans="11:26" ht="12.75" hidden="1" customHeight="1" x14ac:dyDescent="0.2">
      <c r="K729" s="152"/>
      <c r="L729" s="152"/>
      <c r="Y729" s="153"/>
      <c r="Z729" s="153"/>
    </row>
    <row r="730" spans="11:26" ht="12.75" hidden="1" customHeight="1" x14ac:dyDescent="0.2">
      <c r="K730" s="152"/>
      <c r="L730" s="152"/>
      <c r="Y730" s="153"/>
      <c r="Z730" s="153"/>
    </row>
    <row r="731" spans="11:26" ht="12.75" hidden="1" customHeight="1" x14ac:dyDescent="0.2">
      <c r="K731" s="152"/>
      <c r="L731" s="152"/>
      <c r="Y731" s="153"/>
      <c r="Z731" s="153"/>
    </row>
    <row r="732" spans="11:26" ht="12.75" hidden="1" customHeight="1" x14ac:dyDescent="0.2">
      <c r="K732" s="152"/>
      <c r="L732" s="152"/>
      <c r="Y732" s="153"/>
      <c r="Z732" s="153"/>
    </row>
    <row r="733" spans="11:26" ht="12.75" hidden="1" customHeight="1" x14ac:dyDescent="0.2">
      <c r="K733" s="152"/>
      <c r="L733" s="152"/>
      <c r="Y733" s="153"/>
      <c r="Z733" s="153"/>
    </row>
    <row r="734" spans="11:26" ht="12.75" hidden="1" customHeight="1" x14ac:dyDescent="0.2">
      <c r="K734" s="152"/>
      <c r="L734" s="152"/>
      <c r="Y734" s="153"/>
      <c r="Z734" s="153"/>
    </row>
    <row r="735" spans="11:26" ht="12.75" hidden="1" customHeight="1" x14ac:dyDescent="0.2">
      <c r="K735" s="152"/>
      <c r="L735" s="152"/>
      <c r="Y735" s="153"/>
      <c r="Z735" s="153"/>
    </row>
    <row r="736" spans="11:26" ht="12.75" hidden="1" customHeight="1" x14ac:dyDescent="0.2">
      <c r="K736" s="152"/>
      <c r="L736" s="152"/>
      <c r="Y736" s="153"/>
      <c r="Z736" s="153"/>
    </row>
    <row r="737" spans="11:26" ht="12.75" hidden="1" customHeight="1" x14ac:dyDescent="0.2">
      <c r="K737" s="152"/>
      <c r="L737" s="152"/>
      <c r="Y737" s="153"/>
      <c r="Z737" s="153"/>
    </row>
    <row r="738" spans="11:26" ht="12.75" hidden="1" customHeight="1" x14ac:dyDescent="0.2">
      <c r="K738" s="152"/>
      <c r="L738" s="152"/>
      <c r="Y738" s="153"/>
      <c r="Z738" s="153"/>
    </row>
    <row r="739" spans="11:26" ht="12.75" hidden="1" customHeight="1" x14ac:dyDescent="0.2">
      <c r="K739" s="152"/>
      <c r="L739" s="152"/>
      <c r="Y739" s="153"/>
      <c r="Z739" s="153"/>
    </row>
    <row r="740" spans="11:26" ht="12.75" hidden="1" customHeight="1" x14ac:dyDescent="0.2">
      <c r="K740" s="152"/>
      <c r="L740" s="152"/>
      <c r="Y740" s="153"/>
      <c r="Z740" s="153"/>
    </row>
    <row r="741" spans="11:26" ht="12.75" hidden="1" customHeight="1" x14ac:dyDescent="0.2">
      <c r="K741" s="152"/>
      <c r="L741" s="152"/>
      <c r="Y741" s="153"/>
      <c r="Z741" s="153"/>
    </row>
    <row r="742" spans="11:26" ht="12.75" hidden="1" customHeight="1" x14ac:dyDescent="0.2">
      <c r="K742" s="152"/>
      <c r="L742" s="152"/>
      <c r="Y742" s="153"/>
      <c r="Z742" s="153"/>
    </row>
    <row r="743" spans="11:26" ht="12.75" hidden="1" customHeight="1" x14ac:dyDescent="0.2">
      <c r="K743" s="152"/>
      <c r="L743" s="152"/>
      <c r="Y743" s="153"/>
      <c r="Z743" s="153"/>
    </row>
    <row r="744" spans="11:26" ht="12.75" hidden="1" customHeight="1" x14ac:dyDescent="0.2">
      <c r="K744" s="152"/>
      <c r="L744" s="152"/>
      <c r="Y744" s="153"/>
      <c r="Z744" s="153"/>
    </row>
    <row r="745" spans="11:26" ht="12.75" hidden="1" customHeight="1" x14ac:dyDescent="0.2">
      <c r="K745" s="152"/>
      <c r="L745" s="152"/>
      <c r="Y745" s="153"/>
      <c r="Z745" s="153"/>
    </row>
    <row r="746" spans="11:26" ht="12.75" hidden="1" customHeight="1" x14ac:dyDescent="0.2">
      <c r="K746" s="152"/>
      <c r="L746" s="152"/>
      <c r="Y746" s="153"/>
      <c r="Z746" s="153"/>
    </row>
    <row r="747" spans="11:26" ht="12.75" hidden="1" customHeight="1" x14ac:dyDescent="0.2">
      <c r="K747" s="152"/>
      <c r="L747" s="152"/>
      <c r="Y747" s="153"/>
      <c r="Z747" s="153"/>
    </row>
    <row r="748" spans="11:26" ht="12.75" hidden="1" customHeight="1" x14ac:dyDescent="0.2">
      <c r="K748" s="152"/>
      <c r="L748" s="152"/>
      <c r="Y748" s="153"/>
      <c r="Z748" s="153"/>
    </row>
    <row r="749" spans="11:26" ht="12.75" hidden="1" customHeight="1" x14ac:dyDescent="0.2">
      <c r="K749" s="152"/>
      <c r="L749" s="152"/>
      <c r="Y749" s="153"/>
      <c r="Z749" s="153"/>
    </row>
    <row r="750" spans="11:26" ht="12.75" hidden="1" customHeight="1" x14ac:dyDescent="0.2">
      <c r="K750" s="152"/>
      <c r="L750" s="152"/>
      <c r="Y750" s="153"/>
      <c r="Z750" s="153"/>
    </row>
    <row r="751" spans="11:26" ht="12.75" hidden="1" customHeight="1" x14ac:dyDescent="0.2">
      <c r="K751" s="152"/>
      <c r="L751" s="152"/>
      <c r="Y751" s="153"/>
      <c r="Z751" s="153"/>
    </row>
    <row r="752" spans="11:26" ht="12.75" hidden="1" customHeight="1" x14ac:dyDescent="0.2">
      <c r="K752" s="152"/>
      <c r="L752" s="152"/>
      <c r="Y752" s="153"/>
      <c r="Z752" s="153"/>
    </row>
    <row r="753" spans="11:26" ht="12.75" hidden="1" customHeight="1" x14ac:dyDescent="0.2">
      <c r="K753" s="152"/>
      <c r="L753" s="152"/>
      <c r="Y753" s="153"/>
      <c r="Z753" s="153"/>
    </row>
    <row r="754" spans="11:26" ht="12.75" hidden="1" customHeight="1" x14ac:dyDescent="0.2">
      <c r="K754" s="152"/>
      <c r="L754" s="152"/>
      <c r="Y754" s="153"/>
      <c r="Z754" s="153"/>
    </row>
    <row r="755" spans="11:26" ht="12.75" hidden="1" customHeight="1" x14ac:dyDescent="0.2">
      <c r="K755" s="152"/>
      <c r="L755" s="152"/>
      <c r="Y755" s="153"/>
      <c r="Z755" s="153"/>
    </row>
    <row r="756" spans="11:26" ht="12.75" hidden="1" customHeight="1" x14ac:dyDescent="0.2">
      <c r="K756" s="152"/>
      <c r="L756" s="152"/>
      <c r="Y756" s="153"/>
      <c r="Z756" s="153"/>
    </row>
    <row r="757" spans="11:26" ht="12.75" hidden="1" customHeight="1" x14ac:dyDescent="0.2">
      <c r="K757" s="152"/>
      <c r="L757" s="152"/>
      <c r="Y757" s="153"/>
      <c r="Z757" s="153"/>
    </row>
    <row r="758" spans="11:26" ht="12.75" hidden="1" customHeight="1" x14ac:dyDescent="0.2">
      <c r="K758" s="152"/>
      <c r="L758" s="152"/>
      <c r="Y758" s="153"/>
      <c r="Z758" s="153"/>
    </row>
    <row r="759" spans="11:26" ht="12.75" hidden="1" customHeight="1" x14ac:dyDescent="0.2">
      <c r="K759" s="152"/>
      <c r="L759" s="152"/>
      <c r="Y759" s="153"/>
      <c r="Z759" s="153"/>
    </row>
    <row r="760" spans="11:26" ht="12.75" hidden="1" customHeight="1" x14ac:dyDescent="0.2">
      <c r="K760" s="152"/>
      <c r="L760" s="152"/>
      <c r="Y760" s="153"/>
      <c r="Z760" s="153"/>
    </row>
    <row r="761" spans="11:26" ht="12.75" hidden="1" customHeight="1" x14ac:dyDescent="0.2">
      <c r="K761" s="152"/>
      <c r="L761" s="152"/>
      <c r="Y761" s="153"/>
      <c r="Z761" s="153"/>
    </row>
    <row r="762" spans="11:26" ht="12.75" hidden="1" customHeight="1" x14ac:dyDescent="0.2">
      <c r="K762" s="152"/>
      <c r="L762" s="152"/>
      <c r="Y762" s="153"/>
      <c r="Z762" s="153"/>
    </row>
    <row r="763" spans="11:26" ht="12.75" hidden="1" customHeight="1" x14ac:dyDescent="0.2">
      <c r="K763" s="152"/>
      <c r="L763" s="152"/>
      <c r="Y763" s="153"/>
      <c r="Z763" s="153"/>
    </row>
    <row r="764" spans="11:26" ht="12.75" hidden="1" customHeight="1" x14ac:dyDescent="0.2">
      <c r="K764" s="152"/>
      <c r="L764" s="152"/>
      <c r="Y764" s="153"/>
      <c r="Z764" s="153"/>
    </row>
    <row r="765" spans="11:26" ht="12.75" hidden="1" customHeight="1" x14ac:dyDescent="0.2">
      <c r="K765" s="152"/>
      <c r="L765" s="152"/>
      <c r="Y765" s="153"/>
      <c r="Z765" s="153"/>
    </row>
    <row r="766" spans="11:26" ht="12.75" hidden="1" customHeight="1" x14ac:dyDescent="0.2">
      <c r="K766" s="152"/>
      <c r="L766" s="152"/>
      <c r="Y766" s="153"/>
      <c r="Z766" s="153"/>
    </row>
    <row r="767" spans="11:26" ht="12.75" hidden="1" customHeight="1" x14ac:dyDescent="0.2">
      <c r="K767" s="152"/>
      <c r="L767" s="152"/>
      <c r="Y767" s="153"/>
      <c r="Z767" s="153"/>
    </row>
    <row r="768" spans="11:26" ht="12.75" hidden="1" customHeight="1" x14ac:dyDescent="0.2">
      <c r="K768" s="152"/>
      <c r="L768" s="152"/>
      <c r="Y768" s="153"/>
      <c r="Z768" s="153"/>
    </row>
    <row r="769" spans="11:26" ht="12.75" hidden="1" customHeight="1" x14ac:dyDescent="0.2">
      <c r="K769" s="152"/>
      <c r="L769" s="152"/>
      <c r="Y769" s="153"/>
      <c r="Z769" s="153"/>
    </row>
    <row r="770" spans="11:26" ht="12.75" hidden="1" customHeight="1" x14ac:dyDescent="0.2">
      <c r="K770" s="152"/>
      <c r="L770" s="152"/>
      <c r="Y770" s="153"/>
      <c r="Z770" s="153"/>
    </row>
    <row r="771" spans="11:26" ht="12.75" hidden="1" customHeight="1" x14ac:dyDescent="0.2">
      <c r="K771" s="152"/>
      <c r="L771" s="152"/>
      <c r="Y771" s="153"/>
      <c r="Z771" s="153"/>
    </row>
    <row r="772" spans="11:26" ht="12.75" hidden="1" customHeight="1" x14ac:dyDescent="0.2">
      <c r="K772" s="152"/>
      <c r="L772" s="152"/>
      <c r="Y772" s="153"/>
      <c r="Z772" s="153"/>
    </row>
    <row r="773" spans="11:26" ht="12.75" hidden="1" customHeight="1" x14ac:dyDescent="0.2">
      <c r="K773" s="152"/>
      <c r="L773" s="152"/>
      <c r="Y773" s="153"/>
      <c r="Z773" s="153"/>
    </row>
    <row r="774" spans="11:26" ht="12.75" hidden="1" customHeight="1" x14ac:dyDescent="0.2">
      <c r="K774" s="152"/>
      <c r="L774" s="152"/>
      <c r="Y774" s="153"/>
      <c r="Z774" s="153"/>
    </row>
    <row r="775" spans="11:26" ht="12.75" hidden="1" customHeight="1" x14ac:dyDescent="0.2">
      <c r="K775" s="152"/>
      <c r="L775" s="152"/>
      <c r="Y775" s="153"/>
      <c r="Z775" s="153"/>
    </row>
    <row r="776" spans="11:26" ht="12.75" hidden="1" customHeight="1" x14ac:dyDescent="0.2">
      <c r="K776" s="152"/>
      <c r="L776" s="152"/>
      <c r="Y776" s="153"/>
      <c r="Z776" s="153"/>
    </row>
    <row r="777" spans="11:26" ht="12.75" hidden="1" customHeight="1" x14ac:dyDescent="0.2">
      <c r="K777" s="152"/>
      <c r="L777" s="152"/>
      <c r="Y777" s="153"/>
      <c r="Z777" s="153"/>
    </row>
    <row r="778" spans="11:26" ht="12.75" hidden="1" customHeight="1" x14ac:dyDescent="0.2">
      <c r="K778" s="152"/>
      <c r="L778" s="152"/>
      <c r="Y778" s="153"/>
      <c r="Z778" s="153"/>
    </row>
    <row r="779" spans="11:26" ht="12.75" hidden="1" customHeight="1" x14ac:dyDescent="0.2">
      <c r="K779" s="152"/>
      <c r="L779" s="152"/>
      <c r="Y779" s="153"/>
      <c r="Z779" s="153"/>
    </row>
    <row r="780" spans="11:26" ht="12.75" hidden="1" customHeight="1" x14ac:dyDescent="0.2">
      <c r="K780" s="152"/>
      <c r="L780" s="152"/>
      <c r="Y780" s="153"/>
      <c r="Z780" s="153"/>
    </row>
    <row r="781" spans="11:26" ht="12.75" hidden="1" customHeight="1" x14ac:dyDescent="0.2">
      <c r="K781" s="152"/>
      <c r="L781" s="152"/>
      <c r="Y781" s="153"/>
      <c r="Z781" s="153"/>
    </row>
    <row r="782" spans="11:26" ht="12.75" hidden="1" customHeight="1" x14ac:dyDescent="0.2">
      <c r="K782" s="152"/>
      <c r="L782" s="152"/>
      <c r="Y782" s="153"/>
      <c r="Z782" s="153"/>
    </row>
    <row r="783" spans="11:26" ht="12.75" hidden="1" customHeight="1" x14ac:dyDescent="0.2">
      <c r="K783" s="152"/>
      <c r="L783" s="152"/>
      <c r="Y783" s="153"/>
      <c r="Z783" s="153"/>
    </row>
    <row r="784" spans="11:26" ht="12.75" hidden="1" customHeight="1" x14ac:dyDescent="0.2">
      <c r="K784" s="152"/>
      <c r="L784" s="152"/>
      <c r="Y784" s="153"/>
      <c r="Z784" s="153"/>
    </row>
    <row r="785" spans="11:26" ht="12.75" hidden="1" customHeight="1" x14ac:dyDescent="0.2">
      <c r="K785" s="152"/>
      <c r="L785" s="152"/>
      <c r="Y785" s="153"/>
      <c r="Z785" s="153"/>
    </row>
    <row r="786" spans="11:26" ht="12.75" hidden="1" customHeight="1" x14ac:dyDescent="0.2">
      <c r="K786" s="152"/>
      <c r="L786" s="152"/>
      <c r="Y786" s="153"/>
      <c r="Z786" s="153"/>
    </row>
    <row r="787" spans="11:26" ht="12.75" hidden="1" customHeight="1" x14ac:dyDescent="0.2">
      <c r="K787" s="152"/>
      <c r="L787" s="152"/>
      <c r="Y787" s="153"/>
      <c r="Z787" s="153"/>
    </row>
    <row r="788" spans="11:26" ht="12.75" hidden="1" customHeight="1" x14ac:dyDescent="0.2">
      <c r="K788" s="152"/>
      <c r="L788" s="152"/>
      <c r="Y788" s="153"/>
      <c r="Z788" s="153"/>
    </row>
    <row r="789" spans="11:26" ht="12.75" hidden="1" customHeight="1" x14ac:dyDescent="0.2">
      <c r="K789" s="152"/>
      <c r="L789" s="152"/>
      <c r="Y789" s="153"/>
      <c r="Z789" s="153"/>
    </row>
    <row r="790" spans="11:26" ht="12.75" hidden="1" customHeight="1" x14ac:dyDescent="0.2">
      <c r="K790" s="152"/>
      <c r="L790" s="152"/>
      <c r="Y790" s="153"/>
      <c r="Z790" s="153"/>
    </row>
    <row r="791" spans="11:26" ht="12.75" hidden="1" customHeight="1" x14ac:dyDescent="0.2">
      <c r="K791" s="152"/>
      <c r="L791" s="152"/>
      <c r="Y791" s="153"/>
      <c r="Z791" s="153"/>
    </row>
    <row r="792" spans="11:26" ht="12.75" hidden="1" customHeight="1" x14ac:dyDescent="0.2">
      <c r="K792" s="152"/>
      <c r="L792" s="152"/>
      <c r="Y792" s="153"/>
      <c r="Z792" s="153"/>
    </row>
    <row r="793" spans="11:26" ht="12.75" hidden="1" customHeight="1" x14ac:dyDescent="0.2">
      <c r="K793" s="152"/>
      <c r="L793" s="152"/>
      <c r="Y793" s="153"/>
      <c r="Z793" s="153"/>
    </row>
    <row r="794" spans="11:26" ht="12.75" hidden="1" customHeight="1" x14ac:dyDescent="0.2">
      <c r="K794" s="152"/>
      <c r="L794" s="152"/>
      <c r="Y794" s="153"/>
      <c r="Z794" s="153"/>
    </row>
    <row r="795" spans="11:26" ht="12.75" hidden="1" customHeight="1" x14ac:dyDescent="0.2">
      <c r="K795" s="152"/>
      <c r="L795" s="152"/>
      <c r="Y795" s="153"/>
      <c r="Z795" s="153"/>
    </row>
    <row r="796" spans="11:26" ht="12.75" hidden="1" customHeight="1" x14ac:dyDescent="0.2">
      <c r="K796" s="152"/>
      <c r="L796" s="152"/>
      <c r="Y796" s="153"/>
      <c r="Z796" s="153"/>
    </row>
    <row r="797" spans="11:26" ht="12.75" hidden="1" customHeight="1" x14ac:dyDescent="0.2">
      <c r="K797" s="152"/>
      <c r="L797" s="152"/>
      <c r="Y797" s="153"/>
      <c r="Z797" s="153"/>
    </row>
    <row r="798" spans="11:26" ht="12.75" hidden="1" customHeight="1" x14ac:dyDescent="0.2">
      <c r="K798" s="152"/>
      <c r="L798" s="152"/>
      <c r="Y798" s="153"/>
      <c r="Z798" s="153"/>
    </row>
    <row r="799" spans="11:26" ht="12.75" hidden="1" customHeight="1" x14ac:dyDescent="0.2">
      <c r="K799" s="152"/>
      <c r="L799" s="152"/>
      <c r="Y799" s="153"/>
      <c r="Z799" s="153"/>
    </row>
    <row r="800" spans="11:26" ht="12.75" hidden="1" customHeight="1" x14ac:dyDescent="0.2">
      <c r="K800" s="152"/>
      <c r="L800" s="152"/>
      <c r="Y800" s="153"/>
      <c r="Z800" s="153"/>
    </row>
    <row r="801" spans="11:26" ht="12.75" hidden="1" customHeight="1" x14ac:dyDescent="0.2">
      <c r="K801" s="152"/>
      <c r="L801" s="152"/>
      <c r="Y801" s="153"/>
      <c r="Z801" s="153"/>
    </row>
    <row r="802" spans="11:26" ht="12.75" hidden="1" customHeight="1" x14ac:dyDescent="0.2">
      <c r="K802" s="152"/>
      <c r="L802" s="152"/>
      <c r="Y802" s="153"/>
      <c r="Z802" s="153"/>
    </row>
    <row r="803" spans="11:26" ht="12.75" hidden="1" customHeight="1" x14ac:dyDescent="0.2">
      <c r="K803" s="152"/>
      <c r="L803" s="152"/>
      <c r="Y803" s="153"/>
      <c r="Z803" s="153"/>
    </row>
    <row r="804" spans="11:26" ht="12.75" hidden="1" customHeight="1" x14ac:dyDescent="0.2">
      <c r="K804" s="152"/>
      <c r="L804" s="152"/>
      <c r="Y804" s="153"/>
      <c r="Z804" s="153"/>
    </row>
    <row r="805" spans="11:26" ht="12.75" hidden="1" customHeight="1" x14ac:dyDescent="0.2">
      <c r="K805" s="152"/>
      <c r="L805" s="152"/>
      <c r="Y805" s="153"/>
      <c r="Z805" s="153"/>
    </row>
    <row r="806" spans="11:26" ht="12.75" hidden="1" customHeight="1" x14ac:dyDescent="0.2">
      <c r="K806" s="152"/>
      <c r="L806" s="152"/>
      <c r="Y806" s="153"/>
      <c r="Z806" s="153"/>
    </row>
    <row r="807" spans="11:26" ht="12.75" hidden="1" customHeight="1" x14ac:dyDescent="0.2">
      <c r="K807" s="152"/>
      <c r="L807" s="152"/>
      <c r="Y807" s="153"/>
      <c r="Z807" s="153"/>
    </row>
    <row r="808" spans="11:26" ht="12.75" hidden="1" customHeight="1" x14ac:dyDescent="0.2">
      <c r="K808" s="152"/>
      <c r="L808" s="152"/>
      <c r="Y808" s="153"/>
      <c r="Z808" s="153"/>
    </row>
    <row r="809" spans="11:26" ht="12.75" hidden="1" customHeight="1" x14ac:dyDescent="0.2">
      <c r="K809" s="152"/>
      <c r="L809" s="152"/>
      <c r="Y809" s="153"/>
      <c r="Z809" s="153"/>
    </row>
    <row r="810" spans="11:26" ht="12.75" hidden="1" customHeight="1" x14ac:dyDescent="0.2">
      <c r="K810" s="152"/>
      <c r="L810" s="152"/>
      <c r="Y810" s="153"/>
      <c r="Z810" s="153"/>
    </row>
    <row r="811" spans="11:26" ht="12.75" hidden="1" customHeight="1" x14ac:dyDescent="0.2">
      <c r="K811" s="152"/>
      <c r="L811" s="152"/>
      <c r="Y811" s="153"/>
      <c r="Z811" s="153"/>
    </row>
    <row r="812" spans="11:26" ht="12.75" hidden="1" customHeight="1" x14ac:dyDescent="0.2">
      <c r="K812" s="152"/>
      <c r="L812" s="152"/>
      <c r="Y812" s="153"/>
      <c r="Z812" s="153"/>
    </row>
    <row r="813" spans="11:26" ht="12.75" hidden="1" customHeight="1" x14ac:dyDescent="0.2">
      <c r="K813" s="152"/>
      <c r="L813" s="152"/>
      <c r="Y813" s="153"/>
      <c r="Z813" s="153"/>
    </row>
    <row r="814" spans="11:26" ht="12.75" hidden="1" customHeight="1" x14ac:dyDescent="0.2">
      <c r="K814" s="152"/>
      <c r="L814" s="152"/>
      <c r="Y814" s="153"/>
      <c r="Z814" s="153"/>
    </row>
    <row r="815" spans="11:26" ht="12.75" hidden="1" customHeight="1" x14ac:dyDescent="0.2">
      <c r="K815" s="152"/>
      <c r="L815" s="152"/>
      <c r="Y815" s="153"/>
      <c r="Z815" s="153"/>
    </row>
    <row r="816" spans="11:26" ht="12.75" hidden="1" customHeight="1" x14ac:dyDescent="0.2">
      <c r="K816" s="152"/>
      <c r="L816" s="152"/>
      <c r="Y816" s="153"/>
      <c r="Z816" s="153"/>
    </row>
    <row r="817" spans="11:26" ht="12.75" hidden="1" customHeight="1" x14ac:dyDescent="0.2">
      <c r="K817" s="152"/>
      <c r="L817" s="152"/>
      <c r="Y817" s="153"/>
      <c r="Z817" s="153"/>
    </row>
    <row r="818" spans="11:26" ht="12.75" hidden="1" customHeight="1" x14ac:dyDescent="0.2">
      <c r="K818" s="152"/>
      <c r="L818" s="152"/>
      <c r="Y818" s="153"/>
      <c r="Z818" s="153"/>
    </row>
    <row r="819" spans="11:26" ht="12.75" hidden="1" customHeight="1" x14ac:dyDescent="0.2">
      <c r="K819" s="152"/>
      <c r="L819" s="152"/>
      <c r="Y819" s="153"/>
      <c r="Z819" s="153"/>
    </row>
    <row r="820" spans="11:26" ht="12.75" hidden="1" customHeight="1" x14ac:dyDescent="0.2">
      <c r="K820" s="152"/>
      <c r="L820" s="152"/>
      <c r="Y820" s="153"/>
      <c r="Z820" s="153"/>
    </row>
    <row r="821" spans="11:26" ht="12.75" hidden="1" customHeight="1" x14ac:dyDescent="0.2">
      <c r="K821" s="152"/>
      <c r="L821" s="152"/>
      <c r="Y821" s="153"/>
      <c r="Z821" s="153"/>
    </row>
    <row r="822" spans="11:26" ht="12.75" hidden="1" customHeight="1" x14ac:dyDescent="0.2">
      <c r="K822" s="152"/>
      <c r="L822" s="152"/>
      <c r="Y822" s="153"/>
      <c r="Z822" s="153"/>
    </row>
    <row r="823" spans="11:26" ht="12.75" hidden="1" customHeight="1" x14ac:dyDescent="0.2">
      <c r="K823" s="152"/>
      <c r="L823" s="152"/>
      <c r="Y823" s="153"/>
      <c r="Z823" s="153"/>
    </row>
    <row r="824" spans="11:26" ht="12.75" hidden="1" customHeight="1" x14ac:dyDescent="0.2">
      <c r="K824" s="152"/>
      <c r="L824" s="152"/>
      <c r="Y824" s="153"/>
      <c r="Z824" s="153"/>
    </row>
    <row r="825" spans="11:26" ht="12.75" hidden="1" customHeight="1" x14ac:dyDescent="0.2">
      <c r="K825" s="152"/>
      <c r="L825" s="152"/>
      <c r="Y825" s="153"/>
      <c r="Z825" s="153"/>
    </row>
    <row r="826" spans="11:26" ht="12.75" hidden="1" customHeight="1" x14ac:dyDescent="0.2">
      <c r="K826" s="152"/>
      <c r="L826" s="152"/>
      <c r="Y826" s="153"/>
      <c r="Z826" s="153"/>
    </row>
    <row r="827" spans="11:26" ht="12.75" hidden="1" customHeight="1" x14ac:dyDescent="0.2">
      <c r="K827" s="152"/>
      <c r="L827" s="152"/>
      <c r="Y827" s="153"/>
      <c r="Z827" s="153"/>
    </row>
    <row r="828" spans="11:26" ht="12.75" hidden="1" customHeight="1" x14ac:dyDescent="0.2">
      <c r="K828" s="152"/>
      <c r="L828" s="152"/>
      <c r="Y828" s="153"/>
      <c r="Z828" s="153"/>
    </row>
    <row r="829" spans="11:26" ht="12.75" hidden="1" customHeight="1" x14ac:dyDescent="0.2">
      <c r="K829" s="152"/>
      <c r="L829" s="152"/>
      <c r="Y829" s="153"/>
      <c r="Z829" s="153"/>
    </row>
    <row r="830" spans="11:26" ht="12.75" hidden="1" customHeight="1" x14ac:dyDescent="0.2">
      <c r="K830" s="152"/>
      <c r="L830" s="152"/>
      <c r="Y830" s="153"/>
      <c r="Z830" s="153"/>
    </row>
    <row r="831" spans="11:26" ht="12.75" hidden="1" customHeight="1" x14ac:dyDescent="0.2">
      <c r="K831" s="152"/>
      <c r="L831" s="152"/>
      <c r="Y831" s="153"/>
      <c r="Z831" s="153"/>
    </row>
    <row r="832" spans="11:26" ht="12.75" hidden="1" customHeight="1" x14ac:dyDescent="0.2">
      <c r="K832" s="152"/>
      <c r="L832" s="152"/>
      <c r="Y832" s="153"/>
      <c r="Z832" s="153"/>
    </row>
    <row r="833" spans="11:26" ht="12.75" hidden="1" customHeight="1" x14ac:dyDescent="0.2">
      <c r="K833" s="152"/>
      <c r="L833" s="152"/>
      <c r="Y833" s="153"/>
      <c r="Z833" s="153"/>
    </row>
    <row r="834" spans="11:26" ht="12.75" hidden="1" customHeight="1" x14ac:dyDescent="0.2">
      <c r="K834" s="152"/>
      <c r="L834" s="152"/>
      <c r="Y834" s="153"/>
      <c r="Z834" s="153"/>
    </row>
    <row r="835" spans="11:26" ht="12.75" hidden="1" customHeight="1" x14ac:dyDescent="0.2">
      <c r="K835" s="152"/>
      <c r="L835" s="152"/>
      <c r="Y835" s="153"/>
      <c r="Z835" s="153"/>
    </row>
    <row r="836" spans="11:26" ht="12.75" hidden="1" customHeight="1" x14ac:dyDescent="0.2">
      <c r="K836" s="152"/>
      <c r="L836" s="152"/>
      <c r="Y836" s="153"/>
      <c r="Z836" s="153"/>
    </row>
    <row r="837" spans="11:26" ht="12.75" hidden="1" customHeight="1" x14ac:dyDescent="0.2">
      <c r="K837" s="152"/>
      <c r="L837" s="152"/>
      <c r="Y837" s="153"/>
      <c r="Z837" s="153"/>
    </row>
    <row r="838" spans="11:26" ht="12.75" hidden="1" customHeight="1" x14ac:dyDescent="0.2">
      <c r="K838" s="152"/>
      <c r="L838" s="152"/>
      <c r="Y838" s="153"/>
      <c r="Z838" s="153"/>
    </row>
    <row r="839" spans="11:26" ht="12.75" hidden="1" customHeight="1" x14ac:dyDescent="0.2">
      <c r="K839" s="152"/>
      <c r="L839" s="152"/>
      <c r="Y839" s="153"/>
      <c r="Z839" s="153"/>
    </row>
    <row r="840" spans="11:26" ht="12.75" hidden="1" customHeight="1" x14ac:dyDescent="0.2">
      <c r="K840" s="152"/>
      <c r="L840" s="152"/>
      <c r="Y840" s="153"/>
      <c r="Z840" s="153"/>
    </row>
    <row r="841" spans="11:26" ht="12.75" hidden="1" customHeight="1" x14ac:dyDescent="0.2">
      <c r="K841" s="152"/>
      <c r="L841" s="152"/>
      <c r="Y841" s="153"/>
      <c r="Z841" s="153"/>
    </row>
    <row r="842" spans="11:26" ht="12.75" hidden="1" customHeight="1" x14ac:dyDescent="0.2">
      <c r="K842" s="152"/>
      <c r="L842" s="152"/>
      <c r="Y842" s="153"/>
      <c r="Z842" s="153"/>
    </row>
    <row r="843" spans="11:26" ht="12.75" hidden="1" customHeight="1" x14ac:dyDescent="0.2">
      <c r="K843" s="152"/>
      <c r="L843" s="152"/>
      <c r="Y843" s="153"/>
      <c r="Z843" s="153"/>
    </row>
    <row r="844" spans="11:26" ht="12.75" hidden="1" customHeight="1" x14ac:dyDescent="0.2">
      <c r="K844" s="152"/>
      <c r="L844" s="152"/>
      <c r="Y844" s="153"/>
      <c r="Z844" s="153"/>
    </row>
    <row r="845" spans="11:26" ht="12.75" hidden="1" customHeight="1" x14ac:dyDescent="0.2">
      <c r="K845" s="152"/>
      <c r="L845" s="152"/>
      <c r="Y845" s="153"/>
      <c r="Z845" s="153"/>
    </row>
    <row r="846" spans="11:26" ht="12.75" hidden="1" customHeight="1" x14ac:dyDescent="0.2">
      <c r="K846" s="152"/>
      <c r="L846" s="152"/>
      <c r="Y846" s="153"/>
      <c r="Z846" s="153"/>
    </row>
    <row r="847" spans="11:26" ht="12.75" hidden="1" customHeight="1" x14ac:dyDescent="0.2">
      <c r="K847" s="152"/>
      <c r="L847" s="152"/>
      <c r="Y847" s="153"/>
      <c r="Z847" s="153"/>
    </row>
    <row r="848" spans="11:26" ht="12.75" hidden="1" customHeight="1" x14ac:dyDescent="0.2">
      <c r="K848" s="152"/>
      <c r="L848" s="152"/>
      <c r="Y848" s="153"/>
      <c r="Z848" s="153"/>
    </row>
    <row r="849" spans="11:26" ht="12.75" hidden="1" customHeight="1" x14ac:dyDescent="0.2">
      <c r="K849" s="152"/>
      <c r="L849" s="152"/>
      <c r="Y849" s="153"/>
      <c r="Z849" s="153"/>
    </row>
    <row r="850" spans="11:26" ht="12.75" hidden="1" customHeight="1" x14ac:dyDescent="0.2">
      <c r="K850" s="152"/>
      <c r="L850" s="152"/>
      <c r="Y850" s="153"/>
      <c r="Z850" s="153"/>
    </row>
    <row r="851" spans="11:26" ht="12.75" hidden="1" customHeight="1" x14ac:dyDescent="0.2">
      <c r="K851" s="152"/>
      <c r="L851" s="152"/>
      <c r="Y851" s="153"/>
      <c r="Z851" s="153"/>
    </row>
    <row r="852" spans="11:26" ht="12.75" hidden="1" customHeight="1" x14ac:dyDescent="0.2">
      <c r="K852" s="152"/>
      <c r="L852" s="152"/>
      <c r="Y852" s="153"/>
      <c r="Z852" s="153"/>
    </row>
    <row r="853" spans="11:26" ht="12.75" hidden="1" customHeight="1" x14ac:dyDescent="0.2">
      <c r="K853" s="152"/>
      <c r="L853" s="152"/>
      <c r="Y853" s="153"/>
      <c r="Z853" s="153"/>
    </row>
    <row r="854" spans="11:26" ht="12.75" hidden="1" customHeight="1" x14ac:dyDescent="0.2">
      <c r="K854" s="152"/>
      <c r="L854" s="152"/>
      <c r="Y854" s="153"/>
      <c r="Z854" s="153"/>
    </row>
    <row r="855" spans="11:26" ht="12.75" hidden="1" customHeight="1" x14ac:dyDescent="0.2">
      <c r="K855" s="152"/>
      <c r="L855" s="152"/>
      <c r="Y855" s="153"/>
      <c r="Z855" s="153"/>
    </row>
    <row r="856" spans="11:26" ht="12.75" hidden="1" customHeight="1" x14ac:dyDescent="0.2">
      <c r="K856" s="152"/>
      <c r="L856" s="152"/>
      <c r="Y856" s="153"/>
      <c r="Z856" s="153"/>
    </row>
    <row r="857" spans="11:26" ht="12.75" hidden="1" customHeight="1" x14ac:dyDescent="0.2">
      <c r="K857" s="152"/>
      <c r="L857" s="152"/>
      <c r="Y857" s="153"/>
      <c r="Z857" s="153"/>
    </row>
    <row r="858" spans="11:26" ht="12.75" hidden="1" customHeight="1" x14ac:dyDescent="0.2">
      <c r="K858" s="152"/>
      <c r="L858" s="152"/>
      <c r="Y858" s="153"/>
      <c r="Z858" s="153"/>
    </row>
    <row r="859" spans="11:26" ht="12.75" hidden="1" customHeight="1" x14ac:dyDescent="0.2">
      <c r="K859" s="152"/>
      <c r="L859" s="152"/>
      <c r="Y859" s="153"/>
      <c r="Z859" s="153"/>
    </row>
    <row r="860" spans="11:26" ht="12.75" hidden="1" customHeight="1" x14ac:dyDescent="0.2">
      <c r="K860" s="152"/>
      <c r="L860" s="152"/>
      <c r="Y860" s="153"/>
      <c r="Z860" s="153"/>
    </row>
    <row r="861" spans="11:26" ht="12.75" hidden="1" customHeight="1" x14ac:dyDescent="0.2">
      <c r="K861" s="152"/>
      <c r="L861" s="152"/>
      <c r="Y861" s="153"/>
      <c r="Z861" s="153"/>
    </row>
    <row r="862" spans="11:26" ht="12.75" hidden="1" customHeight="1" x14ac:dyDescent="0.2">
      <c r="K862" s="152"/>
      <c r="L862" s="152"/>
      <c r="Y862" s="153"/>
      <c r="Z862" s="153"/>
    </row>
    <row r="863" spans="11:26" ht="12.75" hidden="1" customHeight="1" x14ac:dyDescent="0.2">
      <c r="K863" s="152"/>
      <c r="L863" s="152"/>
      <c r="Y863" s="153"/>
      <c r="Z863" s="153"/>
    </row>
    <row r="864" spans="11:26" ht="12.75" hidden="1" customHeight="1" x14ac:dyDescent="0.2">
      <c r="K864" s="152"/>
      <c r="L864" s="152"/>
      <c r="Y864" s="153"/>
      <c r="Z864" s="153"/>
    </row>
    <row r="865" spans="11:26" ht="12.75" hidden="1" customHeight="1" x14ac:dyDescent="0.2">
      <c r="K865" s="152"/>
      <c r="L865" s="152"/>
      <c r="Y865" s="153"/>
      <c r="Z865" s="153"/>
    </row>
    <row r="866" spans="11:26" ht="12.75" hidden="1" customHeight="1" x14ac:dyDescent="0.2">
      <c r="K866" s="152"/>
      <c r="L866" s="152"/>
      <c r="Y866" s="153"/>
      <c r="Z866" s="153"/>
    </row>
    <row r="867" spans="11:26" ht="12.75" hidden="1" customHeight="1" x14ac:dyDescent="0.2">
      <c r="K867" s="152"/>
      <c r="L867" s="152"/>
      <c r="Y867" s="153"/>
      <c r="Z867" s="153"/>
    </row>
    <row r="868" spans="11:26" ht="12.75" hidden="1" customHeight="1" x14ac:dyDescent="0.2">
      <c r="K868" s="152"/>
      <c r="L868" s="152"/>
      <c r="Y868" s="153"/>
      <c r="Z868" s="153"/>
    </row>
    <row r="869" spans="11:26" ht="12.75" hidden="1" customHeight="1" x14ac:dyDescent="0.2">
      <c r="K869" s="152"/>
      <c r="L869" s="152"/>
      <c r="Y869" s="153"/>
      <c r="Z869" s="153"/>
    </row>
    <row r="870" spans="11:26" ht="12.75" hidden="1" customHeight="1" x14ac:dyDescent="0.2">
      <c r="K870" s="152"/>
      <c r="L870" s="152"/>
      <c r="Y870" s="153"/>
      <c r="Z870" s="153"/>
    </row>
    <row r="871" spans="11:26" ht="12.75" hidden="1" customHeight="1" x14ac:dyDescent="0.2">
      <c r="K871" s="152"/>
      <c r="L871" s="152"/>
      <c r="Y871" s="153"/>
      <c r="Z871" s="153"/>
    </row>
    <row r="872" spans="11:26" ht="12.75" hidden="1" customHeight="1" x14ac:dyDescent="0.2">
      <c r="K872" s="152"/>
      <c r="L872" s="152"/>
      <c r="Y872" s="153"/>
      <c r="Z872" s="153"/>
    </row>
    <row r="873" spans="11:26" ht="12.75" hidden="1" customHeight="1" x14ac:dyDescent="0.2">
      <c r="K873" s="152"/>
      <c r="L873" s="152"/>
      <c r="Y873" s="153"/>
      <c r="Z873" s="153"/>
    </row>
    <row r="874" spans="11:26" ht="12.75" hidden="1" customHeight="1" x14ac:dyDescent="0.2">
      <c r="K874" s="152"/>
      <c r="L874" s="152"/>
      <c r="Y874" s="153"/>
      <c r="Z874" s="153"/>
    </row>
    <row r="875" spans="11:26" ht="12.75" hidden="1" customHeight="1" x14ac:dyDescent="0.2">
      <c r="K875" s="152"/>
      <c r="L875" s="152"/>
      <c r="Y875" s="153"/>
      <c r="Z875" s="153"/>
    </row>
    <row r="876" spans="11:26" ht="12.75" hidden="1" customHeight="1" x14ac:dyDescent="0.2">
      <c r="K876" s="152"/>
      <c r="L876" s="152"/>
      <c r="Y876" s="153"/>
      <c r="Z876" s="153"/>
    </row>
    <row r="877" spans="11:26" ht="12.75" hidden="1" customHeight="1" x14ac:dyDescent="0.2">
      <c r="K877" s="152"/>
      <c r="L877" s="152"/>
      <c r="Y877" s="153"/>
      <c r="Z877" s="153"/>
    </row>
    <row r="878" spans="11:26" ht="12.75" hidden="1" customHeight="1" x14ac:dyDescent="0.2">
      <c r="K878" s="152"/>
      <c r="L878" s="152"/>
      <c r="Y878" s="153"/>
      <c r="Z878" s="153"/>
    </row>
    <row r="879" spans="11:26" ht="12.75" hidden="1" customHeight="1" x14ac:dyDescent="0.2">
      <c r="K879" s="152"/>
      <c r="L879" s="152"/>
      <c r="Y879" s="153"/>
      <c r="Z879" s="153"/>
    </row>
    <row r="880" spans="11:26" ht="12.75" hidden="1" customHeight="1" x14ac:dyDescent="0.2">
      <c r="K880" s="152"/>
      <c r="L880" s="152"/>
      <c r="Y880" s="153"/>
      <c r="Z880" s="153"/>
    </row>
    <row r="881" spans="11:26" ht="12.75" hidden="1" customHeight="1" x14ac:dyDescent="0.2">
      <c r="K881" s="152"/>
      <c r="L881" s="152"/>
      <c r="Y881" s="153"/>
      <c r="Z881" s="153"/>
    </row>
    <row r="882" spans="11:26" ht="12.75" hidden="1" customHeight="1" x14ac:dyDescent="0.2">
      <c r="K882" s="152"/>
      <c r="L882" s="152"/>
      <c r="Y882" s="153"/>
      <c r="Z882" s="153"/>
    </row>
    <row r="883" spans="11:26" ht="12.75" hidden="1" customHeight="1" x14ac:dyDescent="0.2">
      <c r="K883" s="152"/>
      <c r="L883" s="152"/>
      <c r="Y883" s="153"/>
      <c r="Z883" s="153"/>
    </row>
    <row r="884" spans="11:26" ht="12.75" hidden="1" customHeight="1" x14ac:dyDescent="0.2">
      <c r="K884" s="152"/>
      <c r="L884" s="152"/>
      <c r="Y884" s="153"/>
      <c r="Z884" s="153"/>
    </row>
    <row r="885" spans="11:26" ht="12.75" hidden="1" customHeight="1" x14ac:dyDescent="0.2">
      <c r="K885" s="152"/>
      <c r="L885" s="152"/>
      <c r="Y885" s="153"/>
      <c r="Z885" s="153"/>
    </row>
    <row r="886" spans="11:26" ht="12.75" hidden="1" customHeight="1" x14ac:dyDescent="0.2">
      <c r="K886" s="152"/>
      <c r="L886" s="152"/>
      <c r="Y886" s="153"/>
      <c r="Z886" s="153"/>
    </row>
    <row r="887" spans="11:26" ht="12.75" hidden="1" customHeight="1" x14ac:dyDescent="0.2">
      <c r="K887" s="152"/>
      <c r="L887" s="152"/>
      <c r="Y887" s="153"/>
      <c r="Z887" s="153"/>
    </row>
    <row r="888" spans="11:26" ht="12.75" hidden="1" customHeight="1" x14ac:dyDescent="0.2">
      <c r="K888" s="152"/>
      <c r="L888" s="152"/>
      <c r="Y888" s="153"/>
      <c r="Z888" s="153"/>
    </row>
    <row r="889" spans="11:26" ht="12.75" hidden="1" customHeight="1" x14ac:dyDescent="0.2">
      <c r="K889" s="152"/>
      <c r="L889" s="152"/>
      <c r="Y889" s="153"/>
      <c r="Z889" s="153"/>
    </row>
    <row r="890" spans="11:26" ht="12.75" hidden="1" customHeight="1" x14ac:dyDescent="0.2">
      <c r="K890" s="152"/>
      <c r="L890" s="152"/>
      <c r="Y890" s="153"/>
      <c r="Z890" s="153"/>
    </row>
    <row r="891" spans="11:26" ht="12.75" hidden="1" customHeight="1" x14ac:dyDescent="0.2">
      <c r="K891" s="152"/>
      <c r="L891" s="152"/>
      <c r="Y891" s="153"/>
      <c r="Z891" s="153"/>
    </row>
    <row r="892" spans="11:26" ht="12.75" hidden="1" customHeight="1" x14ac:dyDescent="0.2">
      <c r="K892" s="152"/>
      <c r="L892" s="152"/>
      <c r="Y892" s="153"/>
      <c r="Z892" s="153"/>
    </row>
    <row r="893" spans="11:26" ht="12.75" hidden="1" customHeight="1" x14ac:dyDescent="0.2">
      <c r="K893" s="152"/>
      <c r="L893" s="152"/>
      <c r="Y893" s="153"/>
      <c r="Z893" s="153"/>
    </row>
    <row r="894" spans="11:26" ht="12.75" hidden="1" customHeight="1" x14ac:dyDescent="0.2">
      <c r="K894" s="152"/>
      <c r="L894" s="152"/>
      <c r="Y894" s="153"/>
      <c r="Z894" s="153"/>
    </row>
    <row r="895" spans="11:26" ht="12.75" hidden="1" customHeight="1" x14ac:dyDescent="0.2">
      <c r="K895" s="152"/>
      <c r="L895" s="152"/>
      <c r="Y895" s="153"/>
      <c r="Z895" s="153"/>
    </row>
    <row r="896" spans="11:26" ht="12.75" hidden="1" customHeight="1" x14ac:dyDescent="0.2">
      <c r="K896" s="152"/>
      <c r="L896" s="152"/>
      <c r="Y896" s="153"/>
      <c r="Z896" s="153"/>
    </row>
    <row r="897" spans="11:26" ht="12.75" hidden="1" customHeight="1" x14ac:dyDescent="0.2">
      <c r="K897" s="152"/>
      <c r="L897" s="152"/>
      <c r="Y897" s="153"/>
      <c r="Z897" s="153"/>
    </row>
    <row r="898" spans="11:26" ht="12.75" hidden="1" customHeight="1" x14ac:dyDescent="0.2">
      <c r="K898" s="152"/>
      <c r="L898" s="152"/>
      <c r="Y898" s="153"/>
      <c r="Z898" s="153"/>
    </row>
    <row r="899" spans="11:26" ht="12.75" hidden="1" customHeight="1" x14ac:dyDescent="0.2">
      <c r="K899" s="152"/>
      <c r="L899" s="152"/>
      <c r="Y899" s="153"/>
      <c r="Z899" s="153"/>
    </row>
    <row r="900" spans="11:26" ht="12.75" hidden="1" customHeight="1" x14ac:dyDescent="0.2">
      <c r="K900" s="152"/>
      <c r="L900" s="152"/>
      <c r="Y900" s="153"/>
      <c r="Z900" s="153"/>
    </row>
    <row r="901" spans="11:26" ht="12.75" hidden="1" customHeight="1" x14ac:dyDescent="0.2">
      <c r="K901" s="152"/>
      <c r="L901" s="152"/>
      <c r="Y901" s="153"/>
      <c r="Z901" s="153"/>
    </row>
    <row r="902" spans="11:26" ht="12.75" hidden="1" customHeight="1" x14ac:dyDescent="0.2">
      <c r="K902" s="152"/>
      <c r="L902" s="152"/>
      <c r="Y902" s="153"/>
      <c r="Z902" s="153"/>
    </row>
    <row r="903" spans="11:26" ht="12.75" hidden="1" customHeight="1" x14ac:dyDescent="0.2">
      <c r="K903" s="152"/>
      <c r="L903" s="152"/>
      <c r="Y903" s="153"/>
      <c r="Z903" s="153"/>
    </row>
    <row r="904" spans="11:26" ht="12.75" hidden="1" customHeight="1" x14ac:dyDescent="0.2">
      <c r="K904" s="152"/>
      <c r="L904" s="152"/>
      <c r="Y904" s="153"/>
      <c r="Z904" s="153"/>
    </row>
    <row r="905" spans="11:26" ht="12.75" hidden="1" customHeight="1" x14ac:dyDescent="0.2">
      <c r="K905" s="152"/>
      <c r="L905" s="152"/>
      <c r="Y905" s="153"/>
      <c r="Z905" s="153"/>
    </row>
    <row r="906" spans="11:26" ht="12.75" hidden="1" customHeight="1" x14ac:dyDescent="0.2">
      <c r="K906" s="152"/>
      <c r="L906" s="152"/>
      <c r="Y906" s="153"/>
      <c r="Z906" s="153"/>
    </row>
    <row r="907" spans="11:26" ht="12.75" hidden="1" customHeight="1" x14ac:dyDescent="0.2">
      <c r="K907" s="152"/>
      <c r="L907" s="152"/>
      <c r="Y907" s="153"/>
      <c r="Z907" s="153"/>
    </row>
    <row r="908" spans="11:26" ht="12.75" hidden="1" customHeight="1" x14ac:dyDescent="0.2">
      <c r="K908" s="152"/>
      <c r="L908" s="152"/>
      <c r="Y908" s="153"/>
      <c r="Z908" s="153"/>
    </row>
    <row r="909" spans="11:26" ht="12.75" hidden="1" customHeight="1" x14ac:dyDescent="0.2">
      <c r="K909" s="152"/>
      <c r="L909" s="152"/>
      <c r="Y909" s="153"/>
      <c r="Z909" s="153"/>
    </row>
    <row r="910" spans="11:26" ht="12.75" hidden="1" customHeight="1" x14ac:dyDescent="0.2">
      <c r="K910" s="152"/>
      <c r="L910" s="152"/>
      <c r="Y910" s="153"/>
      <c r="Z910" s="153"/>
    </row>
    <row r="911" spans="11:26" ht="12.75" hidden="1" customHeight="1" x14ac:dyDescent="0.2">
      <c r="K911" s="152"/>
      <c r="L911" s="152"/>
      <c r="Y911" s="153"/>
      <c r="Z911" s="153"/>
    </row>
    <row r="912" spans="11:26" ht="12.75" hidden="1" customHeight="1" x14ac:dyDescent="0.2">
      <c r="K912" s="152"/>
      <c r="L912" s="152"/>
      <c r="Y912" s="153"/>
      <c r="Z912" s="153"/>
    </row>
    <row r="913" spans="11:26" ht="12.75" hidden="1" customHeight="1" x14ac:dyDescent="0.2">
      <c r="K913" s="152"/>
      <c r="L913" s="152"/>
      <c r="Y913" s="153"/>
      <c r="Z913" s="153"/>
    </row>
    <row r="914" spans="11:26" ht="12.75" hidden="1" customHeight="1" x14ac:dyDescent="0.2">
      <c r="K914" s="152"/>
      <c r="L914" s="152"/>
      <c r="Y914" s="153"/>
      <c r="Z914" s="153"/>
    </row>
    <row r="915" spans="11:26" ht="12.75" hidden="1" customHeight="1" x14ac:dyDescent="0.2">
      <c r="K915" s="152"/>
      <c r="L915" s="152"/>
      <c r="Y915" s="153"/>
      <c r="Z915" s="153"/>
    </row>
    <row r="916" spans="11:26" ht="12.75" hidden="1" customHeight="1" x14ac:dyDescent="0.2">
      <c r="K916" s="152"/>
      <c r="L916" s="152"/>
      <c r="Y916" s="153"/>
      <c r="Z916" s="153"/>
    </row>
    <row r="917" spans="11:26" ht="12.75" hidden="1" customHeight="1" x14ac:dyDescent="0.2">
      <c r="K917" s="152"/>
      <c r="L917" s="152"/>
      <c r="Y917" s="153"/>
      <c r="Z917" s="153"/>
    </row>
    <row r="918" spans="11:26" ht="12.75" hidden="1" customHeight="1" x14ac:dyDescent="0.2">
      <c r="K918" s="152"/>
      <c r="L918" s="152"/>
      <c r="Y918" s="153"/>
      <c r="Z918" s="153"/>
    </row>
    <row r="919" spans="11:26" ht="12.75" hidden="1" customHeight="1" x14ac:dyDescent="0.2">
      <c r="K919" s="152"/>
      <c r="L919" s="152"/>
      <c r="Y919" s="153"/>
      <c r="Z919" s="153"/>
    </row>
    <row r="920" spans="11:26" ht="12.75" hidden="1" customHeight="1" x14ac:dyDescent="0.2">
      <c r="K920" s="152"/>
      <c r="L920" s="152"/>
      <c r="Y920" s="153"/>
      <c r="Z920" s="153"/>
    </row>
    <row r="921" spans="11:26" ht="12.75" hidden="1" customHeight="1" x14ac:dyDescent="0.2">
      <c r="K921" s="152"/>
      <c r="L921" s="152"/>
      <c r="Y921" s="153"/>
      <c r="Z921" s="153"/>
    </row>
    <row r="922" spans="11:26" ht="12.75" hidden="1" customHeight="1" x14ac:dyDescent="0.2">
      <c r="K922" s="152"/>
      <c r="L922" s="152"/>
      <c r="Y922" s="153"/>
      <c r="Z922" s="153"/>
    </row>
    <row r="923" spans="11:26" ht="12.75" hidden="1" customHeight="1" x14ac:dyDescent="0.2">
      <c r="K923" s="152"/>
      <c r="L923" s="152"/>
      <c r="Y923" s="153"/>
      <c r="Z923" s="153"/>
    </row>
    <row r="924" spans="11:26" ht="12.75" hidden="1" customHeight="1" x14ac:dyDescent="0.2">
      <c r="K924" s="152"/>
      <c r="L924" s="152"/>
      <c r="Y924" s="153"/>
      <c r="Z924" s="153"/>
    </row>
    <row r="925" spans="11:26" ht="12.75" hidden="1" customHeight="1" x14ac:dyDescent="0.2">
      <c r="K925" s="152"/>
      <c r="L925" s="152"/>
      <c r="Y925" s="153"/>
      <c r="Z925" s="153"/>
    </row>
    <row r="926" spans="11:26" ht="12.75" hidden="1" customHeight="1" x14ac:dyDescent="0.2">
      <c r="K926" s="152"/>
      <c r="L926" s="152"/>
      <c r="Y926" s="153"/>
      <c r="Z926" s="153"/>
    </row>
    <row r="927" spans="11:26" ht="12.75" hidden="1" customHeight="1" x14ac:dyDescent="0.2">
      <c r="K927" s="152"/>
      <c r="L927" s="152"/>
      <c r="Y927" s="153"/>
      <c r="Z927" s="153"/>
    </row>
    <row r="928" spans="11:26" ht="12.75" hidden="1" customHeight="1" x14ac:dyDescent="0.2">
      <c r="K928" s="152"/>
      <c r="L928" s="152"/>
      <c r="Y928" s="153"/>
      <c r="Z928" s="153"/>
    </row>
    <row r="929" spans="11:26" ht="12.75" hidden="1" customHeight="1" x14ac:dyDescent="0.2">
      <c r="K929" s="152"/>
      <c r="L929" s="152"/>
      <c r="Y929" s="153"/>
      <c r="Z929" s="153"/>
    </row>
    <row r="930" spans="11:26" ht="12.75" hidden="1" customHeight="1" x14ac:dyDescent="0.2">
      <c r="K930" s="152"/>
      <c r="L930" s="152"/>
      <c r="Y930" s="153"/>
      <c r="Z930" s="153"/>
    </row>
    <row r="931" spans="11:26" ht="12.75" hidden="1" customHeight="1" x14ac:dyDescent="0.2">
      <c r="K931" s="152"/>
      <c r="L931" s="152"/>
      <c r="Y931" s="153"/>
      <c r="Z931" s="153"/>
    </row>
    <row r="932" spans="11:26" ht="12.75" hidden="1" customHeight="1" x14ac:dyDescent="0.2">
      <c r="K932" s="152"/>
      <c r="L932" s="152"/>
      <c r="Y932" s="153"/>
      <c r="Z932" s="153"/>
    </row>
    <row r="933" spans="11:26" ht="12.75" hidden="1" customHeight="1" x14ac:dyDescent="0.2">
      <c r="K933" s="152"/>
      <c r="L933" s="152"/>
      <c r="Y933" s="153"/>
      <c r="Z933" s="153"/>
    </row>
    <row r="934" spans="11:26" ht="12.75" hidden="1" customHeight="1" x14ac:dyDescent="0.2">
      <c r="K934" s="152"/>
      <c r="L934" s="152"/>
      <c r="Y934" s="153"/>
      <c r="Z934" s="153"/>
    </row>
    <row r="935" spans="11:26" ht="12.75" hidden="1" customHeight="1" x14ac:dyDescent="0.2">
      <c r="K935" s="152"/>
      <c r="L935" s="152"/>
      <c r="Y935" s="153"/>
      <c r="Z935" s="153"/>
    </row>
    <row r="936" spans="11:26" ht="12.75" hidden="1" customHeight="1" x14ac:dyDescent="0.2">
      <c r="K936" s="152"/>
      <c r="L936" s="152"/>
      <c r="Y936" s="153"/>
      <c r="Z936" s="153"/>
    </row>
    <row r="937" spans="11:26" ht="12.75" hidden="1" customHeight="1" x14ac:dyDescent="0.2">
      <c r="K937" s="152"/>
      <c r="L937" s="152"/>
      <c r="Y937" s="153"/>
      <c r="Z937" s="153"/>
    </row>
    <row r="938" spans="11:26" ht="12.75" hidden="1" customHeight="1" x14ac:dyDescent="0.2">
      <c r="K938" s="152"/>
      <c r="L938" s="152"/>
      <c r="Y938" s="153"/>
      <c r="Z938" s="153"/>
    </row>
    <row r="939" spans="11:26" ht="12.75" hidden="1" customHeight="1" x14ac:dyDescent="0.2">
      <c r="K939" s="152"/>
      <c r="L939" s="152"/>
      <c r="Y939" s="153"/>
      <c r="Z939" s="153"/>
    </row>
    <row r="940" spans="11:26" ht="12.75" hidden="1" customHeight="1" x14ac:dyDescent="0.2">
      <c r="K940" s="152"/>
      <c r="L940" s="152"/>
      <c r="Y940" s="153"/>
      <c r="Z940" s="153"/>
    </row>
    <row r="941" spans="11:26" ht="12.75" hidden="1" customHeight="1" x14ac:dyDescent="0.2">
      <c r="K941" s="152"/>
      <c r="L941" s="152"/>
      <c r="Y941" s="153"/>
      <c r="Z941" s="153"/>
    </row>
    <row r="942" spans="11:26" ht="12.75" hidden="1" customHeight="1" x14ac:dyDescent="0.2">
      <c r="K942" s="152"/>
      <c r="L942" s="152"/>
      <c r="Y942" s="153"/>
      <c r="Z942" s="153"/>
    </row>
    <row r="943" spans="11:26" ht="12.75" hidden="1" customHeight="1" x14ac:dyDescent="0.2">
      <c r="K943" s="152"/>
      <c r="L943" s="152"/>
      <c r="Y943" s="153"/>
      <c r="Z943" s="153"/>
    </row>
    <row r="944" spans="11:26" ht="12.75" hidden="1" customHeight="1" x14ac:dyDescent="0.2">
      <c r="K944" s="152"/>
      <c r="L944" s="152"/>
      <c r="Y944" s="153"/>
      <c r="Z944" s="153"/>
    </row>
    <row r="945" spans="11:26" ht="12.75" hidden="1" customHeight="1" x14ac:dyDescent="0.2">
      <c r="K945" s="152"/>
      <c r="L945" s="152"/>
      <c r="Y945" s="153"/>
      <c r="Z945" s="153"/>
    </row>
    <row r="946" spans="11:26" ht="12.75" hidden="1" customHeight="1" x14ac:dyDescent="0.2">
      <c r="K946" s="152"/>
      <c r="L946" s="152"/>
      <c r="Y946" s="153"/>
      <c r="Z946" s="153"/>
    </row>
    <row r="947" spans="11:26" ht="12.75" hidden="1" customHeight="1" x14ac:dyDescent="0.2">
      <c r="K947" s="152"/>
      <c r="L947" s="152"/>
      <c r="Y947" s="153"/>
      <c r="Z947" s="153"/>
    </row>
    <row r="948" spans="11:26" ht="12.75" hidden="1" customHeight="1" x14ac:dyDescent="0.2">
      <c r="K948" s="152"/>
      <c r="L948" s="152"/>
      <c r="Y948" s="153"/>
      <c r="Z948" s="153"/>
    </row>
    <row r="949" spans="11:26" ht="12.75" hidden="1" customHeight="1" x14ac:dyDescent="0.2">
      <c r="K949" s="152"/>
      <c r="L949" s="152"/>
      <c r="Y949" s="153"/>
      <c r="Z949" s="153"/>
    </row>
    <row r="950" spans="11:26" ht="12.75" hidden="1" customHeight="1" x14ac:dyDescent="0.2">
      <c r="K950" s="152"/>
      <c r="L950" s="152"/>
      <c r="Y950" s="153"/>
      <c r="Z950" s="153"/>
    </row>
    <row r="951" spans="11:26" ht="12.75" hidden="1" customHeight="1" x14ac:dyDescent="0.2">
      <c r="K951" s="152"/>
      <c r="L951" s="152"/>
      <c r="Y951" s="153"/>
      <c r="Z951" s="153"/>
    </row>
    <row r="952" spans="11:26" ht="12.75" hidden="1" customHeight="1" x14ac:dyDescent="0.2">
      <c r="K952" s="152"/>
      <c r="L952" s="152"/>
      <c r="Y952" s="153"/>
      <c r="Z952" s="153"/>
    </row>
    <row r="953" spans="11:26" ht="12.75" hidden="1" customHeight="1" x14ac:dyDescent="0.2">
      <c r="K953" s="152"/>
      <c r="L953" s="152"/>
      <c r="Y953" s="153"/>
      <c r="Z953" s="153"/>
    </row>
    <row r="954" spans="11:26" ht="12.75" hidden="1" customHeight="1" x14ac:dyDescent="0.2">
      <c r="K954" s="152"/>
      <c r="L954" s="152"/>
      <c r="Y954" s="153"/>
      <c r="Z954" s="153"/>
    </row>
    <row r="955" spans="11:26" ht="12.75" hidden="1" customHeight="1" x14ac:dyDescent="0.2">
      <c r="K955" s="152"/>
      <c r="L955" s="152"/>
      <c r="Y955" s="153"/>
      <c r="Z955" s="153"/>
    </row>
    <row r="956" spans="11:26" ht="12.75" hidden="1" customHeight="1" x14ac:dyDescent="0.2">
      <c r="K956" s="152"/>
      <c r="L956" s="152"/>
      <c r="Y956" s="153"/>
      <c r="Z956" s="153"/>
    </row>
    <row r="957" spans="11:26" ht="12.75" hidden="1" customHeight="1" x14ac:dyDescent="0.2">
      <c r="K957" s="152"/>
      <c r="L957" s="152"/>
      <c r="Y957" s="153"/>
      <c r="Z957" s="153"/>
    </row>
    <row r="958" spans="11:26" ht="12.75" hidden="1" customHeight="1" x14ac:dyDescent="0.2">
      <c r="K958" s="152"/>
      <c r="L958" s="152"/>
      <c r="Y958" s="153"/>
      <c r="Z958" s="153"/>
    </row>
    <row r="959" spans="11:26" ht="12.75" hidden="1" customHeight="1" x14ac:dyDescent="0.2">
      <c r="K959" s="152"/>
      <c r="L959" s="152"/>
      <c r="Y959" s="153"/>
      <c r="Z959" s="153"/>
    </row>
    <row r="960" spans="11:26" ht="12.75" hidden="1" customHeight="1" x14ac:dyDescent="0.2">
      <c r="K960" s="152"/>
      <c r="L960" s="152"/>
      <c r="Y960" s="153"/>
      <c r="Z960" s="153"/>
    </row>
    <row r="961" spans="11:26" ht="12.75" hidden="1" customHeight="1" x14ac:dyDescent="0.2">
      <c r="K961" s="152"/>
      <c r="L961" s="152"/>
      <c r="Y961" s="153"/>
      <c r="Z961" s="153"/>
    </row>
    <row r="962" spans="11:26" ht="12.75" hidden="1" customHeight="1" x14ac:dyDescent="0.2">
      <c r="K962" s="152"/>
      <c r="L962" s="152"/>
      <c r="Y962" s="153"/>
      <c r="Z962" s="153"/>
    </row>
    <row r="963" spans="11:26" ht="12.75" hidden="1" customHeight="1" x14ac:dyDescent="0.2">
      <c r="K963" s="152"/>
      <c r="L963" s="152"/>
      <c r="Y963" s="153"/>
      <c r="Z963" s="153"/>
    </row>
    <row r="964" spans="11:26" ht="12.75" hidden="1" customHeight="1" x14ac:dyDescent="0.2">
      <c r="K964" s="152"/>
      <c r="L964" s="152"/>
      <c r="Y964" s="153"/>
      <c r="Z964" s="153"/>
    </row>
    <row r="965" spans="11:26" ht="12.75" hidden="1" customHeight="1" x14ac:dyDescent="0.2">
      <c r="K965" s="152"/>
      <c r="L965" s="152"/>
      <c r="Y965" s="153"/>
      <c r="Z965" s="153"/>
    </row>
    <row r="966" spans="11:26" ht="12.75" hidden="1" customHeight="1" x14ac:dyDescent="0.2">
      <c r="K966" s="152"/>
      <c r="L966" s="152"/>
      <c r="Y966" s="153"/>
      <c r="Z966" s="153"/>
    </row>
    <row r="967" spans="11:26" ht="12.75" hidden="1" customHeight="1" x14ac:dyDescent="0.2">
      <c r="K967" s="152"/>
      <c r="L967" s="152"/>
      <c r="Y967" s="153"/>
      <c r="Z967" s="153"/>
    </row>
    <row r="968" spans="11:26" ht="12.75" hidden="1" customHeight="1" x14ac:dyDescent="0.2">
      <c r="K968" s="152"/>
      <c r="L968" s="152"/>
      <c r="Y968" s="153"/>
      <c r="Z968" s="153"/>
    </row>
    <row r="969" spans="11:26" ht="12.75" hidden="1" customHeight="1" x14ac:dyDescent="0.2">
      <c r="K969" s="152"/>
      <c r="L969" s="152"/>
      <c r="Y969" s="153"/>
      <c r="Z969" s="153"/>
    </row>
    <row r="970" spans="11:26" ht="12.75" hidden="1" customHeight="1" x14ac:dyDescent="0.2">
      <c r="K970" s="152"/>
      <c r="L970" s="152"/>
      <c r="Y970" s="153"/>
      <c r="Z970" s="153"/>
    </row>
    <row r="971" spans="11:26" ht="12.75" hidden="1" customHeight="1" x14ac:dyDescent="0.2">
      <c r="K971" s="152"/>
      <c r="L971" s="152"/>
      <c r="Y971" s="153"/>
      <c r="Z971" s="153"/>
    </row>
    <row r="972" spans="11:26" ht="12.75" hidden="1" customHeight="1" x14ac:dyDescent="0.2">
      <c r="K972" s="152"/>
      <c r="L972" s="152"/>
      <c r="Y972" s="153"/>
      <c r="Z972" s="153"/>
    </row>
    <row r="973" spans="11:26" ht="12.75" hidden="1" customHeight="1" x14ac:dyDescent="0.2">
      <c r="K973" s="152"/>
      <c r="L973" s="152"/>
      <c r="Y973" s="153"/>
      <c r="Z973" s="153"/>
    </row>
    <row r="974" spans="11:26" ht="12.75" hidden="1" customHeight="1" x14ac:dyDescent="0.2">
      <c r="K974" s="152"/>
      <c r="L974" s="152"/>
      <c r="Y974" s="153"/>
      <c r="Z974" s="153"/>
    </row>
    <row r="975" spans="11:26" ht="12.75" hidden="1" customHeight="1" x14ac:dyDescent="0.2">
      <c r="K975" s="152"/>
      <c r="L975" s="152"/>
      <c r="Y975" s="153"/>
      <c r="Z975" s="153"/>
    </row>
    <row r="976" spans="11:26" ht="12.75" hidden="1" customHeight="1" x14ac:dyDescent="0.2">
      <c r="K976" s="152"/>
      <c r="L976" s="152"/>
      <c r="Y976" s="153"/>
      <c r="Z976" s="153"/>
    </row>
    <row r="977" spans="11:26" ht="12.75" hidden="1" customHeight="1" x14ac:dyDescent="0.2">
      <c r="K977" s="152"/>
      <c r="L977" s="152"/>
      <c r="Y977" s="153"/>
      <c r="Z977" s="153"/>
    </row>
    <row r="978" spans="11:26" ht="12.75" hidden="1" customHeight="1" x14ac:dyDescent="0.2">
      <c r="K978" s="152"/>
      <c r="L978" s="152"/>
      <c r="Y978" s="153"/>
      <c r="Z978" s="153"/>
    </row>
    <row r="979" spans="11:26" ht="12.75" hidden="1" customHeight="1" x14ac:dyDescent="0.2">
      <c r="K979" s="152"/>
      <c r="L979" s="152"/>
      <c r="Y979" s="153"/>
      <c r="Z979" s="153"/>
    </row>
    <row r="980" spans="11:26" ht="12.75" hidden="1" customHeight="1" x14ac:dyDescent="0.2">
      <c r="K980" s="152"/>
      <c r="L980" s="152"/>
      <c r="Y980" s="153"/>
      <c r="Z980" s="153"/>
    </row>
    <row r="981" spans="11:26" ht="12.75" hidden="1" customHeight="1" x14ac:dyDescent="0.2">
      <c r="K981" s="152"/>
      <c r="L981" s="152"/>
      <c r="Y981" s="153"/>
      <c r="Z981" s="153"/>
    </row>
    <row r="982" spans="11:26" ht="12.75" hidden="1" customHeight="1" x14ac:dyDescent="0.2">
      <c r="K982" s="152"/>
      <c r="L982" s="152"/>
      <c r="Y982" s="153"/>
      <c r="Z982" s="153"/>
    </row>
    <row r="983" spans="11:26" ht="12.75" hidden="1" customHeight="1" x14ac:dyDescent="0.2">
      <c r="K983" s="152"/>
      <c r="L983" s="152"/>
      <c r="Y983" s="153"/>
      <c r="Z983" s="153"/>
    </row>
    <row r="984" spans="11:26" ht="12.75" hidden="1" customHeight="1" x14ac:dyDescent="0.2">
      <c r="K984" s="152"/>
      <c r="L984" s="152"/>
      <c r="Y984" s="153"/>
      <c r="Z984" s="153"/>
    </row>
    <row r="985" spans="11:26" ht="12.75" hidden="1" customHeight="1" x14ac:dyDescent="0.2">
      <c r="K985" s="152"/>
      <c r="L985" s="152"/>
      <c r="Y985" s="153"/>
      <c r="Z985" s="153"/>
    </row>
    <row r="986" spans="11:26" ht="12.75" hidden="1" customHeight="1" x14ac:dyDescent="0.2">
      <c r="K986" s="152"/>
      <c r="L986" s="152"/>
      <c r="Y986" s="153"/>
      <c r="Z986" s="153"/>
    </row>
    <row r="987" spans="11:26" ht="12.75" hidden="1" customHeight="1" x14ac:dyDescent="0.2">
      <c r="K987" s="152"/>
      <c r="L987" s="152"/>
      <c r="Y987" s="153"/>
      <c r="Z987" s="153"/>
    </row>
    <row r="988" spans="11:26" ht="12.75" hidden="1" customHeight="1" x14ac:dyDescent="0.2">
      <c r="K988" s="152"/>
      <c r="L988" s="152"/>
      <c r="Y988" s="153"/>
      <c r="Z988" s="153"/>
    </row>
    <row r="989" spans="11:26" ht="12.75" hidden="1" customHeight="1" x14ac:dyDescent="0.2">
      <c r="K989" s="152"/>
      <c r="L989" s="152"/>
      <c r="Y989" s="153"/>
      <c r="Z989" s="153"/>
    </row>
    <row r="990" spans="11:26" ht="12.75" hidden="1" customHeight="1" x14ac:dyDescent="0.2">
      <c r="K990" s="152"/>
      <c r="L990" s="152"/>
      <c r="Y990" s="153"/>
      <c r="Z990" s="153"/>
    </row>
    <row r="991" spans="11:26" ht="12.75" hidden="1" customHeight="1" x14ac:dyDescent="0.2">
      <c r="K991" s="152"/>
      <c r="L991" s="152"/>
      <c r="Y991" s="153"/>
      <c r="Z991" s="153"/>
    </row>
  </sheetData>
  <autoFilter ref="A1:AT991" xr:uid="{00000000-0001-0000-0000-000000000000}">
    <filterColumn colId="0">
      <filters>
        <filter val="48"/>
      </filters>
    </filterColumn>
  </autoFilter>
  <conditionalFormatting sqref="Y2:Y240 Z67 Z77">
    <cfRule type="containsText" dxfId="16" priority="9" operator="containsText" text="ESCRIBA EL NOMBRE DEL IIEE">
      <formula>NOT(ISERROR(SEARCH(("ESCRIBA EL NOMBRE DEL IIEE"),(Y2))))</formula>
    </cfRule>
  </conditionalFormatting>
  <conditionalFormatting sqref="Y2:Z240">
    <cfRule type="containsText" dxfId="15" priority="12" operator="containsText" text="NO APLICA">
      <formula>NOT(ISERROR(SEARCH(("NO APLICA"),(Y2))))</formula>
    </cfRule>
  </conditionalFormatting>
  <conditionalFormatting sqref="Z2:Z240">
    <cfRule type="containsText" dxfId="14" priority="10" operator="containsText" text="ESCRIBA EL CÓDIGO MODULAR">
      <formula>NOT(ISERROR(SEARCH(("ESCRIBA EL CÓDIGO MODULAR"),(Z2))))</formula>
    </cfRule>
  </conditionalFormatting>
  <conditionalFormatting sqref="Z51 W2:W104 X2:X240 W107:W118 W120:W131 W133:W240">
    <cfRule type="containsBlanks" dxfId="13" priority="11">
      <formula>LEN(TRIM(W2))=0</formula>
    </cfRule>
  </conditionalFormatting>
  <conditionalFormatting sqref="AA6">
    <cfRule type="containsText" dxfId="12" priority="1" operator="containsText" text="ESCRIBA EL CÓDIGO MODULAR">
      <formula>NOT(ISERROR(SEARCH(("ESCRIBA EL CÓDIGO MODULAR"),(AA6))))</formula>
    </cfRule>
    <cfRule type="containsText" dxfId="11" priority="2" operator="containsText" text="NO APLICA">
      <formula>NOT(ISERROR(SEARCH(("NO APLICA"),(AA6))))</formula>
    </cfRule>
  </conditionalFormatting>
  <conditionalFormatting sqref="AF38:AF42 AH38:AH42 AD38:AD43 AB38:AB48 AF43:AH43 AD44:AF48 AH44:AH48 AB49:AI49 AD50:AF50 AH50:AI50 AB50:AB53 AF51 AH51 AD51:AE52 AF52:AI52 AD53:AF53 AH53:AI53 AB54:AF54 AH54:AH56 AB55:AB56 AD55:AF56 AB57:AI57 AB58 AD58:AF58 AH58:AH59 AB59:AF61 AH60:AI61 AB62:AI62 AB63:AF66 AH63:AI66 AB67:AI69 AB70:AF89 AH70:AI89 AB90:AI240">
    <cfRule type="cellIs" dxfId="10" priority="3" operator="lessThan">
      <formula>11</formula>
    </cfRule>
  </conditionalFormatting>
  <conditionalFormatting sqref="AJ2:AJ240">
    <cfRule type="containsText" dxfId="9" priority="4" operator="containsText" text="desaprobado">
      <formula>NOT(ISERROR(SEARCH(("desaprobado"),(AJ2))))</formula>
    </cfRule>
    <cfRule type="containsText" dxfId="8" priority="5" operator="containsText" text="aprobado">
      <formula>NOT(ISERROR(SEARCH(("aprobado"),(AJ2))))</formula>
    </cfRule>
    <cfRule type="containsText" dxfId="7" priority="6" operator="containsText" text="DESAPROBADO">
      <formula>NOT(ISERROR(SEARCH(("DESAPROBADO"),(AJ2))))</formula>
    </cfRule>
    <cfRule type="containsText" dxfId="6" priority="7" operator="containsText" text="APROBADO ">
      <formula>NOT(ISERROR(SEARCH(("APROBADO "),(AJ2))))</formula>
    </cfRule>
    <cfRule type="containsText" dxfId="5" priority="8" operator="containsText" text="DESAPROBADO ">
      <formula>NOT(ISERROR(SEARCH(("DESAPROBADO "),(AJ2))))</formula>
    </cfRule>
  </conditionalFormatting>
  <dataValidations count="1">
    <dataValidation type="list" allowBlank="1" showErrorMessage="1" sqref="X2:X240" xr:uid="{00000000-0002-0000-0000-000000000000}">
      <formula1>"SI,NO"</formula1>
    </dataValidation>
  </dataValidations>
  <hyperlinks>
    <hyperlink ref="O2" r:id="rId1" xr:uid="{00000000-0004-0000-0000-000000000000}"/>
    <hyperlink ref="O3" r:id="rId2" xr:uid="{00000000-0004-0000-0000-000001000000}"/>
    <hyperlink ref="O40" r:id="rId3" xr:uid="{00000000-0004-0000-0000-000002000000}"/>
    <hyperlink ref="O48" r:id="rId4" xr:uid="{00000000-0004-0000-0000-000003000000}"/>
    <hyperlink ref="O51" r:id="rId5" xr:uid="{00000000-0004-0000-0000-000004000000}"/>
    <hyperlink ref="O54" r:id="rId6" xr:uid="{00000000-0004-0000-0000-000005000000}"/>
    <hyperlink ref="O59" r:id="rId7" xr:uid="{00000000-0004-0000-0000-000006000000}"/>
    <hyperlink ref="O64" r:id="rId8" xr:uid="{00000000-0004-0000-0000-000007000000}"/>
    <hyperlink ref="O67" r:id="rId9" xr:uid="{00000000-0004-0000-0000-000008000000}"/>
    <hyperlink ref="O70" r:id="rId10" xr:uid="{00000000-0004-0000-0000-000009000000}"/>
    <hyperlink ref="O77" r:id="rId11" xr:uid="{00000000-0004-0000-0000-00000A000000}"/>
    <hyperlink ref="O82" r:id="rId12" xr:uid="{00000000-0004-0000-0000-00000B000000}"/>
    <hyperlink ref="O84" r:id="rId13" xr:uid="{00000000-0004-0000-0000-00000C000000}"/>
    <hyperlink ref="O89" r:id="rId14" xr:uid="{00000000-0004-0000-0000-00000D000000}"/>
    <hyperlink ref="O91" r:id="rId15" xr:uid="{00000000-0004-0000-0000-00000E000000}"/>
    <hyperlink ref="O95" r:id="rId16" xr:uid="{00000000-0004-0000-0000-00000F000000}"/>
    <hyperlink ref="O96" r:id="rId17" xr:uid="{00000000-0004-0000-0000-000010000000}"/>
    <hyperlink ref="O99" r:id="rId18" xr:uid="{00000000-0004-0000-0000-000011000000}"/>
    <hyperlink ref="O116" r:id="rId19" xr:uid="{00000000-0004-0000-0000-000012000000}"/>
    <hyperlink ref="O161" r:id="rId20" xr:uid="{00000000-0004-0000-0000-000013000000}"/>
    <hyperlink ref="O174" r:id="rId21" xr:uid="{00000000-0004-0000-0000-000014000000}"/>
    <hyperlink ref="O178" r:id="rId22" xr:uid="{00000000-0004-0000-0000-000015000000}"/>
    <hyperlink ref="O179" r:id="rId23" xr:uid="{00000000-0004-0000-0000-000016000000}"/>
    <hyperlink ref="O180" r:id="rId24" xr:uid="{00000000-0004-0000-0000-000017000000}"/>
    <hyperlink ref="O184" r:id="rId25" xr:uid="{00000000-0004-0000-0000-000018000000}"/>
    <hyperlink ref="O185" r:id="rId26" xr:uid="{00000000-0004-0000-0000-000019000000}"/>
    <hyperlink ref="O186" r:id="rId27" xr:uid="{00000000-0004-0000-0000-00001A000000}"/>
    <hyperlink ref="O189" r:id="rId28" xr:uid="{00000000-0004-0000-0000-00001B000000}"/>
    <hyperlink ref="O190" r:id="rId29" xr:uid="{00000000-0004-0000-0000-00001C000000}"/>
    <hyperlink ref="O191" r:id="rId30" xr:uid="{00000000-0004-0000-0000-00001D000000}"/>
    <hyperlink ref="O192" r:id="rId31" xr:uid="{00000000-0004-0000-0000-00001E000000}"/>
    <hyperlink ref="O195" r:id="rId32" xr:uid="{00000000-0004-0000-0000-00001F000000}"/>
    <hyperlink ref="O197" r:id="rId33" xr:uid="{00000000-0004-0000-0000-000020000000}"/>
    <hyperlink ref="O198" r:id="rId34" xr:uid="{00000000-0004-0000-0000-000021000000}"/>
    <hyperlink ref="O199" r:id="rId35" xr:uid="{00000000-0004-0000-0000-000022000000}"/>
    <hyperlink ref="O201" r:id="rId36" xr:uid="{00000000-0004-0000-0000-000023000000}"/>
    <hyperlink ref="O203" r:id="rId37" xr:uid="{00000000-0004-0000-0000-000024000000}"/>
    <hyperlink ref="O204" r:id="rId38" xr:uid="{00000000-0004-0000-0000-000025000000}"/>
    <hyperlink ref="O206" r:id="rId39" xr:uid="{00000000-0004-0000-0000-000026000000}"/>
    <hyperlink ref="O207" r:id="rId40" xr:uid="{00000000-0004-0000-0000-000027000000}"/>
    <hyperlink ref="O213" r:id="rId41" xr:uid="{00000000-0004-0000-0000-000028000000}"/>
    <hyperlink ref="O214" r:id="rId42" xr:uid="{00000000-0004-0000-0000-000029000000}"/>
    <hyperlink ref="O215" r:id="rId43" xr:uid="{00000000-0004-0000-0000-00002A000000}"/>
    <hyperlink ref="O222" r:id="rId44" xr:uid="{00000000-0004-0000-0000-00002B000000}"/>
    <hyperlink ref="O224" r:id="rId45" xr:uid="{00000000-0004-0000-0000-00002C000000}"/>
    <hyperlink ref="O225" r:id="rId46" xr:uid="{00000000-0004-0000-0000-00002D000000}"/>
    <hyperlink ref="O226" r:id="rId47" xr:uid="{00000000-0004-0000-0000-00002E000000}"/>
    <hyperlink ref="O231" r:id="rId48" xr:uid="{00000000-0004-0000-0000-00002F000000}"/>
    <hyperlink ref="O232" r:id="rId49" xr:uid="{00000000-0004-0000-0000-000030000000}"/>
    <hyperlink ref="O234" r:id="rId50" xr:uid="{00000000-0004-0000-0000-000031000000}"/>
    <hyperlink ref="O240" r:id="rId51" xr:uid="{00000000-0004-0000-0000-000032000000}"/>
  </hyperlinks>
  <pageMargins left="0.7" right="0.7" top="0.75" bottom="0.75" header="0" footer="0"/>
  <pageSetup orientation="landscape"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999"/>
  <sheetViews>
    <sheetView tabSelected="1" workbookViewId="0">
      <pane ySplit="1" topLeftCell="A90" activePane="bottomLeft" state="frozen"/>
      <selection pane="bottomLeft" activeCell="D72" sqref="D72:D113"/>
    </sheetView>
  </sheetViews>
  <sheetFormatPr baseColWidth="10" defaultColWidth="12.5703125" defaultRowHeight="15" customHeight="1" x14ac:dyDescent="0.2"/>
  <cols>
    <col min="1" max="1" width="8.85546875" bestFit="1" customWidth="1"/>
    <col min="2" max="2" width="7.7109375" bestFit="1" customWidth="1"/>
    <col min="3" max="3" width="10" bestFit="1" customWidth="1"/>
    <col min="4" max="4" width="39" bestFit="1" customWidth="1"/>
    <col min="5" max="5" width="36.42578125" bestFit="1" customWidth="1"/>
    <col min="6" max="6" width="16.140625" bestFit="1" customWidth="1"/>
    <col min="7" max="7" width="18.5703125" bestFit="1" customWidth="1"/>
    <col min="8" max="8" width="36.42578125" bestFit="1" customWidth="1"/>
    <col min="9" max="9" width="39.42578125" bestFit="1" customWidth="1"/>
    <col min="10" max="10" width="15.85546875" bestFit="1" customWidth="1"/>
    <col min="11" max="11" width="33.5703125" customWidth="1"/>
    <col min="12" max="13" width="40.140625" customWidth="1"/>
    <col min="14" max="15" width="57.5703125" customWidth="1"/>
    <col min="16" max="17" width="30.85546875" customWidth="1"/>
    <col min="18" max="18" width="15.42578125" bestFit="1" customWidth="1"/>
  </cols>
  <sheetData>
    <row r="1" spans="1:18" ht="42" customHeight="1" x14ac:dyDescent="0.25">
      <c r="A1" s="154" t="s">
        <v>0</v>
      </c>
      <c r="B1" s="154" t="s">
        <v>1488</v>
      </c>
      <c r="C1" s="154" t="s">
        <v>38</v>
      </c>
      <c r="D1" s="155" t="s">
        <v>1489</v>
      </c>
      <c r="E1" s="3" t="s">
        <v>21</v>
      </c>
      <c r="F1" s="156" t="s">
        <v>22</v>
      </c>
      <c r="G1" s="157" t="s">
        <v>1490</v>
      </c>
      <c r="H1" s="7" t="s">
        <v>24</v>
      </c>
      <c r="I1" s="7" t="s">
        <v>25</v>
      </c>
      <c r="J1" s="158" t="s">
        <v>28</v>
      </c>
      <c r="K1" s="216"/>
      <c r="L1" s="159" t="s">
        <v>1491</v>
      </c>
      <c r="M1" s="216"/>
      <c r="N1" s="158" t="s">
        <v>1492</v>
      </c>
      <c r="P1" s="158" t="s">
        <v>1493</v>
      </c>
      <c r="R1" s="154" t="s">
        <v>31</v>
      </c>
    </row>
    <row r="2" spans="1:18" ht="15" hidden="1" customHeight="1" x14ac:dyDescent="0.25">
      <c r="A2" s="160">
        <v>44</v>
      </c>
      <c r="B2" s="160">
        <v>1</v>
      </c>
      <c r="C2" s="161">
        <v>40284226</v>
      </c>
      <c r="D2" s="162" t="s">
        <v>1494</v>
      </c>
      <c r="E2" s="162" t="s">
        <v>1495</v>
      </c>
      <c r="F2" s="163">
        <v>410258</v>
      </c>
      <c r="G2" s="164" t="s">
        <v>48</v>
      </c>
      <c r="H2" s="163" t="s">
        <v>1496</v>
      </c>
      <c r="I2" s="163">
        <v>410258</v>
      </c>
      <c r="J2" s="165">
        <v>14.84</v>
      </c>
      <c r="K2" s="165" t="str">
        <f>IF(J2&lt;=5,"PREVIO AL INICIO",IF(J2&lt;=10.999,"INICIO",IF(J2&lt;=14.999,"EN PROCESO",IF(J2&lt;=19.999,"LOGRADO",IF(J2=20,"DESTACADO","")))))</f>
        <v>EN PROCESO</v>
      </c>
      <c r="L2" s="165">
        <v>14.34</v>
      </c>
      <c r="M2" s="165" t="str">
        <f>IF(L2&lt;=5,"PREVIO AL INICIO",IF(L2&lt;=10.999,"INICIO",IF(L2&lt;=14.999,"EN PROCESO",IF(L2&lt;=19.999,"LOGRADO",IF(L2=20,"DESTACADO","")))))</f>
        <v>EN PROCESO</v>
      </c>
      <c r="N2" s="165">
        <v>16.32</v>
      </c>
      <c r="O2" t="str">
        <f>IF(N2&lt;=5,"PREVIO AL INICIO",IF(N2&lt;=10.999,"INICIO",IF(N2&lt;=14.999,"EN PROCESO",IF(N2&lt;=19.999,"LOGRADO",IF(N2=20,"DESTACADO","")))))</f>
        <v>LOGRADO</v>
      </c>
      <c r="P2">
        <v>14.35</v>
      </c>
      <c r="Q2" t="str">
        <f>IF(P2&lt;=5,"PREVIO AL INICIO",IF(P2&lt;=10.999,"INICIO",IF(P2&lt;=14.999,"EN PROCESO",IF(P2&lt;=19.999,"LOGRADO",IF(P2=20,"DESTACADO","")))))</f>
        <v>EN PROCESO</v>
      </c>
      <c r="R2" s="166" t="str">
        <f t="shared" ref="R2:R37" si="0">IF(AND(J2&gt;=11,L2&gt;=11,N2&gt;=11,P2&gt;=11),"APROBADO ","DESAPROBADO")</f>
        <v xml:space="preserve">APROBADO </v>
      </c>
    </row>
    <row r="3" spans="1:18" ht="15" hidden="1" customHeight="1" x14ac:dyDescent="0.25">
      <c r="A3" s="160">
        <v>44</v>
      </c>
      <c r="B3" s="160">
        <v>2</v>
      </c>
      <c r="C3" s="161">
        <v>44518069</v>
      </c>
      <c r="D3" s="162" t="s">
        <v>1497</v>
      </c>
      <c r="E3" s="162" t="s">
        <v>1498</v>
      </c>
      <c r="F3" s="163">
        <v>410316</v>
      </c>
      <c r="G3" s="164" t="s">
        <v>48</v>
      </c>
      <c r="H3" s="163" t="s">
        <v>1499</v>
      </c>
      <c r="I3" s="163">
        <v>410316</v>
      </c>
      <c r="J3" s="165">
        <v>16.45</v>
      </c>
      <c r="K3" s="165" t="str">
        <f t="shared" ref="K3:K66" si="1">IF(J3&lt;=5,"PREVIO AL INICIO",IF(J3&lt;=10.999,"INICIO",IF(J3&lt;=14.999,"EN PROCESO",IF(J3&lt;=19.999,"LOGRADO",IF(J3=20,"DESTACADO","")))))</f>
        <v>LOGRADO</v>
      </c>
      <c r="L3" s="165">
        <v>16</v>
      </c>
      <c r="M3" s="165" t="str">
        <f t="shared" ref="M3:M66" si="2">IF(L3&lt;=5,"PREVIO AL INICIO",IF(L3&lt;=10.999,"INICIO",IF(L3&lt;=14.999,"EN PROCESO",IF(L3&lt;=19.999,"LOGRADO",IF(L3=20,"DESTACADO","")))))</f>
        <v>LOGRADO</v>
      </c>
      <c r="N3" s="165">
        <v>16.73</v>
      </c>
      <c r="O3" t="str">
        <f t="shared" ref="O3:O66" si="3">IF(N3&lt;=5,"PREVIO AL INICIO",IF(N3&lt;=10.999,"INICIO",IF(N3&lt;=14.999,"EN PROCESO",IF(N3&lt;=19.999,"LOGRADO",IF(N3=20,"DESTACADO","")))))</f>
        <v>LOGRADO</v>
      </c>
      <c r="P3">
        <v>16.010000000000002</v>
      </c>
      <c r="Q3" t="str">
        <f t="shared" ref="Q3:Q66" si="4">IF(P3&lt;=5,"PREVIO AL INICIO",IF(P3&lt;=10.999,"INICIO",IF(P3&lt;=14.999,"EN PROCESO",IF(P3&lt;=19.999,"LOGRADO",IF(P3=20,"DESTACADO","")))))</f>
        <v>LOGRADO</v>
      </c>
      <c r="R3" s="166" t="str">
        <f t="shared" si="0"/>
        <v xml:space="preserve">APROBADO </v>
      </c>
    </row>
    <row r="4" spans="1:18" ht="15" hidden="1" customHeight="1" x14ac:dyDescent="0.25">
      <c r="A4" s="160">
        <v>44</v>
      </c>
      <c r="B4" s="160">
        <v>3</v>
      </c>
      <c r="C4" s="161">
        <v>43620588</v>
      </c>
      <c r="D4" s="162" t="s">
        <v>1500</v>
      </c>
      <c r="E4" s="162" t="s">
        <v>1501</v>
      </c>
      <c r="F4" s="163">
        <v>410233</v>
      </c>
      <c r="G4" s="164" t="s">
        <v>85</v>
      </c>
      <c r="H4" s="163" t="str">
        <f>IF(G4="NO","NO APLICA","ESCRIBA EL NOMBRE DEL IIEE")</f>
        <v>NO APLICA</v>
      </c>
      <c r="I4" s="163" t="str">
        <f>IF(H4="NO APLICA","NO APLICA","ESCRIBA EL CÓDIGO MODULAR")</f>
        <v>NO APLICA</v>
      </c>
      <c r="J4" s="165">
        <v>14.91</v>
      </c>
      <c r="K4" s="165" t="str">
        <f t="shared" si="1"/>
        <v>EN PROCESO</v>
      </c>
      <c r="L4" s="165">
        <v>13.26</v>
      </c>
      <c r="M4" s="165" t="str">
        <f t="shared" si="2"/>
        <v>EN PROCESO</v>
      </c>
      <c r="N4" s="165">
        <v>14.74</v>
      </c>
      <c r="O4" t="str">
        <f t="shared" si="3"/>
        <v>EN PROCESO</v>
      </c>
      <c r="P4">
        <v>13.55</v>
      </c>
      <c r="Q4" t="str">
        <f t="shared" si="4"/>
        <v>EN PROCESO</v>
      </c>
      <c r="R4" s="166" t="str">
        <f t="shared" si="0"/>
        <v xml:space="preserve">APROBADO </v>
      </c>
    </row>
    <row r="5" spans="1:18" ht="15" hidden="1" customHeight="1" x14ac:dyDescent="0.25">
      <c r="A5" s="160">
        <v>44</v>
      </c>
      <c r="B5" s="160">
        <v>4</v>
      </c>
      <c r="C5" s="161">
        <v>75844902</v>
      </c>
      <c r="D5" s="162" t="s">
        <v>1502</v>
      </c>
      <c r="E5" s="162" t="s">
        <v>1503</v>
      </c>
      <c r="F5" s="163">
        <v>409672</v>
      </c>
      <c r="G5" s="167" t="s">
        <v>48</v>
      </c>
      <c r="H5" s="163" t="s">
        <v>1503</v>
      </c>
      <c r="I5" s="163">
        <v>409672</v>
      </c>
      <c r="J5" s="165">
        <v>16.399999999999999</v>
      </c>
      <c r="K5" s="165" t="str">
        <f t="shared" si="1"/>
        <v>LOGRADO</v>
      </c>
      <c r="L5" s="165">
        <v>14.8</v>
      </c>
      <c r="M5" s="165" t="str">
        <f t="shared" si="2"/>
        <v>EN PROCESO</v>
      </c>
      <c r="N5" s="165">
        <v>16.329999999999998</v>
      </c>
      <c r="O5" t="str">
        <f t="shared" si="3"/>
        <v>LOGRADO</v>
      </c>
      <c r="P5">
        <v>15.11</v>
      </c>
      <c r="Q5" t="str">
        <f t="shared" si="4"/>
        <v>LOGRADO</v>
      </c>
      <c r="R5" s="166" t="str">
        <f t="shared" si="0"/>
        <v xml:space="preserve">APROBADO </v>
      </c>
    </row>
    <row r="6" spans="1:18" ht="15" hidden="1" customHeight="1" x14ac:dyDescent="0.25">
      <c r="A6" s="160">
        <v>44</v>
      </c>
      <c r="B6" s="160">
        <v>5</v>
      </c>
      <c r="C6" s="161">
        <v>40582196</v>
      </c>
      <c r="D6" s="162" t="s">
        <v>1504</v>
      </c>
      <c r="E6" s="162" t="s">
        <v>1495</v>
      </c>
      <c r="F6" s="163">
        <v>410258</v>
      </c>
      <c r="G6" s="167" t="s">
        <v>48</v>
      </c>
      <c r="H6" s="163" t="s">
        <v>1503</v>
      </c>
      <c r="I6" s="163">
        <v>409672</v>
      </c>
      <c r="J6" s="165">
        <v>16.059999999999999</v>
      </c>
      <c r="K6" s="165" t="str">
        <f t="shared" si="1"/>
        <v>LOGRADO</v>
      </c>
      <c r="L6" s="165">
        <v>15.21</v>
      </c>
      <c r="M6" s="165" t="str">
        <f t="shared" si="2"/>
        <v>LOGRADO</v>
      </c>
      <c r="N6" s="165">
        <v>16.36</v>
      </c>
      <c r="O6" t="str">
        <f t="shared" si="3"/>
        <v>LOGRADO</v>
      </c>
      <c r="P6">
        <v>15.09</v>
      </c>
      <c r="Q6" t="str">
        <f t="shared" si="4"/>
        <v>LOGRADO</v>
      </c>
      <c r="R6" s="166" t="str">
        <f t="shared" si="0"/>
        <v xml:space="preserve">APROBADO </v>
      </c>
    </row>
    <row r="7" spans="1:18" ht="15" hidden="1" customHeight="1" x14ac:dyDescent="0.25">
      <c r="A7" s="160">
        <v>44</v>
      </c>
      <c r="B7" s="160">
        <v>6</v>
      </c>
      <c r="C7" s="161">
        <v>23982090</v>
      </c>
      <c r="D7" s="162" t="s">
        <v>1505</v>
      </c>
      <c r="E7" s="162" t="s">
        <v>109</v>
      </c>
      <c r="F7" s="225" t="s">
        <v>109</v>
      </c>
      <c r="G7" s="167" t="s">
        <v>48</v>
      </c>
      <c r="H7" s="163" t="s">
        <v>109</v>
      </c>
      <c r="I7" s="163" t="s">
        <v>109</v>
      </c>
      <c r="J7" s="165">
        <v>16.64</v>
      </c>
      <c r="K7" s="165" t="str">
        <f t="shared" si="1"/>
        <v>LOGRADO</v>
      </c>
      <c r="L7" s="165">
        <v>15.39</v>
      </c>
      <c r="M7" s="165" t="str">
        <f t="shared" si="2"/>
        <v>LOGRADO</v>
      </c>
      <c r="N7" s="165">
        <v>17.29</v>
      </c>
      <c r="O7" t="str">
        <f t="shared" si="3"/>
        <v>LOGRADO</v>
      </c>
      <c r="P7">
        <v>15.57</v>
      </c>
      <c r="Q7" t="str">
        <f t="shared" si="4"/>
        <v>LOGRADO</v>
      </c>
      <c r="R7" s="166" t="str">
        <f t="shared" si="0"/>
        <v xml:space="preserve">APROBADO </v>
      </c>
    </row>
    <row r="8" spans="1:18" ht="15" hidden="1" customHeight="1" x14ac:dyDescent="0.25">
      <c r="A8" s="160">
        <v>44</v>
      </c>
      <c r="B8" s="160">
        <v>7</v>
      </c>
      <c r="C8" s="161">
        <v>41751690</v>
      </c>
      <c r="D8" s="162" t="s">
        <v>1506</v>
      </c>
      <c r="E8" s="162" t="s">
        <v>1507</v>
      </c>
      <c r="F8" s="163">
        <v>204974</v>
      </c>
      <c r="G8" s="167" t="s">
        <v>48</v>
      </c>
      <c r="H8" s="163" t="s">
        <v>1507</v>
      </c>
      <c r="I8" s="163">
        <v>204974</v>
      </c>
      <c r="J8" s="165">
        <v>15.15</v>
      </c>
      <c r="K8" s="165" t="str">
        <f t="shared" si="1"/>
        <v>LOGRADO</v>
      </c>
      <c r="L8" s="165">
        <v>14.1</v>
      </c>
      <c r="M8" s="165" t="str">
        <f t="shared" si="2"/>
        <v>EN PROCESO</v>
      </c>
      <c r="N8" s="165">
        <v>15.35</v>
      </c>
      <c r="O8" t="str">
        <f t="shared" si="3"/>
        <v>LOGRADO</v>
      </c>
      <c r="P8">
        <v>14.54</v>
      </c>
      <c r="Q8" t="str">
        <f t="shared" si="4"/>
        <v>EN PROCESO</v>
      </c>
      <c r="R8" s="166" t="str">
        <f t="shared" si="0"/>
        <v xml:space="preserve">APROBADO </v>
      </c>
    </row>
    <row r="9" spans="1:18" ht="15" hidden="1" customHeight="1" x14ac:dyDescent="0.25">
      <c r="A9" s="160">
        <v>44</v>
      </c>
      <c r="B9" s="160">
        <v>8</v>
      </c>
      <c r="C9" s="161">
        <v>23854445</v>
      </c>
      <c r="D9" s="162" t="s">
        <v>1508</v>
      </c>
      <c r="E9" s="162" t="s">
        <v>1507</v>
      </c>
      <c r="F9" s="163">
        <v>204974</v>
      </c>
      <c r="G9" s="167" t="s">
        <v>48</v>
      </c>
      <c r="H9" s="163" t="s">
        <v>1507</v>
      </c>
      <c r="I9" s="163">
        <v>204974</v>
      </c>
      <c r="J9" s="165">
        <v>14.66</v>
      </c>
      <c r="K9" s="165" t="str">
        <f t="shared" si="1"/>
        <v>EN PROCESO</v>
      </c>
      <c r="L9" s="165">
        <v>14.46</v>
      </c>
      <c r="M9" s="165" t="str">
        <f t="shared" si="2"/>
        <v>EN PROCESO</v>
      </c>
      <c r="N9" s="165">
        <v>15.69</v>
      </c>
      <c r="O9" t="str">
        <f t="shared" si="3"/>
        <v>LOGRADO</v>
      </c>
      <c r="P9">
        <v>14.63</v>
      </c>
      <c r="Q9" t="str">
        <f t="shared" si="4"/>
        <v>EN PROCESO</v>
      </c>
      <c r="R9" s="166" t="str">
        <f t="shared" si="0"/>
        <v xml:space="preserve">APROBADO </v>
      </c>
    </row>
    <row r="10" spans="1:18" ht="15" hidden="1" customHeight="1" x14ac:dyDescent="0.25">
      <c r="A10" s="160">
        <v>44</v>
      </c>
      <c r="B10" s="160">
        <v>9</v>
      </c>
      <c r="C10" s="161">
        <v>73237096</v>
      </c>
      <c r="D10" s="162" t="s">
        <v>1509</v>
      </c>
      <c r="E10" s="162" t="s">
        <v>1510</v>
      </c>
      <c r="F10" s="163">
        <v>487140</v>
      </c>
      <c r="G10" s="167" t="s">
        <v>85</v>
      </c>
      <c r="H10" s="163" t="str">
        <f>IF(G10="NO","NO APLICA","ESCRIBA EL NOMBRE DEL IIEE")</f>
        <v>NO APLICA</v>
      </c>
      <c r="I10" s="163" t="str">
        <f>IF(H10="NO APLICA","NO APLICA","ESCRIBA EL CÓDIGO MODULAR")</f>
        <v>NO APLICA</v>
      </c>
      <c r="J10" s="165">
        <v>15.13</v>
      </c>
      <c r="K10" s="165" t="str">
        <f t="shared" si="1"/>
        <v>LOGRADO</v>
      </c>
      <c r="L10" s="165">
        <v>13.73</v>
      </c>
      <c r="M10" s="165" t="str">
        <f t="shared" si="2"/>
        <v>EN PROCESO</v>
      </c>
      <c r="N10" s="165">
        <v>14.98</v>
      </c>
      <c r="O10" t="str">
        <f t="shared" si="3"/>
        <v>EN PROCESO</v>
      </c>
      <c r="P10">
        <v>15.43</v>
      </c>
      <c r="Q10" t="str">
        <f t="shared" si="4"/>
        <v>LOGRADO</v>
      </c>
      <c r="R10" s="166" t="str">
        <f t="shared" si="0"/>
        <v xml:space="preserve">APROBADO </v>
      </c>
    </row>
    <row r="11" spans="1:18" ht="15" hidden="1" customHeight="1" x14ac:dyDescent="0.25">
      <c r="A11" s="160">
        <v>44</v>
      </c>
      <c r="B11" s="160">
        <v>10</v>
      </c>
      <c r="C11" s="161">
        <v>40248755</v>
      </c>
      <c r="D11" s="162" t="s">
        <v>1511</v>
      </c>
      <c r="E11" s="162" t="s">
        <v>1512</v>
      </c>
      <c r="F11" s="163">
        <v>204974</v>
      </c>
      <c r="G11" s="167" t="s">
        <v>48</v>
      </c>
      <c r="H11" s="163" t="s">
        <v>1507</v>
      </c>
      <c r="I11" s="163">
        <v>204974</v>
      </c>
      <c r="J11" s="165">
        <v>14.46</v>
      </c>
      <c r="K11" s="165" t="str">
        <f t="shared" si="1"/>
        <v>EN PROCESO</v>
      </c>
      <c r="L11" s="165">
        <v>14.31</v>
      </c>
      <c r="M11" s="165" t="str">
        <f t="shared" si="2"/>
        <v>EN PROCESO</v>
      </c>
      <c r="N11" s="165">
        <v>15.59</v>
      </c>
      <c r="O11" t="str">
        <f t="shared" si="3"/>
        <v>LOGRADO</v>
      </c>
      <c r="P11">
        <v>13.94</v>
      </c>
      <c r="Q11" t="str">
        <f t="shared" si="4"/>
        <v>EN PROCESO</v>
      </c>
      <c r="R11" s="166" t="str">
        <f t="shared" si="0"/>
        <v xml:space="preserve">APROBADO </v>
      </c>
    </row>
    <row r="12" spans="1:18" ht="15" hidden="1" customHeight="1" x14ac:dyDescent="0.25">
      <c r="A12" s="160">
        <v>44</v>
      </c>
      <c r="B12" s="160">
        <v>11</v>
      </c>
      <c r="C12" s="161">
        <v>70600119</v>
      </c>
      <c r="D12" s="162" t="s">
        <v>1513</v>
      </c>
      <c r="E12" s="162" t="s">
        <v>1512</v>
      </c>
      <c r="F12" s="163">
        <v>204974</v>
      </c>
      <c r="G12" s="167" t="s">
        <v>85</v>
      </c>
      <c r="H12" s="163" t="str">
        <f t="shared" ref="H12:H13" si="5">IF(G12="NO","NO APLICA","ESCRIBA EL NOMBRE DEL IIEE")</f>
        <v>NO APLICA</v>
      </c>
      <c r="I12" s="163" t="str">
        <f t="shared" ref="I12:I13" si="6">IF(H12="NO APLICA","NO APLICA","ESCRIBA EL CÓDIGO MODULAR")</f>
        <v>NO APLICA</v>
      </c>
      <c r="J12" s="165">
        <v>14.36</v>
      </c>
      <c r="K12" s="165" t="str">
        <f t="shared" si="1"/>
        <v>EN PROCESO</v>
      </c>
      <c r="L12" s="165">
        <v>13.79</v>
      </c>
      <c r="M12" s="165" t="str">
        <f t="shared" si="2"/>
        <v>EN PROCESO</v>
      </c>
      <c r="N12" s="165">
        <v>15.01</v>
      </c>
      <c r="O12" t="str">
        <f t="shared" si="3"/>
        <v>LOGRADO</v>
      </c>
      <c r="P12" s="215">
        <v>14.1</v>
      </c>
      <c r="Q12" t="str">
        <f t="shared" si="4"/>
        <v>EN PROCESO</v>
      </c>
      <c r="R12" s="166" t="str">
        <f t="shared" si="0"/>
        <v xml:space="preserve">APROBADO </v>
      </c>
    </row>
    <row r="13" spans="1:18" ht="15" hidden="1" customHeight="1" x14ac:dyDescent="0.25">
      <c r="A13" s="160">
        <v>44</v>
      </c>
      <c r="B13" s="160">
        <v>12</v>
      </c>
      <c r="C13" s="161">
        <v>25218527</v>
      </c>
      <c r="D13" s="162" t="s">
        <v>1514</v>
      </c>
      <c r="E13" s="162" t="s">
        <v>1503</v>
      </c>
      <c r="F13" s="163">
        <v>409672</v>
      </c>
      <c r="G13" s="167" t="s">
        <v>85</v>
      </c>
      <c r="H13" s="163" t="str">
        <f t="shared" si="5"/>
        <v>NO APLICA</v>
      </c>
      <c r="I13" s="163" t="str">
        <f t="shared" si="6"/>
        <v>NO APLICA</v>
      </c>
      <c r="J13" s="165">
        <v>15.26</v>
      </c>
      <c r="K13" s="165" t="str">
        <f t="shared" si="1"/>
        <v>LOGRADO</v>
      </c>
      <c r="L13" s="165">
        <v>15.31</v>
      </c>
      <c r="M13" s="165" t="str">
        <f t="shared" si="2"/>
        <v>LOGRADO</v>
      </c>
      <c r="N13" s="165">
        <v>15.83</v>
      </c>
      <c r="O13" t="str">
        <f t="shared" si="3"/>
        <v>LOGRADO</v>
      </c>
      <c r="P13">
        <v>15.37</v>
      </c>
      <c r="Q13" t="str">
        <f t="shared" si="4"/>
        <v>LOGRADO</v>
      </c>
      <c r="R13" s="166" t="str">
        <f t="shared" si="0"/>
        <v xml:space="preserve">APROBADO </v>
      </c>
    </row>
    <row r="14" spans="1:18" ht="15" hidden="1" customHeight="1" x14ac:dyDescent="0.25">
      <c r="A14" s="160">
        <v>44</v>
      </c>
      <c r="B14" s="160">
        <v>13</v>
      </c>
      <c r="C14" s="161">
        <v>23920702</v>
      </c>
      <c r="D14" s="162" t="s">
        <v>1515</v>
      </c>
      <c r="E14" s="162" t="s">
        <v>1516</v>
      </c>
      <c r="F14" s="163">
        <v>410316</v>
      </c>
      <c r="G14" s="167" t="s">
        <v>48</v>
      </c>
      <c r="H14" s="163" t="s">
        <v>160</v>
      </c>
      <c r="I14" s="163">
        <v>1457605</v>
      </c>
      <c r="J14" s="165">
        <v>14.34</v>
      </c>
      <c r="K14" s="165" t="str">
        <f t="shared" si="1"/>
        <v>EN PROCESO</v>
      </c>
      <c r="L14" s="165">
        <v>14.14</v>
      </c>
      <c r="M14" s="165" t="str">
        <f t="shared" si="2"/>
        <v>EN PROCESO</v>
      </c>
      <c r="N14" s="165">
        <v>15.87</v>
      </c>
      <c r="O14" t="str">
        <f t="shared" si="3"/>
        <v>LOGRADO</v>
      </c>
      <c r="P14">
        <v>15.04</v>
      </c>
      <c r="Q14" t="str">
        <f t="shared" si="4"/>
        <v>LOGRADO</v>
      </c>
      <c r="R14" s="166" t="str">
        <f t="shared" si="0"/>
        <v xml:space="preserve">APROBADO </v>
      </c>
    </row>
    <row r="15" spans="1:18" ht="15" hidden="1" customHeight="1" x14ac:dyDescent="0.25">
      <c r="A15" s="160">
        <v>44</v>
      </c>
      <c r="B15" s="160">
        <v>14</v>
      </c>
      <c r="C15" s="161">
        <v>45518113</v>
      </c>
      <c r="D15" s="162" t="s">
        <v>1517</v>
      </c>
      <c r="E15" s="162" t="s">
        <v>1495</v>
      </c>
      <c r="F15" s="163">
        <v>410258</v>
      </c>
      <c r="G15" s="167" t="s">
        <v>48</v>
      </c>
      <c r="H15" s="163" t="s">
        <v>1496</v>
      </c>
      <c r="I15" s="163">
        <v>410258</v>
      </c>
      <c r="J15" s="165">
        <v>14.74</v>
      </c>
      <c r="K15" s="165" t="str">
        <f t="shared" si="1"/>
        <v>EN PROCESO</v>
      </c>
      <c r="L15" s="165">
        <v>15.24</v>
      </c>
      <c r="M15" s="165" t="str">
        <f t="shared" si="2"/>
        <v>LOGRADO</v>
      </c>
      <c r="N15" s="165">
        <v>16.97</v>
      </c>
      <c r="O15" t="str">
        <f t="shared" si="3"/>
        <v>LOGRADO</v>
      </c>
      <c r="P15" s="215">
        <v>14.6</v>
      </c>
      <c r="Q15" t="str">
        <f t="shared" si="4"/>
        <v>EN PROCESO</v>
      </c>
      <c r="R15" s="166" t="str">
        <f t="shared" si="0"/>
        <v xml:space="preserve">APROBADO </v>
      </c>
    </row>
    <row r="16" spans="1:18" ht="15" hidden="1" customHeight="1" x14ac:dyDescent="0.25">
      <c r="A16" s="160">
        <v>44</v>
      </c>
      <c r="B16" s="160">
        <v>15</v>
      </c>
      <c r="C16" s="161">
        <v>25199443</v>
      </c>
      <c r="D16" s="162" t="s">
        <v>1518</v>
      </c>
      <c r="E16" s="162" t="s">
        <v>1510</v>
      </c>
      <c r="F16" s="163">
        <v>487140</v>
      </c>
      <c r="G16" s="167" t="s">
        <v>85</v>
      </c>
      <c r="H16" s="163" t="str">
        <f t="shared" ref="H16:H17" si="7">IF(G16="NO","NO APLICA","ESCRIBA EL NOMBRE DEL IIEE")</f>
        <v>NO APLICA</v>
      </c>
      <c r="I16" s="163" t="str">
        <f t="shared" ref="I16:I17" si="8">IF(H16="NO APLICA","NO APLICA","ESCRIBA EL CÓDIGO MODULAR")</f>
        <v>NO APLICA</v>
      </c>
      <c r="J16" s="165">
        <v>17.190000000000001</v>
      </c>
      <c r="K16" s="165" t="str">
        <f t="shared" si="1"/>
        <v>LOGRADO</v>
      </c>
      <c r="L16" s="165">
        <v>16.22</v>
      </c>
      <c r="M16" s="165" t="str">
        <f t="shared" si="2"/>
        <v>LOGRADO</v>
      </c>
      <c r="N16" s="165">
        <v>17.34</v>
      </c>
      <c r="O16" t="str">
        <f t="shared" si="3"/>
        <v>LOGRADO</v>
      </c>
      <c r="P16">
        <v>16.54</v>
      </c>
      <c r="Q16" t="str">
        <f t="shared" si="4"/>
        <v>LOGRADO</v>
      </c>
      <c r="R16" s="166" t="str">
        <f t="shared" si="0"/>
        <v xml:space="preserve">APROBADO </v>
      </c>
    </row>
    <row r="17" spans="1:18" ht="15" hidden="1" customHeight="1" x14ac:dyDescent="0.25">
      <c r="A17" s="160">
        <v>44</v>
      </c>
      <c r="B17" s="160">
        <v>16</v>
      </c>
      <c r="C17" s="161">
        <v>25195840</v>
      </c>
      <c r="D17" s="162" t="s">
        <v>1519</v>
      </c>
      <c r="E17" s="162" t="s">
        <v>1520</v>
      </c>
      <c r="F17" s="163">
        <v>1457605</v>
      </c>
      <c r="G17" s="167" t="s">
        <v>85</v>
      </c>
      <c r="H17" s="163" t="str">
        <f t="shared" si="7"/>
        <v>NO APLICA</v>
      </c>
      <c r="I17" s="163" t="str">
        <f t="shared" si="8"/>
        <v>NO APLICA</v>
      </c>
      <c r="J17" s="165">
        <v>14.04</v>
      </c>
      <c r="K17" s="165" t="str">
        <f t="shared" si="1"/>
        <v>EN PROCESO</v>
      </c>
      <c r="L17" s="165">
        <v>13.84</v>
      </c>
      <c r="M17" s="165" t="str">
        <f t="shared" si="2"/>
        <v>EN PROCESO</v>
      </c>
      <c r="N17" s="165">
        <v>14.77</v>
      </c>
      <c r="O17" t="str">
        <f t="shared" si="3"/>
        <v>EN PROCESO</v>
      </c>
      <c r="P17">
        <v>15.09</v>
      </c>
      <c r="Q17" t="str">
        <f t="shared" si="4"/>
        <v>LOGRADO</v>
      </c>
      <c r="R17" s="166" t="str">
        <f t="shared" si="0"/>
        <v xml:space="preserve">APROBADO </v>
      </c>
    </row>
    <row r="18" spans="1:18" ht="15" hidden="1" customHeight="1" x14ac:dyDescent="0.25">
      <c r="A18" s="160">
        <v>44</v>
      </c>
      <c r="B18" s="160">
        <v>17</v>
      </c>
      <c r="C18" s="161">
        <v>43709464</v>
      </c>
      <c r="D18" s="162" t="s">
        <v>1521</v>
      </c>
      <c r="E18" s="162" t="s">
        <v>1520</v>
      </c>
      <c r="F18" s="163">
        <v>1457605</v>
      </c>
      <c r="G18" s="167" t="s">
        <v>48</v>
      </c>
      <c r="H18" s="163" t="s">
        <v>1522</v>
      </c>
      <c r="I18" s="163">
        <v>487140</v>
      </c>
      <c r="J18" s="165">
        <v>14.36</v>
      </c>
      <c r="K18" s="165" t="str">
        <f t="shared" si="1"/>
        <v>EN PROCESO</v>
      </c>
      <c r="L18" s="165">
        <v>13.51</v>
      </c>
      <c r="M18" s="165" t="str">
        <f t="shared" si="2"/>
        <v>EN PROCESO</v>
      </c>
      <c r="N18" s="165">
        <v>13.66</v>
      </c>
      <c r="O18" t="str">
        <f t="shared" si="3"/>
        <v>EN PROCESO</v>
      </c>
      <c r="P18">
        <v>13.57</v>
      </c>
      <c r="Q18" t="str">
        <f t="shared" si="4"/>
        <v>EN PROCESO</v>
      </c>
      <c r="R18" s="166" t="str">
        <f t="shared" si="0"/>
        <v xml:space="preserve">APROBADO </v>
      </c>
    </row>
    <row r="19" spans="1:18" ht="15" hidden="1" customHeight="1" x14ac:dyDescent="0.25">
      <c r="A19" s="160">
        <v>44</v>
      </c>
      <c r="B19" s="160">
        <v>18</v>
      </c>
      <c r="C19" s="161">
        <v>42748880</v>
      </c>
      <c r="D19" s="162" t="s">
        <v>1523</v>
      </c>
      <c r="E19" s="162" t="s">
        <v>1507</v>
      </c>
      <c r="F19" s="163">
        <v>204974</v>
      </c>
      <c r="G19" s="167" t="s">
        <v>48</v>
      </c>
      <c r="H19" s="163" t="s">
        <v>1507</v>
      </c>
      <c r="I19" s="163">
        <v>204974</v>
      </c>
      <c r="J19" s="165">
        <v>15.16</v>
      </c>
      <c r="K19" s="165" t="str">
        <f t="shared" si="1"/>
        <v>LOGRADO</v>
      </c>
      <c r="L19" s="165">
        <v>15.66</v>
      </c>
      <c r="M19" s="165" t="str">
        <f t="shared" si="2"/>
        <v>LOGRADO</v>
      </c>
      <c r="N19" s="165">
        <v>16.760000000000002</v>
      </c>
      <c r="O19" t="str">
        <f t="shared" si="3"/>
        <v>LOGRADO</v>
      </c>
      <c r="P19">
        <v>15.16</v>
      </c>
      <c r="Q19" t="str">
        <f t="shared" si="4"/>
        <v>LOGRADO</v>
      </c>
      <c r="R19" s="166" t="str">
        <f t="shared" si="0"/>
        <v xml:space="preserve">APROBADO </v>
      </c>
    </row>
    <row r="20" spans="1:18" ht="15" hidden="1" customHeight="1" x14ac:dyDescent="0.25">
      <c r="A20" s="160">
        <v>44</v>
      </c>
      <c r="B20" s="160">
        <v>19</v>
      </c>
      <c r="C20" s="161">
        <v>41799833</v>
      </c>
      <c r="D20" s="162" t="s">
        <v>1524</v>
      </c>
      <c r="E20" s="162" t="s">
        <v>1495</v>
      </c>
      <c r="F20" s="163">
        <v>410258</v>
      </c>
      <c r="G20" s="167" t="s">
        <v>48</v>
      </c>
      <c r="H20" s="163" t="s">
        <v>1525</v>
      </c>
      <c r="I20" s="163">
        <v>205401</v>
      </c>
      <c r="J20" s="165">
        <v>15.81</v>
      </c>
      <c r="K20" s="165" t="str">
        <f t="shared" si="1"/>
        <v>LOGRADO</v>
      </c>
      <c r="L20" s="165">
        <v>15.41</v>
      </c>
      <c r="M20" s="165" t="str">
        <f t="shared" si="2"/>
        <v>LOGRADO</v>
      </c>
      <c r="N20" s="165">
        <v>16.559999999999999</v>
      </c>
      <c r="O20" t="str">
        <f t="shared" si="3"/>
        <v>LOGRADO</v>
      </c>
      <c r="P20">
        <v>15.47</v>
      </c>
      <c r="Q20" t="str">
        <f t="shared" si="4"/>
        <v>LOGRADO</v>
      </c>
      <c r="R20" s="166" t="str">
        <f t="shared" si="0"/>
        <v xml:space="preserve">APROBADO </v>
      </c>
    </row>
    <row r="21" spans="1:18" ht="15" hidden="1" customHeight="1" x14ac:dyDescent="0.25">
      <c r="A21" s="160">
        <v>44</v>
      </c>
      <c r="B21" s="160">
        <v>20</v>
      </c>
      <c r="C21" s="161">
        <v>40252402</v>
      </c>
      <c r="D21" s="162" t="s">
        <v>1526</v>
      </c>
      <c r="E21" s="162" t="s">
        <v>1503</v>
      </c>
      <c r="F21" s="163">
        <v>409672</v>
      </c>
      <c r="G21" s="167" t="s">
        <v>48</v>
      </c>
      <c r="H21" s="163" t="s">
        <v>1527</v>
      </c>
      <c r="I21" s="163">
        <v>410233</v>
      </c>
      <c r="J21" s="165">
        <v>16.440000000000001</v>
      </c>
      <c r="K21" s="165" t="str">
        <f t="shared" si="1"/>
        <v>LOGRADO</v>
      </c>
      <c r="L21" s="165">
        <v>15.22</v>
      </c>
      <c r="M21" s="165" t="str">
        <f t="shared" si="2"/>
        <v>LOGRADO</v>
      </c>
      <c r="N21" s="165">
        <v>16.84</v>
      </c>
      <c r="O21" t="str">
        <f t="shared" si="3"/>
        <v>LOGRADO</v>
      </c>
      <c r="P21">
        <v>14.89</v>
      </c>
      <c r="Q21" t="str">
        <f t="shared" si="4"/>
        <v>EN PROCESO</v>
      </c>
      <c r="R21" s="166" t="str">
        <f t="shared" si="0"/>
        <v xml:space="preserve">APROBADO </v>
      </c>
    </row>
    <row r="22" spans="1:18" ht="15" hidden="1" customHeight="1" x14ac:dyDescent="0.25">
      <c r="A22" s="160">
        <v>44</v>
      </c>
      <c r="B22" s="160">
        <v>21</v>
      </c>
      <c r="C22" s="161">
        <v>41818653</v>
      </c>
      <c r="D22" s="162" t="s">
        <v>1528</v>
      </c>
      <c r="E22" s="162" t="s">
        <v>1529</v>
      </c>
      <c r="F22" s="163">
        <v>1741123</v>
      </c>
      <c r="G22" s="167" t="s">
        <v>48</v>
      </c>
      <c r="H22" s="163" t="s">
        <v>1530</v>
      </c>
      <c r="I22" s="163">
        <v>1741123</v>
      </c>
      <c r="J22" s="165">
        <v>15.64</v>
      </c>
      <c r="K22" s="165" t="str">
        <f t="shared" si="1"/>
        <v>LOGRADO</v>
      </c>
      <c r="L22" s="165">
        <v>14.94</v>
      </c>
      <c r="M22" s="165" t="str">
        <f t="shared" si="2"/>
        <v>EN PROCESO</v>
      </c>
      <c r="N22" s="165">
        <v>16.29</v>
      </c>
      <c r="O22" t="str">
        <f t="shared" si="3"/>
        <v>LOGRADO</v>
      </c>
      <c r="P22">
        <v>14.96</v>
      </c>
      <c r="Q22" t="str">
        <f t="shared" si="4"/>
        <v>EN PROCESO</v>
      </c>
      <c r="R22" s="166" t="str">
        <f t="shared" si="0"/>
        <v xml:space="preserve">APROBADO </v>
      </c>
    </row>
    <row r="23" spans="1:18" ht="15" hidden="1" customHeight="1" x14ac:dyDescent="0.25">
      <c r="A23" s="160">
        <v>44</v>
      </c>
      <c r="B23" s="160">
        <v>22</v>
      </c>
      <c r="C23" s="161">
        <v>40459157</v>
      </c>
      <c r="D23" s="162" t="s">
        <v>1531</v>
      </c>
      <c r="E23" s="162" t="s">
        <v>1529</v>
      </c>
      <c r="F23" s="163">
        <v>1741123</v>
      </c>
      <c r="G23" s="167" t="s">
        <v>48</v>
      </c>
      <c r="H23" s="163" t="s">
        <v>1530</v>
      </c>
      <c r="I23" s="163">
        <v>1741123</v>
      </c>
      <c r="J23" s="165">
        <v>15.49</v>
      </c>
      <c r="K23" s="165" t="str">
        <f t="shared" si="1"/>
        <v>LOGRADO</v>
      </c>
      <c r="L23" s="165">
        <v>14.29</v>
      </c>
      <c r="M23" s="165" t="str">
        <f t="shared" si="2"/>
        <v>EN PROCESO</v>
      </c>
      <c r="N23" s="165">
        <v>15.64</v>
      </c>
      <c r="O23" t="str">
        <f t="shared" si="3"/>
        <v>LOGRADO</v>
      </c>
      <c r="P23">
        <v>14.24</v>
      </c>
      <c r="Q23" t="str">
        <f t="shared" si="4"/>
        <v>EN PROCESO</v>
      </c>
      <c r="R23" s="166" t="str">
        <f t="shared" si="0"/>
        <v xml:space="preserve">APROBADO </v>
      </c>
    </row>
    <row r="24" spans="1:18" ht="15" hidden="1" customHeight="1" x14ac:dyDescent="0.25">
      <c r="A24" s="160">
        <v>44</v>
      </c>
      <c r="B24" s="160">
        <v>23</v>
      </c>
      <c r="C24" s="161">
        <v>25218023</v>
      </c>
      <c r="D24" s="162" t="s">
        <v>1532</v>
      </c>
      <c r="E24" s="162" t="s">
        <v>1503</v>
      </c>
      <c r="F24" s="163">
        <v>409672</v>
      </c>
      <c r="G24" s="167" t="s">
        <v>48</v>
      </c>
      <c r="H24" s="163" t="s">
        <v>1533</v>
      </c>
      <c r="I24" s="163">
        <v>409672</v>
      </c>
      <c r="J24" s="165">
        <v>14.76</v>
      </c>
      <c r="K24" s="165" t="str">
        <f t="shared" si="1"/>
        <v>EN PROCESO</v>
      </c>
      <c r="L24" s="165">
        <v>14.46</v>
      </c>
      <c r="M24" s="165" t="str">
        <f t="shared" si="2"/>
        <v>EN PROCESO</v>
      </c>
      <c r="N24" s="165">
        <v>15.61</v>
      </c>
      <c r="O24" t="str">
        <f t="shared" si="3"/>
        <v>LOGRADO</v>
      </c>
      <c r="P24">
        <v>14.43</v>
      </c>
      <c r="Q24" t="str">
        <f t="shared" si="4"/>
        <v>EN PROCESO</v>
      </c>
      <c r="R24" s="166" t="str">
        <f t="shared" si="0"/>
        <v xml:space="preserve">APROBADO </v>
      </c>
    </row>
    <row r="25" spans="1:18" ht="15" hidden="1" customHeight="1" x14ac:dyDescent="0.25">
      <c r="A25" s="160">
        <v>44</v>
      </c>
      <c r="B25" s="160">
        <v>24</v>
      </c>
      <c r="C25" s="161">
        <v>41156047</v>
      </c>
      <c r="D25" s="168" t="s">
        <v>1534</v>
      </c>
      <c r="E25" s="168" t="s">
        <v>1512</v>
      </c>
      <c r="F25" s="169">
        <v>204974</v>
      </c>
      <c r="G25" s="167" t="s">
        <v>85</v>
      </c>
      <c r="H25" s="163" t="str">
        <f>IF(G25="NO","NO APLICA","ESCRIBA EL NOMBRE DEL IIEE")</f>
        <v>NO APLICA</v>
      </c>
      <c r="I25" s="163" t="str">
        <f>IF(H25="NO APLICA","NO APLICA","ESCRIBA EL CÓDIGO MODULAR")</f>
        <v>NO APLICA</v>
      </c>
      <c r="J25" s="165">
        <v>15.39</v>
      </c>
      <c r="K25" s="165" t="str">
        <f t="shared" si="1"/>
        <v>LOGRADO</v>
      </c>
      <c r="L25" s="165">
        <v>15.44</v>
      </c>
      <c r="M25" s="165" t="str">
        <f t="shared" si="2"/>
        <v>LOGRADO</v>
      </c>
      <c r="N25" s="165">
        <v>14.47</v>
      </c>
      <c r="O25" t="str">
        <f t="shared" si="3"/>
        <v>EN PROCESO</v>
      </c>
      <c r="P25" s="215">
        <v>15</v>
      </c>
      <c r="Q25" t="str">
        <f t="shared" si="4"/>
        <v>LOGRADO</v>
      </c>
      <c r="R25" s="166" t="str">
        <f t="shared" si="0"/>
        <v xml:space="preserve">APROBADO </v>
      </c>
    </row>
    <row r="26" spans="1:18" ht="15" hidden="1" customHeight="1" x14ac:dyDescent="0.25">
      <c r="A26" s="160">
        <v>44</v>
      </c>
      <c r="B26" s="160">
        <v>25</v>
      </c>
      <c r="C26" s="161">
        <v>80121033</v>
      </c>
      <c r="D26" s="162" t="s">
        <v>1535</v>
      </c>
      <c r="E26" s="162" t="s">
        <v>1529</v>
      </c>
      <c r="F26" s="163">
        <v>1636455</v>
      </c>
      <c r="G26" s="167" t="s">
        <v>48</v>
      </c>
      <c r="H26" s="163" t="s">
        <v>1533</v>
      </c>
      <c r="I26" s="163">
        <v>409672</v>
      </c>
      <c r="J26" s="165">
        <v>13.36</v>
      </c>
      <c r="K26" s="165" t="str">
        <f t="shared" si="1"/>
        <v>EN PROCESO</v>
      </c>
      <c r="L26" s="165">
        <v>13.21</v>
      </c>
      <c r="M26" s="165" t="str">
        <f t="shared" si="2"/>
        <v>EN PROCESO</v>
      </c>
      <c r="N26" s="165">
        <v>14.69</v>
      </c>
      <c r="O26" t="str">
        <f t="shared" si="3"/>
        <v>EN PROCESO</v>
      </c>
      <c r="P26">
        <v>14.53</v>
      </c>
      <c r="Q26" t="str">
        <f t="shared" si="4"/>
        <v>EN PROCESO</v>
      </c>
      <c r="R26" s="166" t="str">
        <f t="shared" si="0"/>
        <v xml:space="preserve">APROBADO </v>
      </c>
    </row>
    <row r="27" spans="1:18" ht="15" hidden="1" customHeight="1" x14ac:dyDescent="0.25">
      <c r="A27" s="160">
        <v>44</v>
      </c>
      <c r="B27" s="160">
        <v>26</v>
      </c>
      <c r="C27" s="161">
        <v>25187880</v>
      </c>
      <c r="D27" s="162" t="s">
        <v>1536</v>
      </c>
      <c r="E27" s="162" t="s">
        <v>1507</v>
      </c>
      <c r="F27" s="163">
        <v>204974</v>
      </c>
      <c r="G27" s="167" t="s">
        <v>48</v>
      </c>
      <c r="H27" s="163" t="s">
        <v>1507</v>
      </c>
      <c r="I27" s="163">
        <v>204974</v>
      </c>
      <c r="J27" s="165">
        <v>15.1</v>
      </c>
      <c r="K27" s="165" t="str">
        <f t="shared" si="1"/>
        <v>LOGRADO</v>
      </c>
      <c r="L27" s="165">
        <v>14.68</v>
      </c>
      <c r="M27" s="165" t="str">
        <f t="shared" si="2"/>
        <v>EN PROCESO</v>
      </c>
      <c r="N27" s="165">
        <v>14.03</v>
      </c>
      <c r="O27" t="str">
        <f t="shared" si="3"/>
        <v>EN PROCESO</v>
      </c>
      <c r="P27">
        <v>14.87</v>
      </c>
      <c r="Q27" t="str">
        <f t="shared" si="4"/>
        <v>EN PROCESO</v>
      </c>
      <c r="R27" s="166" t="str">
        <f t="shared" si="0"/>
        <v xml:space="preserve">APROBADO </v>
      </c>
    </row>
    <row r="28" spans="1:18" ht="15" hidden="1" customHeight="1" x14ac:dyDescent="0.25">
      <c r="A28" s="160">
        <v>44</v>
      </c>
      <c r="B28" s="160">
        <v>27</v>
      </c>
      <c r="C28" s="161">
        <v>77224073</v>
      </c>
      <c r="D28" s="162" t="s">
        <v>1537</v>
      </c>
      <c r="E28" s="162" t="s">
        <v>1503</v>
      </c>
      <c r="F28" s="163">
        <v>409672</v>
      </c>
      <c r="G28" s="167" t="s">
        <v>85</v>
      </c>
      <c r="H28" s="163" t="str">
        <f>IF(G28="NO","NO APLICA","ESCRIBA EL NOMBRE DEL IIEE")</f>
        <v>NO APLICA</v>
      </c>
      <c r="I28" s="163" t="str">
        <f>IF(H28="NO APLICA","NO APLICA","ESCRIBA EL CÓDIGO MODULAR")</f>
        <v>NO APLICA</v>
      </c>
      <c r="J28" s="165">
        <v>14.36</v>
      </c>
      <c r="K28" s="165" t="str">
        <f t="shared" si="1"/>
        <v>EN PROCESO</v>
      </c>
      <c r="L28" s="165">
        <v>14.59</v>
      </c>
      <c r="M28" s="165" t="str">
        <f t="shared" si="2"/>
        <v>EN PROCESO</v>
      </c>
      <c r="N28" s="165">
        <v>15.56</v>
      </c>
      <c r="O28" t="str">
        <f t="shared" si="3"/>
        <v>LOGRADO</v>
      </c>
      <c r="P28">
        <v>14.28</v>
      </c>
      <c r="Q28" t="str">
        <f t="shared" si="4"/>
        <v>EN PROCESO</v>
      </c>
      <c r="R28" s="166" t="str">
        <f t="shared" si="0"/>
        <v xml:space="preserve">APROBADO </v>
      </c>
    </row>
    <row r="29" spans="1:18" ht="15" hidden="1" customHeight="1" x14ac:dyDescent="0.25">
      <c r="A29" s="160">
        <v>44</v>
      </c>
      <c r="B29" s="160">
        <v>28</v>
      </c>
      <c r="C29" s="161">
        <v>47542829</v>
      </c>
      <c r="D29" s="162" t="s">
        <v>1538</v>
      </c>
      <c r="E29" s="162" t="s">
        <v>1539</v>
      </c>
      <c r="F29" s="163">
        <v>410316</v>
      </c>
      <c r="G29" s="167" t="s">
        <v>48</v>
      </c>
      <c r="H29" s="163" t="s">
        <v>118</v>
      </c>
      <c r="I29" s="163">
        <v>205716</v>
      </c>
      <c r="J29" s="165">
        <v>14.84</v>
      </c>
      <c r="K29" s="165" t="str">
        <f t="shared" si="1"/>
        <v>EN PROCESO</v>
      </c>
      <c r="L29" s="165">
        <v>14.74</v>
      </c>
      <c r="M29" s="165" t="str">
        <f t="shared" si="2"/>
        <v>EN PROCESO</v>
      </c>
      <c r="N29" s="165">
        <v>15.97</v>
      </c>
      <c r="O29" t="str">
        <f t="shared" si="3"/>
        <v>LOGRADO</v>
      </c>
      <c r="P29">
        <v>13.67</v>
      </c>
      <c r="Q29" t="str">
        <f t="shared" si="4"/>
        <v>EN PROCESO</v>
      </c>
      <c r="R29" s="166" t="str">
        <f t="shared" si="0"/>
        <v xml:space="preserve">APROBADO </v>
      </c>
    </row>
    <row r="30" spans="1:18" ht="15" hidden="1" customHeight="1" x14ac:dyDescent="0.25">
      <c r="A30" s="160">
        <v>44</v>
      </c>
      <c r="B30" s="160">
        <v>29</v>
      </c>
      <c r="C30" s="161">
        <v>40525372</v>
      </c>
      <c r="D30" s="162" t="s">
        <v>1540</v>
      </c>
      <c r="E30" s="162" t="s">
        <v>1512</v>
      </c>
      <c r="F30" s="163">
        <v>204974</v>
      </c>
      <c r="G30" s="167" t="s">
        <v>48</v>
      </c>
      <c r="H30" s="163" t="s">
        <v>1507</v>
      </c>
      <c r="I30" s="163">
        <v>204974</v>
      </c>
      <c r="J30" s="165">
        <v>14.94</v>
      </c>
      <c r="K30" s="165" t="str">
        <f t="shared" si="1"/>
        <v>EN PROCESO</v>
      </c>
      <c r="L30" s="165">
        <v>14.19</v>
      </c>
      <c r="M30" s="165" t="str">
        <f t="shared" si="2"/>
        <v>EN PROCESO</v>
      </c>
      <c r="N30" s="165">
        <v>15.39</v>
      </c>
      <c r="O30" t="str">
        <f t="shared" si="3"/>
        <v>LOGRADO</v>
      </c>
      <c r="P30" s="215">
        <v>14.6</v>
      </c>
      <c r="Q30" t="str">
        <f t="shared" si="4"/>
        <v>EN PROCESO</v>
      </c>
      <c r="R30" s="166" t="str">
        <f t="shared" si="0"/>
        <v xml:space="preserve">APROBADO </v>
      </c>
    </row>
    <row r="31" spans="1:18" ht="15" hidden="1" customHeight="1" x14ac:dyDescent="0.25">
      <c r="A31" s="160">
        <v>44</v>
      </c>
      <c r="B31" s="160">
        <v>30</v>
      </c>
      <c r="C31" s="161">
        <v>40521727</v>
      </c>
      <c r="D31" s="162" t="s">
        <v>1541</v>
      </c>
      <c r="E31" s="162" t="s">
        <v>1542</v>
      </c>
      <c r="F31" s="163">
        <v>204974</v>
      </c>
      <c r="G31" s="167" t="s">
        <v>85</v>
      </c>
      <c r="H31" s="163" t="str">
        <f t="shared" ref="H31:H32" si="9">IF(G31="NO","NO APLICA","ESCRIBA EL NOMBRE DEL IIEE")</f>
        <v>NO APLICA</v>
      </c>
      <c r="I31" s="163" t="str">
        <f t="shared" ref="I31:I32" si="10">IF(H31="NO APLICA","NO APLICA","ESCRIBA EL CÓDIGO MODULAR")</f>
        <v>NO APLICA</v>
      </c>
      <c r="J31" s="165">
        <v>14.63</v>
      </c>
      <c r="K31" s="165" t="str">
        <f t="shared" si="1"/>
        <v>EN PROCESO</v>
      </c>
      <c r="L31" s="165">
        <v>13.03</v>
      </c>
      <c r="M31" s="165" t="str">
        <f t="shared" si="2"/>
        <v>EN PROCESO</v>
      </c>
      <c r="N31" s="165">
        <v>15.88</v>
      </c>
      <c r="O31" t="str">
        <f t="shared" si="3"/>
        <v>LOGRADO</v>
      </c>
      <c r="P31">
        <v>13.18</v>
      </c>
      <c r="Q31" t="str">
        <f t="shared" si="4"/>
        <v>EN PROCESO</v>
      </c>
      <c r="R31" s="166" t="str">
        <f t="shared" si="0"/>
        <v xml:space="preserve">APROBADO </v>
      </c>
    </row>
    <row r="32" spans="1:18" hidden="1" x14ac:dyDescent="0.25">
      <c r="A32" s="160">
        <v>44</v>
      </c>
      <c r="B32" s="160">
        <v>31</v>
      </c>
      <c r="C32" s="161">
        <v>25187775</v>
      </c>
      <c r="D32" s="162" t="s">
        <v>1543</v>
      </c>
      <c r="E32" s="162" t="s">
        <v>1544</v>
      </c>
      <c r="F32" s="163">
        <v>1062058</v>
      </c>
      <c r="G32" s="167" t="s">
        <v>85</v>
      </c>
      <c r="H32" s="163" t="str">
        <f t="shared" si="9"/>
        <v>NO APLICA</v>
      </c>
      <c r="I32" s="163" t="str">
        <f t="shared" si="10"/>
        <v>NO APLICA</v>
      </c>
      <c r="J32" s="165">
        <v>14.15</v>
      </c>
      <c r="K32" s="165" t="str">
        <f t="shared" si="1"/>
        <v>EN PROCESO</v>
      </c>
      <c r="L32" s="165">
        <v>14.7</v>
      </c>
      <c r="M32" s="165" t="str">
        <f t="shared" si="2"/>
        <v>EN PROCESO</v>
      </c>
      <c r="N32" s="165">
        <v>13.13</v>
      </c>
      <c r="O32" t="str">
        <f t="shared" si="3"/>
        <v>EN PROCESO</v>
      </c>
      <c r="P32">
        <v>14.07</v>
      </c>
      <c r="Q32" t="str">
        <f t="shared" si="4"/>
        <v>EN PROCESO</v>
      </c>
      <c r="R32" s="166" t="str">
        <f t="shared" si="0"/>
        <v xml:space="preserve">APROBADO </v>
      </c>
    </row>
    <row r="33" spans="1:18" hidden="1" x14ac:dyDescent="0.25">
      <c r="A33" s="160">
        <v>44</v>
      </c>
      <c r="B33" s="160">
        <v>32</v>
      </c>
      <c r="C33" s="161">
        <v>46045309</v>
      </c>
      <c r="D33" s="162" t="s">
        <v>1545</v>
      </c>
      <c r="E33" s="162" t="s">
        <v>1501</v>
      </c>
      <c r="F33" s="163">
        <v>410233</v>
      </c>
      <c r="G33" s="167" t="s">
        <v>48</v>
      </c>
      <c r="H33" s="163" t="s">
        <v>1527</v>
      </c>
      <c r="I33" s="163">
        <v>410233</v>
      </c>
      <c r="J33" s="165">
        <v>14.65</v>
      </c>
      <c r="K33" s="165" t="str">
        <f t="shared" si="1"/>
        <v>EN PROCESO</v>
      </c>
      <c r="L33" s="165">
        <v>15.1</v>
      </c>
      <c r="M33" s="165" t="str">
        <f t="shared" si="2"/>
        <v>LOGRADO</v>
      </c>
      <c r="N33" s="165">
        <v>15.33</v>
      </c>
      <c r="O33" t="str">
        <f t="shared" si="3"/>
        <v>LOGRADO</v>
      </c>
      <c r="P33">
        <v>14.47</v>
      </c>
      <c r="Q33" t="str">
        <f t="shared" si="4"/>
        <v>EN PROCESO</v>
      </c>
      <c r="R33" s="166" t="str">
        <f t="shared" si="0"/>
        <v xml:space="preserve">APROBADO </v>
      </c>
    </row>
    <row r="34" spans="1:18" hidden="1" x14ac:dyDescent="0.25">
      <c r="A34" s="160">
        <v>44</v>
      </c>
      <c r="B34" s="160">
        <v>33</v>
      </c>
      <c r="C34" s="161">
        <v>24493843</v>
      </c>
      <c r="D34" s="162" t="s">
        <v>1546</v>
      </c>
      <c r="E34" s="162" t="s">
        <v>1533</v>
      </c>
      <c r="F34" s="163">
        <v>409672</v>
      </c>
      <c r="G34" s="167" t="s">
        <v>85</v>
      </c>
      <c r="H34" s="163" t="str">
        <f>IF(G34="NO","NO APLICA","ESCRIBA EL NOMBRE DEL IIEE")</f>
        <v>NO APLICA</v>
      </c>
      <c r="I34" s="163" t="str">
        <f>IF(H34="NO APLICA","NO APLICA","ESCRIBA EL CÓDIGO MODULAR")</f>
        <v>NO APLICA</v>
      </c>
      <c r="J34" s="165">
        <v>15.46</v>
      </c>
      <c r="K34" s="165" t="str">
        <f t="shared" si="1"/>
        <v>LOGRADO</v>
      </c>
      <c r="L34" s="165">
        <v>14.61</v>
      </c>
      <c r="M34" s="165" t="str">
        <f t="shared" si="2"/>
        <v>EN PROCESO</v>
      </c>
      <c r="N34" s="165">
        <v>16.04</v>
      </c>
      <c r="O34" t="str">
        <f t="shared" si="3"/>
        <v>LOGRADO</v>
      </c>
      <c r="P34">
        <v>14.72</v>
      </c>
      <c r="Q34" t="str">
        <f t="shared" si="4"/>
        <v>EN PROCESO</v>
      </c>
      <c r="R34" s="166" t="str">
        <f t="shared" si="0"/>
        <v xml:space="preserve">APROBADO </v>
      </c>
    </row>
    <row r="35" spans="1:18" hidden="1" x14ac:dyDescent="0.25">
      <c r="A35" s="160">
        <v>44</v>
      </c>
      <c r="B35" s="160">
        <v>34</v>
      </c>
      <c r="C35" s="161">
        <v>25218212</v>
      </c>
      <c r="D35" s="162" t="s">
        <v>1547</v>
      </c>
      <c r="E35" s="162" t="s">
        <v>1503</v>
      </c>
      <c r="F35" s="163">
        <v>409672</v>
      </c>
      <c r="G35" s="167" t="s">
        <v>48</v>
      </c>
      <c r="H35" s="163" t="s">
        <v>1533</v>
      </c>
      <c r="I35" s="163">
        <v>409672</v>
      </c>
      <c r="J35" s="165">
        <v>14.36</v>
      </c>
      <c r="K35" s="165" t="str">
        <f t="shared" si="1"/>
        <v>EN PROCESO</v>
      </c>
      <c r="L35" s="165">
        <v>14.76</v>
      </c>
      <c r="M35" s="165" t="str">
        <f t="shared" si="2"/>
        <v>EN PROCESO</v>
      </c>
      <c r="N35" s="165">
        <v>14.89</v>
      </c>
      <c r="O35" t="str">
        <f t="shared" si="3"/>
        <v>EN PROCESO</v>
      </c>
      <c r="P35">
        <v>12.75</v>
      </c>
      <c r="Q35" t="str">
        <f t="shared" si="4"/>
        <v>EN PROCESO</v>
      </c>
      <c r="R35" s="166" t="str">
        <f t="shared" si="0"/>
        <v xml:space="preserve">APROBADO </v>
      </c>
    </row>
    <row r="36" spans="1:18" hidden="1" x14ac:dyDescent="0.25">
      <c r="A36" s="160">
        <v>44</v>
      </c>
      <c r="B36" s="160">
        <v>35</v>
      </c>
      <c r="C36" s="161">
        <v>72946751</v>
      </c>
      <c r="D36" s="162" t="s">
        <v>1548</v>
      </c>
      <c r="E36" s="162" t="s">
        <v>109</v>
      </c>
      <c r="F36" s="163" t="s">
        <v>109</v>
      </c>
      <c r="G36" s="167" t="s">
        <v>85</v>
      </c>
      <c r="H36" s="163" t="str">
        <f t="shared" ref="H36:H39" si="11">IF(G36="NO","NO APLICA","ESCRIBA EL NOMBRE DEL IIEE")</f>
        <v>NO APLICA</v>
      </c>
      <c r="I36" s="163" t="str">
        <f t="shared" ref="I36:I39" si="12">IF(H36="NO APLICA","NO APLICA","ESCRIBA EL CÓDIGO MODULAR")</f>
        <v>NO APLICA</v>
      </c>
      <c r="J36" s="165">
        <v>17.600000000000001</v>
      </c>
      <c r="K36" s="165" t="str">
        <f t="shared" si="1"/>
        <v>LOGRADO</v>
      </c>
      <c r="L36" s="165">
        <v>16.45</v>
      </c>
      <c r="M36" s="165" t="str">
        <f t="shared" si="2"/>
        <v>LOGRADO</v>
      </c>
      <c r="N36" s="165">
        <v>18.13</v>
      </c>
      <c r="O36" t="str">
        <f t="shared" si="3"/>
        <v>LOGRADO</v>
      </c>
      <c r="P36" s="215">
        <v>14.3</v>
      </c>
      <c r="Q36" t="str">
        <f t="shared" si="4"/>
        <v>EN PROCESO</v>
      </c>
      <c r="R36" s="166" t="str">
        <f t="shared" si="0"/>
        <v xml:space="preserve">APROBADO </v>
      </c>
    </row>
    <row r="37" spans="1:18" hidden="1" x14ac:dyDescent="0.25">
      <c r="A37" s="160">
        <v>44</v>
      </c>
      <c r="B37" s="160">
        <v>36</v>
      </c>
      <c r="C37" s="161">
        <v>40894570</v>
      </c>
      <c r="D37" s="162" t="s">
        <v>1549</v>
      </c>
      <c r="E37" s="162" t="s">
        <v>1550</v>
      </c>
      <c r="F37" s="163">
        <v>1062058</v>
      </c>
      <c r="G37" s="167" t="s">
        <v>48</v>
      </c>
      <c r="H37" s="163" t="str">
        <f t="shared" si="11"/>
        <v>ESCRIBA EL NOMBRE DEL IIEE</v>
      </c>
      <c r="I37" s="163" t="str">
        <f t="shared" si="12"/>
        <v>ESCRIBA EL CÓDIGO MODULAR</v>
      </c>
      <c r="J37" s="165">
        <v>14.98</v>
      </c>
      <c r="K37" s="165" t="str">
        <f t="shared" si="1"/>
        <v>EN PROCESO</v>
      </c>
      <c r="L37" s="165">
        <v>14.18</v>
      </c>
      <c r="M37" s="165" t="str">
        <f t="shared" si="2"/>
        <v>EN PROCESO</v>
      </c>
      <c r="N37" s="165">
        <v>15.58</v>
      </c>
      <c r="O37" t="str">
        <f t="shared" si="3"/>
        <v>LOGRADO</v>
      </c>
      <c r="P37">
        <v>11.14</v>
      </c>
      <c r="Q37" t="str">
        <f t="shared" si="4"/>
        <v>EN PROCESO</v>
      </c>
      <c r="R37" s="166" t="str">
        <f t="shared" si="0"/>
        <v xml:space="preserve">APROBADO </v>
      </c>
    </row>
    <row r="38" spans="1:18" hidden="1" x14ac:dyDescent="0.25">
      <c r="A38" s="160">
        <v>44</v>
      </c>
      <c r="B38" s="168"/>
      <c r="C38" s="170">
        <v>42887013</v>
      </c>
      <c r="D38" s="171" t="s">
        <v>1551</v>
      </c>
      <c r="E38" s="171" t="s">
        <v>1520</v>
      </c>
      <c r="F38" s="172"/>
      <c r="G38" s="167"/>
      <c r="H38" s="163" t="str">
        <f t="shared" si="11"/>
        <v>ESCRIBA EL NOMBRE DEL IIEE</v>
      </c>
      <c r="I38" s="163" t="str">
        <f t="shared" si="12"/>
        <v>ESCRIBA EL CÓDIGO MODULAR</v>
      </c>
      <c r="J38" s="173"/>
      <c r="K38" s="165" t="str">
        <f t="shared" si="1"/>
        <v>PREVIO AL INICIO</v>
      </c>
      <c r="L38" s="174"/>
      <c r="M38" s="165" t="str">
        <f t="shared" si="2"/>
        <v>PREVIO AL INICIO</v>
      </c>
      <c r="N38" s="174"/>
      <c r="O38" t="str">
        <f t="shared" si="3"/>
        <v>PREVIO AL INICIO</v>
      </c>
      <c r="Q38" t="str">
        <f t="shared" si="4"/>
        <v>PREVIO AL INICIO</v>
      </c>
      <c r="R38" s="175" t="s">
        <v>70</v>
      </c>
    </row>
    <row r="39" spans="1:18" hidden="1" x14ac:dyDescent="0.25">
      <c r="A39" s="160">
        <v>47</v>
      </c>
      <c r="B39" s="160">
        <v>1</v>
      </c>
      <c r="C39" s="160">
        <v>5211002</v>
      </c>
      <c r="D39" s="162" t="s">
        <v>1552</v>
      </c>
      <c r="E39" s="162">
        <v>6010102</v>
      </c>
      <c r="F39" s="162">
        <v>1148402</v>
      </c>
      <c r="G39" s="167" t="s">
        <v>85</v>
      </c>
      <c r="H39" s="163" t="str">
        <f t="shared" si="11"/>
        <v>NO APLICA</v>
      </c>
      <c r="I39" s="163" t="str">
        <f t="shared" si="12"/>
        <v>NO APLICA</v>
      </c>
      <c r="J39" s="176">
        <v>14.95</v>
      </c>
      <c r="K39" s="165" t="str">
        <f t="shared" si="1"/>
        <v>EN PROCESO</v>
      </c>
      <c r="L39" s="176">
        <v>14.95</v>
      </c>
      <c r="M39" s="165" t="str">
        <f t="shared" si="2"/>
        <v>EN PROCESO</v>
      </c>
      <c r="N39" s="165">
        <v>14.4</v>
      </c>
      <c r="O39" t="str">
        <f t="shared" si="3"/>
        <v>EN PROCESO</v>
      </c>
      <c r="P39">
        <v>12.28</v>
      </c>
      <c r="Q39" t="str">
        <f t="shared" si="4"/>
        <v>EN PROCESO</v>
      </c>
      <c r="R39" s="166" t="str">
        <f t="shared" ref="R39:R70" si="13">IF(AND(J39&gt;=11,L39&gt;=11,N39&gt;=11,P39&gt;=11),"APROBADO ","DESAPROBADO")</f>
        <v xml:space="preserve">APROBADO </v>
      </c>
    </row>
    <row r="40" spans="1:18" hidden="1" x14ac:dyDescent="0.25">
      <c r="A40" s="160">
        <v>47</v>
      </c>
      <c r="B40" s="160">
        <v>2</v>
      </c>
      <c r="C40" s="177">
        <v>43140802</v>
      </c>
      <c r="D40" s="162" t="s">
        <v>1553</v>
      </c>
      <c r="E40" s="162">
        <v>601330</v>
      </c>
      <c r="F40" s="162">
        <v>738419</v>
      </c>
      <c r="G40" s="167" t="s">
        <v>48</v>
      </c>
      <c r="H40" s="163">
        <v>601330</v>
      </c>
      <c r="I40" s="163">
        <v>738419</v>
      </c>
      <c r="J40" s="176">
        <v>11.48</v>
      </c>
      <c r="K40" s="165" t="str">
        <f t="shared" si="1"/>
        <v>EN PROCESO</v>
      </c>
      <c r="L40" s="176">
        <v>11.48</v>
      </c>
      <c r="M40" s="165" t="str">
        <f t="shared" si="2"/>
        <v>EN PROCESO</v>
      </c>
      <c r="N40" s="165">
        <v>8.5299999999999994</v>
      </c>
      <c r="O40" t="str">
        <f t="shared" si="3"/>
        <v>INICIO</v>
      </c>
      <c r="P40">
        <v>10.51</v>
      </c>
      <c r="Q40" t="str">
        <f t="shared" si="4"/>
        <v>INICIO</v>
      </c>
      <c r="R40" s="166" t="str">
        <f t="shared" si="13"/>
        <v>DESAPROBADO</v>
      </c>
    </row>
    <row r="41" spans="1:18" hidden="1" x14ac:dyDescent="0.25">
      <c r="A41" s="160">
        <v>47</v>
      </c>
      <c r="B41" s="160">
        <v>3</v>
      </c>
      <c r="C41" s="178">
        <v>42724361</v>
      </c>
      <c r="D41" s="162" t="s">
        <v>1554</v>
      </c>
      <c r="E41" s="162">
        <v>6010231</v>
      </c>
      <c r="F41" s="162">
        <v>683474</v>
      </c>
      <c r="G41" s="167" t="s">
        <v>48</v>
      </c>
      <c r="H41" s="163">
        <v>6010231</v>
      </c>
      <c r="I41" s="163">
        <v>683474</v>
      </c>
      <c r="J41" s="176">
        <v>16.97</v>
      </c>
      <c r="K41" s="165" t="str">
        <f t="shared" si="1"/>
        <v>LOGRADO</v>
      </c>
      <c r="L41" s="176">
        <v>16.97</v>
      </c>
      <c r="M41" s="165" t="str">
        <f t="shared" si="2"/>
        <v>LOGRADO</v>
      </c>
      <c r="N41" s="165">
        <v>16.87</v>
      </c>
      <c r="O41" t="str">
        <f t="shared" si="3"/>
        <v>LOGRADO</v>
      </c>
      <c r="P41">
        <v>15.95</v>
      </c>
      <c r="Q41" t="str">
        <f t="shared" si="4"/>
        <v>LOGRADO</v>
      </c>
      <c r="R41" s="166" t="str">
        <f t="shared" si="13"/>
        <v xml:space="preserve">APROBADO </v>
      </c>
    </row>
    <row r="42" spans="1:18" hidden="1" x14ac:dyDescent="0.25">
      <c r="A42" s="160">
        <v>47</v>
      </c>
      <c r="B42" s="160">
        <v>4</v>
      </c>
      <c r="C42" s="179">
        <v>5376356</v>
      </c>
      <c r="D42" s="180" t="s">
        <v>1555</v>
      </c>
      <c r="E42" s="180">
        <v>6010178</v>
      </c>
      <c r="F42" s="180">
        <v>651398</v>
      </c>
      <c r="G42" s="167" t="s">
        <v>48</v>
      </c>
      <c r="H42" s="163">
        <v>6010178</v>
      </c>
      <c r="I42" s="163">
        <v>651398</v>
      </c>
      <c r="J42" s="176">
        <v>13.65</v>
      </c>
      <c r="K42" s="165" t="str">
        <f t="shared" si="1"/>
        <v>EN PROCESO</v>
      </c>
      <c r="L42" s="176">
        <v>13.65</v>
      </c>
      <c r="M42" s="165" t="str">
        <f t="shared" si="2"/>
        <v>EN PROCESO</v>
      </c>
      <c r="N42" s="165">
        <v>13</v>
      </c>
      <c r="O42" t="str">
        <f t="shared" si="3"/>
        <v>EN PROCESO</v>
      </c>
      <c r="P42">
        <v>9.41</v>
      </c>
      <c r="Q42" t="str">
        <f t="shared" si="4"/>
        <v>INICIO</v>
      </c>
      <c r="R42" s="166" t="str">
        <f t="shared" si="13"/>
        <v>DESAPROBADO</v>
      </c>
    </row>
    <row r="43" spans="1:18" hidden="1" x14ac:dyDescent="0.25">
      <c r="A43" s="160">
        <v>47</v>
      </c>
      <c r="B43" s="160">
        <v>5</v>
      </c>
      <c r="C43" s="177">
        <v>5338341</v>
      </c>
      <c r="D43" s="162" t="s">
        <v>1556</v>
      </c>
      <c r="E43" s="162">
        <v>601563</v>
      </c>
      <c r="F43" s="162">
        <v>1261775</v>
      </c>
      <c r="G43" s="167" t="s">
        <v>48</v>
      </c>
      <c r="H43" s="163">
        <v>601563</v>
      </c>
      <c r="I43" s="163">
        <v>1261775</v>
      </c>
      <c r="J43" s="176">
        <v>16.88</v>
      </c>
      <c r="K43" s="165" t="str">
        <f t="shared" si="1"/>
        <v>LOGRADO</v>
      </c>
      <c r="L43" s="176">
        <v>16.88</v>
      </c>
      <c r="M43" s="165" t="str">
        <f t="shared" si="2"/>
        <v>LOGRADO</v>
      </c>
      <c r="N43" s="165">
        <v>17.53</v>
      </c>
      <c r="O43" t="str">
        <f t="shared" si="3"/>
        <v>LOGRADO</v>
      </c>
      <c r="P43">
        <v>12.13</v>
      </c>
      <c r="Q43" t="str">
        <f t="shared" si="4"/>
        <v>EN PROCESO</v>
      </c>
      <c r="R43" s="166" t="str">
        <f t="shared" si="13"/>
        <v xml:space="preserve">APROBADO </v>
      </c>
    </row>
    <row r="44" spans="1:18" hidden="1" x14ac:dyDescent="0.25">
      <c r="A44" s="160">
        <v>47</v>
      </c>
      <c r="B44" s="160">
        <v>6</v>
      </c>
      <c r="C44" s="179">
        <v>5263552</v>
      </c>
      <c r="D44" s="180" t="s">
        <v>1557</v>
      </c>
      <c r="E44" s="180">
        <v>601448</v>
      </c>
      <c r="F44" s="180">
        <v>1153964</v>
      </c>
      <c r="G44" s="167" t="s">
        <v>48</v>
      </c>
      <c r="H44" s="163">
        <v>601331</v>
      </c>
      <c r="I44" s="163">
        <v>738427</v>
      </c>
      <c r="J44" s="176">
        <v>16.87</v>
      </c>
      <c r="K44" s="165" t="str">
        <f t="shared" si="1"/>
        <v>LOGRADO</v>
      </c>
      <c r="L44" s="176">
        <v>16.87</v>
      </c>
      <c r="M44" s="165" t="str">
        <f t="shared" si="2"/>
        <v>LOGRADO</v>
      </c>
      <c r="N44" s="165">
        <v>16.57</v>
      </c>
      <c r="O44" t="str">
        <f t="shared" si="3"/>
        <v>LOGRADO</v>
      </c>
      <c r="P44">
        <v>13.66</v>
      </c>
      <c r="Q44" t="str">
        <f t="shared" si="4"/>
        <v>EN PROCESO</v>
      </c>
      <c r="R44" s="166" t="str">
        <f t="shared" si="13"/>
        <v xml:space="preserve">APROBADO </v>
      </c>
    </row>
    <row r="45" spans="1:18" hidden="1" x14ac:dyDescent="0.25">
      <c r="A45" s="160">
        <v>47</v>
      </c>
      <c r="B45" s="160">
        <v>7</v>
      </c>
      <c r="C45" s="178">
        <v>5789251</v>
      </c>
      <c r="D45" s="180" t="s">
        <v>1558</v>
      </c>
      <c r="E45" s="180">
        <v>6010102</v>
      </c>
      <c r="F45" s="180">
        <v>1148402</v>
      </c>
      <c r="G45" s="167" t="s">
        <v>85</v>
      </c>
      <c r="H45" s="163" t="str">
        <f t="shared" ref="H45:H46" si="14">IF(G45="NO","NO APLICA","ESCRIBA EL NOMBRE DEL IIEE")</f>
        <v>NO APLICA</v>
      </c>
      <c r="I45" s="163" t="str">
        <f t="shared" ref="I45:I46" si="15">IF(H45="NO APLICA","NO APLICA","ESCRIBA EL CÓDIGO MODULAR")</f>
        <v>NO APLICA</v>
      </c>
      <c r="J45" s="176">
        <v>15.12</v>
      </c>
      <c r="K45" s="165" t="str">
        <f t="shared" si="1"/>
        <v>LOGRADO</v>
      </c>
      <c r="L45" s="176">
        <v>14.52</v>
      </c>
      <c r="M45" s="165" t="str">
        <f t="shared" si="2"/>
        <v>EN PROCESO</v>
      </c>
      <c r="N45" s="165">
        <v>10.47</v>
      </c>
      <c r="O45" t="str">
        <f t="shared" si="3"/>
        <v>INICIO</v>
      </c>
      <c r="P45">
        <v>12.28</v>
      </c>
      <c r="Q45" t="str">
        <f t="shared" si="4"/>
        <v>EN PROCESO</v>
      </c>
      <c r="R45" s="166" t="str">
        <f t="shared" si="13"/>
        <v>DESAPROBADO</v>
      </c>
    </row>
    <row r="46" spans="1:18" hidden="1" x14ac:dyDescent="0.25">
      <c r="A46" s="160">
        <v>47</v>
      </c>
      <c r="B46" s="160">
        <v>8</v>
      </c>
      <c r="C46" s="181">
        <v>5414234</v>
      </c>
      <c r="D46" s="162" t="s">
        <v>1559</v>
      </c>
      <c r="E46" s="162">
        <v>6010231</v>
      </c>
      <c r="F46" s="162">
        <v>683474</v>
      </c>
      <c r="G46" s="167" t="s">
        <v>85</v>
      </c>
      <c r="H46" s="163" t="str">
        <f t="shared" si="14"/>
        <v>NO APLICA</v>
      </c>
      <c r="I46" s="163" t="str">
        <f t="shared" si="15"/>
        <v>NO APLICA</v>
      </c>
      <c r="J46" s="176">
        <v>15.03</v>
      </c>
      <c r="K46" s="165" t="str">
        <f t="shared" si="1"/>
        <v>LOGRADO</v>
      </c>
      <c r="L46" s="176">
        <v>15.03</v>
      </c>
      <c r="M46" s="165" t="str">
        <f t="shared" si="2"/>
        <v>LOGRADO</v>
      </c>
      <c r="N46" s="165">
        <v>16.53</v>
      </c>
      <c r="O46" t="str">
        <f t="shared" si="3"/>
        <v>LOGRADO</v>
      </c>
      <c r="P46">
        <v>13.83</v>
      </c>
      <c r="Q46" t="str">
        <f t="shared" si="4"/>
        <v>EN PROCESO</v>
      </c>
      <c r="R46" s="166" t="str">
        <f t="shared" si="13"/>
        <v xml:space="preserve">APROBADO </v>
      </c>
    </row>
    <row r="47" spans="1:18" hidden="1" x14ac:dyDescent="0.25">
      <c r="A47" s="160">
        <v>47</v>
      </c>
      <c r="B47" s="160">
        <v>9</v>
      </c>
      <c r="C47" s="177">
        <v>5715396</v>
      </c>
      <c r="D47" s="162" t="s">
        <v>1560</v>
      </c>
      <c r="E47" s="162">
        <v>601444</v>
      </c>
      <c r="F47" s="162">
        <v>1153881</v>
      </c>
      <c r="G47" s="167" t="s">
        <v>48</v>
      </c>
      <c r="H47" s="163">
        <v>601444</v>
      </c>
      <c r="I47" s="163">
        <v>1153881</v>
      </c>
      <c r="J47" s="176">
        <v>14.58</v>
      </c>
      <c r="K47" s="165" t="str">
        <f t="shared" si="1"/>
        <v>EN PROCESO</v>
      </c>
      <c r="L47" s="176">
        <v>14.58</v>
      </c>
      <c r="M47" s="165" t="str">
        <f t="shared" si="2"/>
        <v>EN PROCESO</v>
      </c>
      <c r="N47" s="165">
        <v>13.73</v>
      </c>
      <c r="O47" t="str">
        <f t="shared" si="3"/>
        <v>EN PROCESO</v>
      </c>
      <c r="P47">
        <v>13.36</v>
      </c>
      <c r="Q47" t="str">
        <f t="shared" si="4"/>
        <v>EN PROCESO</v>
      </c>
      <c r="R47" s="166" t="str">
        <f t="shared" si="13"/>
        <v xml:space="preserve">APROBADO </v>
      </c>
    </row>
    <row r="48" spans="1:18" hidden="1" x14ac:dyDescent="0.25">
      <c r="A48" s="160">
        <v>47</v>
      </c>
      <c r="B48" s="160">
        <v>10</v>
      </c>
      <c r="C48" s="177">
        <v>5358667</v>
      </c>
      <c r="D48" s="162" t="s">
        <v>1561</v>
      </c>
      <c r="E48" s="162">
        <v>6010231</v>
      </c>
      <c r="F48" s="162">
        <v>683474</v>
      </c>
      <c r="G48" s="167" t="s">
        <v>48</v>
      </c>
      <c r="H48" s="163">
        <v>6010231</v>
      </c>
      <c r="I48" s="163">
        <v>683474</v>
      </c>
      <c r="J48" s="176">
        <v>17.37</v>
      </c>
      <c r="K48" s="165" t="str">
        <f t="shared" si="1"/>
        <v>LOGRADO</v>
      </c>
      <c r="L48" s="176">
        <v>17.37</v>
      </c>
      <c r="M48" s="165" t="str">
        <f t="shared" si="2"/>
        <v>LOGRADO</v>
      </c>
      <c r="N48" s="165">
        <v>17.670000000000002</v>
      </c>
      <c r="O48" t="str">
        <f t="shared" si="3"/>
        <v>LOGRADO</v>
      </c>
      <c r="P48">
        <v>13.87</v>
      </c>
      <c r="Q48" t="str">
        <f t="shared" si="4"/>
        <v>EN PROCESO</v>
      </c>
      <c r="R48" s="166" t="str">
        <f t="shared" si="13"/>
        <v xml:space="preserve">APROBADO </v>
      </c>
    </row>
    <row r="49" spans="1:18" hidden="1" x14ac:dyDescent="0.25">
      <c r="A49" s="160">
        <v>47</v>
      </c>
      <c r="B49" s="160">
        <v>11</v>
      </c>
      <c r="C49" s="179">
        <v>41632700</v>
      </c>
      <c r="D49" s="180" t="s">
        <v>1562</v>
      </c>
      <c r="E49" s="180">
        <v>60136</v>
      </c>
      <c r="F49" s="180">
        <v>398347</v>
      </c>
      <c r="G49" s="167" t="s">
        <v>48</v>
      </c>
      <c r="H49" s="163">
        <v>60136</v>
      </c>
      <c r="I49" s="163">
        <v>398347</v>
      </c>
      <c r="J49" s="176">
        <v>16.38</v>
      </c>
      <c r="K49" s="165" t="str">
        <f t="shared" si="1"/>
        <v>LOGRADO</v>
      </c>
      <c r="L49" s="176">
        <v>16.38</v>
      </c>
      <c r="M49" s="165" t="str">
        <f t="shared" si="2"/>
        <v>LOGRADO</v>
      </c>
      <c r="N49" s="165">
        <v>15.43</v>
      </c>
      <c r="O49" t="str">
        <f t="shared" si="3"/>
        <v>LOGRADO</v>
      </c>
      <c r="P49">
        <v>13.42</v>
      </c>
      <c r="Q49" t="str">
        <f t="shared" si="4"/>
        <v>EN PROCESO</v>
      </c>
      <c r="R49" s="166" t="str">
        <f t="shared" si="13"/>
        <v xml:space="preserve">APROBADO </v>
      </c>
    </row>
    <row r="50" spans="1:18" hidden="1" x14ac:dyDescent="0.25">
      <c r="A50" s="160">
        <v>47</v>
      </c>
      <c r="B50" s="160">
        <v>12</v>
      </c>
      <c r="C50" s="178">
        <v>73810004</v>
      </c>
      <c r="D50" s="180" t="s">
        <v>1563</v>
      </c>
      <c r="E50" s="180">
        <v>6010231</v>
      </c>
      <c r="F50" s="180">
        <v>683474</v>
      </c>
      <c r="G50" s="167" t="s">
        <v>48</v>
      </c>
      <c r="H50" s="163">
        <v>6010231</v>
      </c>
      <c r="I50" s="163">
        <v>683474</v>
      </c>
      <c r="J50" s="176">
        <v>16.62</v>
      </c>
      <c r="K50" s="165" t="str">
        <f t="shared" si="1"/>
        <v>LOGRADO</v>
      </c>
      <c r="L50" s="176">
        <v>16.62</v>
      </c>
      <c r="M50" s="165" t="str">
        <f t="shared" si="2"/>
        <v>LOGRADO</v>
      </c>
      <c r="N50" s="165">
        <v>16.57</v>
      </c>
      <c r="O50" t="str">
        <f t="shared" si="3"/>
        <v>LOGRADO</v>
      </c>
      <c r="P50">
        <v>14.73</v>
      </c>
      <c r="Q50" t="str">
        <f t="shared" si="4"/>
        <v>EN PROCESO</v>
      </c>
      <c r="R50" s="166" t="str">
        <f t="shared" si="13"/>
        <v xml:space="preserve">APROBADO </v>
      </c>
    </row>
    <row r="51" spans="1:18" hidden="1" x14ac:dyDescent="0.25">
      <c r="A51" s="160">
        <v>47</v>
      </c>
      <c r="B51" s="160">
        <v>13</v>
      </c>
      <c r="C51" s="179">
        <v>42112731</v>
      </c>
      <c r="D51" s="180" t="s">
        <v>1564</v>
      </c>
      <c r="E51" s="180">
        <v>6010231</v>
      </c>
      <c r="F51" s="180">
        <v>683474</v>
      </c>
      <c r="G51" s="167" t="s">
        <v>85</v>
      </c>
      <c r="H51" s="163" t="str">
        <f>IF(G51="NO","NO APLICA","ESCRIBA EL NOMBRE DEL IIEE")</f>
        <v>NO APLICA</v>
      </c>
      <c r="I51" s="163" t="str">
        <f>IF(H51="NO APLICA","NO APLICA","ESCRIBA EL CÓDIGO MODULAR")</f>
        <v>NO APLICA</v>
      </c>
      <c r="J51" s="176">
        <v>14.8</v>
      </c>
      <c r="K51" s="165" t="str">
        <f t="shared" si="1"/>
        <v>EN PROCESO</v>
      </c>
      <c r="L51" s="176">
        <v>14.8</v>
      </c>
      <c r="M51" s="165" t="str">
        <f t="shared" si="2"/>
        <v>EN PROCESO</v>
      </c>
      <c r="N51" s="165">
        <v>14.1</v>
      </c>
      <c r="O51" t="str">
        <f t="shared" si="3"/>
        <v>EN PROCESO</v>
      </c>
      <c r="P51">
        <v>11.08</v>
      </c>
      <c r="Q51" t="str">
        <f t="shared" si="4"/>
        <v>EN PROCESO</v>
      </c>
      <c r="R51" s="166" t="str">
        <f t="shared" si="13"/>
        <v xml:space="preserve">APROBADO </v>
      </c>
    </row>
    <row r="52" spans="1:18" hidden="1" x14ac:dyDescent="0.25">
      <c r="A52" s="160">
        <v>47</v>
      </c>
      <c r="B52" s="160">
        <v>14</v>
      </c>
      <c r="C52" s="179">
        <v>40109092</v>
      </c>
      <c r="D52" s="180" t="s">
        <v>1565</v>
      </c>
      <c r="E52" s="180">
        <v>6010230</v>
      </c>
      <c r="F52" s="180">
        <v>683466</v>
      </c>
      <c r="G52" s="167" t="s">
        <v>48</v>
      </c>
      <c r="H52" s="163">
        <v>60136</v>
      </c>
      <c r="I52" s="163">
        <v>398347</v>
      </c>
      <c r="J52" s="176">
        <v>13.72</v>
      </c>
      <c r="K52" s="165" t="str">
        <f t="shared" si="1"/>
        <v>EN PROCESO</v>
      </c>
      <c r="L52" s="176">
        <v>13.72</v>
      </c>
      <c r="M52" s="165" t="str">
        <f t="shared" si="2"/>
        <v>EN PROCESO</v>
      </c>
      <c r="N52" s="165">
        <v>15.57</v>
      </c>
      <c r="O52" t="str">
        <f t="shared" si="3"/>
        <v>LOGRADO</v>
      </c>
      <c r="P52">
        <v>14.72</v>
      </c>
      <c r="Q52" t="str">
        <f t="shared" si="4"/>
        <v>EN PROCESO</v>
      </c>
      <c r="R52" s="166" t="str">
        <f t="shared" si="13"/>
        <v xml:space="preserve">APROBADO </v>
      </c>
    </row>
    <row r="53" spans="1:18" hidden="1" x14ac:dyDescent="0.25">
      <c r="A53" s="160">
        <v>47</v>
      </c>
      <c r="B53" s="160">
        <v>15</v>
      </c>
      <c r="C53" s="181">
        <v>16732911</v>
      </c>
      <c r="D53" s="162" t="s">
        <v>1566</v>
      </c>
      <c r="E53" s="162">
        <v>6010231</v>
      </c>
      <c r="F53" s="162">
        <v>683474</v>
      </c>
      <c r="G53" s="167" t="s">
        <v>48</v>
      </c>
      <c r="H53" s="163">
        <v>6010102</v>
      </c>
      <c r="I53" s="163">
        <v>1148402</v>
      </c>
      <c r="J53" s="176">
        <v>17.87</v>
      </c>
      <c r="K53" s="165" t="str">
        <f t="shared" si="1"/>
        <v>LOGRADO</v>
      </c>
      <c r="L53" s="176">
        <v>17.87</v>
      </c>
      <c r="M53" s="165" t="str">
        <f t="shared" si="2"/>
        <v>LOGRADO</v>
      </c>
      <c r="N53" s="165">
        <v>15.87</v>
      </c>
      <c r="O53" t="str">
        <f t="shared" si="3"/>
        <v>LOGRADO</v>
      </c>
      <c r="P53" s="215">
        <v>14.4</v>
      </c>
      <c r="Q53" t="str">
        <f t="shared" si="4"/>
        <v>EN PROCESO</v>
      </c>
      <c r="R53" s="166" t="str">
        <f t="shared" si="13"/>
        <v xml:space="preserve">APROBADO </v>
      </c>
    </row>
    <row r="54" spans="1:18" hidden="1" x14ac:dyDescent="0.25">
      <c r="A54" s="160">
        <v>47</v>
      </c>
      <c r="B54" s="160">
        <v>16</v>
      </c>
      <c r="C54" s="178">
        <v>5382503</v>
      </c>
      <c r="D54" s="180" t="s">
        <v>1567</v>
      </c>
      <c r="E54" s="180">
        <v>60133</v>
      </c>
      <c r="F54" s="180">
        <v>398313</v>
      </c>
      <c r="G54" s="167" t="s">
        <v>85</v>
      </c>
      <c r="H54" s="163" t="str">
        <f>IF(G54="NO","NO APLICA","ESCRIBA EL NOMBRE DEL IIEE")</f>
        <v>NO APLICA</v>
      </c>
      <c r="I54" s="163" t="str">
        <f>IF(H54="NO APLICA","NO APLICA","ESCRIBA EL CÓDIGO MODULAR")</f>
        <v>NO APLICA</v>
      </c>
      <c r="J54" s="176">
        <v>13.37</v>
      </c>
      <c r="K54" s="165" t="str">
        <f t="shared" si="1"/>
        <v>EN PROCESO</v>
      </c>
      <c r="L54" s="176">
        <v>8.57</v>
      </c>
      <c r="M54" s="165" t="str">
        <f t="shared" si="2"/>
        <v>INICIO</v>
      </c>
      <c r="N54" s="165">
        <v>12.17</v>
      </c>
      <c r="O54" t="str">
        <f t="shared" si="3"/>
        <v>EN PROCESO</v>
      </c>
      <c r="P54">
        <v>10.79</v>
      </c>
      <c r="Q54" t="str">
        <f t="shared" si="4"/>
        <v>INICIO</v>
      </c>
      <c r="R54" s="166" t="str">
        <f t="shared" si="13"/>
        <v>DESAPROBADO</v>
      </c>
    </row>
    <row r="55" spans="1:18" hidden="1" x14ac:dyDescent="0.25">
      <c r="A55" s="160">
        <v>47</v>
      </c>
      <c r="B55" s="160">
        <v>17</v>
      </c>
      <c r="C55" s="178">
        <v>5326442</v>
      </c>
      <c r="D55" s="180" t="s">
        <v>1568</v>
      </c>
      <c r="E55" s="180">
        <v>601678</v>
      </c>
      <c r="F55" s="180">
        <v>1273960</v>
      </c>
      <c r="G55" s="167" t="s">
        <v>48</v>
      </c>
      <c r="H55" s="163">
        <v>601678</v>
      </c>
      <c r="I55" s="163">
        <v>1273960</v>
      </c>
      <c r="J55" s="176">
        <v>16.149999999999999</v>
      </c>
      <c r="K55" s="165" t="str">
        <f t="shared" si="1"/>
        <v>LOGRADO</v>
      </c>
      <c r="L55" s="176">
        <v>16.149999999999999</v>
      </c>
      <c r="M55" s="165" t="str">
        <f t="shared" si="2"/>
        <v>LOGRADO</v>
      </c>
      <c r="N55" s="165">
        <v>10.1</v>
      </c>
      <c r="O55" t="str">
        <f t="shared" si="3"/>
        <v>INICIO</v>
      </c>
      <c r="P55">
        <v>11.25</v>
      </c>
      <c r="Q55" t="str">
        <f t="shared" si="4"/>
        <v>EN PROCESO</v>
      </c>
      <c r="R55" s="166" t="str">
        <f t="shared" si="13"/>
        <v>DESAPROBADO</v>
      </c>
    </row>
    <row r="56" spans="1:18" hidden="1" x14ac:dyDescent="0.25">
      <c r="A56" s="160">
        <v>47</v>
      </c>
      <c r="B56" s="160">
        <v>18</v>
      </c>
      <c r="C56" s="177">
        <v>6112994</v>
      </c>
      <c r="D56" s="162" t="s">
        <v>1569</v>
      </c>
      <c r="E56" s="162">
        <v>6010231</v>
      </c>
      <c r="F56" s="162">
        <v>683474</v>
      </c>
      <c r="G56" s="167" t="s">
        <v>48</v>
      </c>
      <c r="H56" s="163">
        <v>6010231</v>
      </c>
      <c r="I56" s="163">
        <v>683474</v>
      </c>
      <c r="J56" s="176">
        <v>17.2</v>
      </c>
      <c r="K56" s="165" t="str">
        <f t="shared" si="1"/>
        <v>LOGRADO</v>
      </c>
      <c r="L56" s="176">
        <v>17.2</v>
      </c>
      <c r="M56" s="165" t="str">
        <f t="shared" si="2"/>
        <v>LOGRADO</v>
      </c>
      <c r="N56" s="165">
        <v>15.5</v>
      </c>
      <c r="O56" t="str">
        <f t="shared" si="3"/>
        <v>LOGRADO</v>
      </c>
      <c r="P56">
        <v>14.47</v>
      </c>
      <c r="Q56" t="str">
        <f t="shared" si="4"/>
        <v>EN PROCESO</v>
      </c>
      <c r="R56" s="166" t="str">
        <f t="shared" si="13"/>
        <v xml:space="preserve">APROBADO </v>
      </c>
    </row>
    <row r="57" spans="1:18" hidden="1" x14ac:dyDescent="0.25">
      <c r="A57" s="160">
        <v>47</v>
      </c>
      <c r="B57" s="160">
        <v>19</v>
      </c>
      <c r="C57" s="179">
        <v>41944745</v>
      </c>
      <c r="D57" s="180" t="s">
        <v>1570</v>
      </c>
      <c r="E57" s="180">
        <v>6010231</v>
      </c>
      <c r="F57" s="180">
        <v>683474</v>
      </c>
      <c r="G57" s="167" t="s">
        <v>85</v>
      </c>
      <c r="H57" s="163" t="str">
        <f t="shared" ref="H57:H58" si="16">IF(G57="NO","NO APLICA","ESCRIBA EL NOMBRE DEL IIEE")</f>
        <v>NO APLICA</v>
      </c>
      <c r="I57" s="163" t="str">
        <f t="shared" ref="I57:I58" si="17">IF(H57="NO APLICA","NO APLICA","ESCRIBA EL CÓDIGO MODULAR")</f>
        <v>NO APLICA</v>
      </c>
      <c r="J57" s="176">
        <v>16.28</v>
      </c>
      <c r="K57" s="165" t="str">
        <f t="shared" si="1"/>
        <v>LOGRADO</v>
      </c>
      <c r="L57" s="176">
        <v>16.28</v>
      </c>
      <c r="M57" s="165" t="str">
        <f t="shared" si="2"/>
        <v>LOGRADO</v>
      </c>
      <c r="N57" s="165">
        <v>15.53</v>
      </c>
      <c r="O57" t="str">
        <f t="shared" si="3"/>
        <v>LOGRADO</v>
      </c>
      <c r="P57" s="215">
        <v>14.1</v>
      </c>
      <c r="Q57" t="str">
        <f t="shared" si="4"/>
        <v>EN PROCESO</v>
      </c>
      <c r="R57" s="166" t="str">
        <f t="shared" si="13"/>
        <v xml:space="preserve">APROBADO </v>
      </c>
    </row>
    <row r="58" spans="1:18" hidden="1" x14ac:dyDescent="0.25">
      <c r="A58" s="160">
        <v>47</v>
      </c>
      <c r="B58" s="160">
        <v>20</v>
      </c>
      <c r="C58" s="179">
        <v>40070264</v>
      </c>
      <c r="D58" s="162" t="s">
        <v>1571</v>
      </c>
      <c r="E58" s="162">
        <v>6010231</v>
      </c>
      <c r="F58" s="162">
        <v>683474</v>
      </c>
      <c r="G58" s="167" t="s">
        <v>85</v>
      </c>
      <c r="H58" s="163" t="str">
        <f t="shared" si="16"/>
        <v>NO APLICA</v>
      </c>
      <c r="I58" s="163" t="str">
        <f t="shared" si="17"/>
        <v>NO APLICA</v>
      </c>
      <c r="J58" s="176">
        <v>16.22</v>
      </c>
      <c r="K58" s="165" t="str">
        <f t="shared" si="1"/>
        <v>LOGRADO</v>
      </c>
      <c r="L58" s="176">
        <v>16.22</v>
      </c>
      <c r="M58" s="165" t="str">
        <f t="shared" si="2"/>
        <v>LOGRADO</v>
      </c>
      <c r="N58" s="165">
        <v>14.87</v>
      </c>
      <c r="O58" t="str">
        <f t="shared" si="3"/>
        <v>EN PROCESO</v>
      </c>
      <c r="P58">
        <v>12.87</v>
      </c>
      <c r="Q58" t="str">
        <f t="shared" si="4"/>
        <v>EN PROCESO</v>
      </c>
      <c r="R58" s="166" t="str">
        <f t="shared" si="13"/>
        <v xml:space="preserve">APROBADO </v>
      </c>
    </row>
    <row r="59" spans="1:18" hidden="1" x14ac:dyDescent="0.25">
      <c r="A59" s="160">
        <v>47</v>
      </c>
      <c r="B59" s="160">
        <v>21</v>
      </c>
      <c r="C59" s="178">
        <v>45629889</v>
      </c>
      <c r="D59" s="180" t="s">
        <v>1572</v>
      </c>
      <c r="E59" s="180">
        <v>60133</v>
      </c>
      <c r="F59" s="180">
        <v>398313</v>
      </c>
      <c r="G59" s="167" t="s">
        <v>48</v>
      </c>
      <c r="H59" s="163">
        <v>601331</v>
      </c>
      <c r="I59" s="163">
        <v>738427</v>
      </c>
      <c r="J59" s="176">
        <v>18.850000000000001</v>
      </c>
      <c r="K59" s="165" t="str">
        <f t="shared" si="1"/>
        <v>LOGRADO</v>
      </c>
      <c r="L59" s="176">
        <v>18.850000000000001</v>
      </c>
      <c r="M59" s="165" t="str">
        <f t="shared" si="2"/>
        <v>LOGRADO</v>
      </c>
      <c r="N59" s="165">
        <v>18</v>
      </c>
      <c r="O59" t="str">
        <f t="shared" si="3"/>
        <v>LOGRADO</v>
      </c>
      <c r="P59">
        <v>14.92</v>
      </c>
      <c r="Q59" t="str">
        <f t="shared" si="4"/>
        <v>EN PROCESO</v>
      </c>
      <c r="R59" s="166" t="str">
        <f t="shared" si="13"/>
        <v xml:space="preserve">APROBADO </v>
      </c>
    </row>
    <row r="60" spans="1:18" hidden="1" x14ac:dyDescent="0.25">
      <c r="A60" s="160">
        <v>47</v>
      </c>
      <c r="B60" s="160">
        <v>22</v>
      </c>
      <c r="C60" s="177">
        <v>5391147</v>
      </c>
      <c r="D60" s="162" t="s">
        <v>1573</v>
      </c>
      <c r="E60" s="162">
        <v>6010231</v>
      </c>
      <c r="F60" s="162">
        <v>683474</v>
      </c>
      <c r="G60" s="167" t="s">
        <v>85</v>
      </c>
      <c r="H60" s="163" t="str">
        <f>IF(G60="NO","NO APLICA","ESCRIBA EL NOMBRE DEL IIEE")</f>
        <v>NO APLICA</v>
      </c>
      <c r="I60" s="163" t="str">
        <f>IF(H60="NO APLICA","NO APLICA","ESCRIBA EL CÓDIGO MODULAR")</f>
        <v>NO APLICA</v>
      </c>
      <c r="J60" s="176">
        <v>15.75</v>
      </c>
      <c r="K60" s="165" t="str">
        <f t="shared" si="1"/>
        <v>LOGRADO</v>
      </c>
      <c r="L60" s="176">
        <v>15.75</v>
      </c>
      <c r="M60" s="165" t="str">
        <f t="shared" si="2"/>
        <v>LOGRADO</v>
      </c>
      <c r="N60" s="165">
        <v>13.4</v>
      </c>
      <c r="O60" t="str">
        <f t="shared" si="3"/>
        <v>EN PROCESO</v>
      </c>
      <c r="P60">
        <v>12.27</v>
      </c>
      <c r="Q60" t="str">
        <f t="shared" si="4"/>
        <v>EN PROCESO</v>
      </c>
      <c r="R60" s="166" t="str">
        <f t="shared" si="13"/>
        <v xml:space="preserve">APROBADO </v>
      </c>
    </row>
    <row r="61" spans="1:18" hidden="1" x14ac:dyDescent="0.25">
      <c r="A61" s="160">
        <v>47</v>
      </c>
      <c r="B61" s="160">
        <v>23</v>
      </c>
      <c r="C61" s="177">
        <v>40982068</v>
      </c>
      <c r="D61" s="162" t="s">
        <v>1574</v>
      </c>
      <c r="E61" s="162">
        <v>6010231</v>
      </c>
      <c r="F61" s="162">
        <v>683474</v>
      </c>
      <c r="G61" s="167" t="s">
        <v>48</v>
      </c>
      <c r="H61" s="163">
        <v>6010231</v>
      </c>
      <c r="I61" s="163">
        <v>683474</v>
      </c>
      <c r="J61" s="176">
        <v>16.38</v>
      </c>
      <c r="K61" s="165" t="str">
        <f t="shared" si="1"/>
        <v>LOGRADO</v>
      </c>
      <c r="L61" s="176">
        <v>16.38</v>
      </c>
      <c r="M61" s="165" t="str">
        <f t="shared" si="2"/>
        <v>LOGRADO</v>
      </c>
      <c r="N61" s="165">
        <v>15.63</v>
      </c>
      <c r="O61" t="str">
        <f t="shared" si="3"/>
        <v>LOGRADO</v>
      </c>
      <c r="P61">
        <v>12.87</v>
      </c>
      <c r="Q61" t="str">
        <f t="shared" si="4"/>
        <v>EN PROCESO</v>
      </c>
      <c r="R61" s="166" t="str">
        <f t="shared" si="13"/>
        <v xml:space="preserve">APROBADO </v>
      </c>
    </row>
    <row r="62" spans="1:18" hidden="1" x14ac:dyDescent="0.25">
      <c r="A62" s="160">
        <v>47</v>
      </c>
      <c r="B62" s="160">
        <v>24</v>
      </c>
      <c r="C62" s="181">
        <v>42206736</v>
      </c>
      <c r="D62" s="162" t="s">
        <v>1575</v>
      </c>
      <c r="E62" s="162">
        <v>601448</v>
      </c>
      <c r="F62" s="162">
        <v>1153964</v>
      </c>
      <c r="G62" s="167" t="s">
        <v>85</v>
      </c>
      <c r="H62" s="163" t="str">
        <f>IF(G62="NO","NO APLICA","ESCRIBA EL NOMBRE DEL IIEE")</f>
        <v>NO APLICA</v>
      </c>
      <c r="I62" s="163" t="str">
        <f>IF(H62="NO APLICA","NO APLICA","ESCRIBA EL CÓDIGO MODULAR")</f>
        <v>NO APLICA</v>
      </c>
      <c r="J62" s="176">
        <v>9.0299999999999994</v>
      </c>
      <c r="K62" s="165" t="str">
        <f t="shared" si="1"/>
        <v>INICIO</v>
      </c>
      <c r="L62" s="176">
        <v>9.0299999999999994</v>
      </c>
      <c r="M62" s="165" t="str">
        <f t="shared" si="2"/>
        <v>INICIO</v>
      </c>
      <c r="N62" s="165">
        <v>13.93</v>
      </c>
      <c r="O62" t="str">
        <f t="shared" si="3"/>
        <v>EN PROCESO</v>
      </c>
      <c r="P62" s="215">
        <v>13.1</v>
      </c>
      <c r="Q62" t="str">
        <f t="shared" si="4"/>
        <v>EN PROCESO</v>
      </c>
      <c r="R62" s="166" t="str">
        <f t="shared" si="13"/>
        <v>DESAPROBADO</v>
      </c>
    </row>
    <row r="63" spans="1:18" hidden="1" x14ac:dyDescent="0.25">
      <c r="A63" s="160">
        <v>47</v>
      </c>
      <c r="B63" s="160">
        <v>25</v>
      </c>
      <c r="C63" s="177">
        <v>45484887</v>
      </c>
      <c r="D63" s="162" t="s">
        <v>1576</v>
      </c>
      <c r="E63" s="162">
        <v>60133</v>
      </c>
      <c r="F63" s="162">
        <v>398313</v>
      </c>
      <c r="G63" s="167" t="s">
        <v>48</v>
      </c>
      <c r="H63" s="163">
        <v>60133</v>
      </c>
      <c r="I63" s="163">
        <v>398313</v>
      </c>
      <c r="J63" s="176">
        <v>19.149999999999999</v>
      </c>
      <c r="K63" s="165" t="str">
        <f t="shared" si="1"/>
        <v>LOGRADO</v>
      </c>
      <c r="L63" s="176">
        <v>19.149999999999999</v>
      </c>
      <c r="M63" s="165" t="str">
        <f t="shared" si="2"/>
        <v>LOGRADO</v>
      </c>
      <c r="N63" s="165">
        <v>18</v>
      </c>
      <c r="O63" t="str">
        <f t="shared" si="3"/>
        <v>LOGRADO</v>
      </c>
      <c r="P63">
        <v>14.93</v>
      </c>
      <c r="Q63" t="str">
        <f t="shared" si="4"/>
        <v>EN PROCESO</v>
      </c>
      <c r="R63" s="166" t="str">
        <f t="shared" si="13"/>
        <v xml:space="preserve">APROBADO </v>
      </c>
    </row>
    <row r="64" spans="1:18" hidden="1" x14ac:dyDescent="0.25">
      <c r="A64" s="160">
        <v>47</v>
      </c>
      <c r="B64" s="160">
        <v>26</v>
      </c>
      <c r="C64" s="177">
        <v>44180550</v>
      </c>
      <c r="D64" s="162" t="s">
        <v>1577</v>
      </c>
      <c r="E64" s="162">
        <v>601391</v>
      </c>
      <c r="F64" s="162">
        <v>1153527</v>
      </c>
      <c r="G64" s="167" t="s">
        <v>48</v>
      </c>
      <c r="H64" s="163">
        <v>601391</v>
      </c>
      <c r="I64" s="163">
        <v>1153527</v>
      </c>
      <c r="J64" s="176">
        <v>15.47</v>
      </c>
      <c r="K64" s="165" t="str">
        <f t="shared" si="1"/>
        <v>LOGRADO</v>
      </c>
      <c r="L64" s="176">
        <v>15.47</v>
      </c>
      <c r="M64" s="165" t="str">
        <f t="shared" si="2"/>
        <v>LOGRADO</v>
      </c>
      <c r="N64" s="165">
        <v>9.57</v>
      </c>
      <c r="O64" t="str">
        <f t="shared" si="3"/>
        <v>INICIO</v>
      </c>
      <c r="P64">
        <v>9.5500000000000007</v>
      </c>
      <c r="Q64" t="str">
        <f t="shared" si="4"/>
        <v>INICIO</v>
      </c>
      <c r="R64" s="166" t="str">
        <f t="shared" si="13"/>
        <v>DESAPROBADO</v>
      </c>
    </row>
    <row r="65" spans="1:18" hidden="1" x14ac:dyDescent="0.25">
      <c r="A65" s="160">
        <v>47</v>
      </c>
      <c r="B65" s="160">
        <v>27</v>
      </c>
      <c r="C65" s="177">
        <v>42094475</v>
      </c>
      <c r="D65" s="162" t="s">
        <v>1578</v>
      </c>
      <c r="E65" s="162">
        <v>60181</v>
      </c>
      <c r="F65" s="162">
        <v>398370</v>
      </c>
      <c r="G65" s="167" t="s">
        <v>48</v>
      </c>
      <c r="H65" s="163">
        <v>60181</v>
      </c>
      <c r="I65" s="163">
        <v>398370</v>
      </c>
      <c r="J65" s="176">
        <v>15.98</v>
      </c>
      <c r="K65" s="165" t="str">
        <f t="shared" si="1"/>
        <v>LOGRADO</v>
      </c>
      <c r="L65" s="176">
        <v>15.98</v>
      </c>
      <c r="M65" s="165" t="str">
        <f t="shared" si="2"/>
        <v>LOGRADO</v>
      </c>
      <c r="N65" s="165">
        <v>15.53</v>
      </c>
      <c r="O65" t="str">
        <f t="shared" si="3"/>
        <v>LOGRADO</v>
      </c>
      <c r="P65">
        <v>11.28</v>
      </c>
      <c r="Q65" t="str">
        <f t="shared" si="4"/>
        <v>EN PROCESO</v>
      </c>
      <c r="R65" s="166" t="str">
        <f t="shared" si="13"/>
        <v xml:space="preserve">APROBADO </v>
      </c>
    </row>
    <row r="66" spans="1:18" hidden="1" x14ac:dyDescent="0.25">
      <c r="A66" s="160">
        <v>47</v>
      </c>
      <c r="B66" s="160">
        <v>28</v>
      </c>
      <c r="C66" s="177">
        <v>41472530</v>
      </c>
      <c r="D66" s="162" t="s">
        <v>1579</v>
      </c>
      <c r="E66" s="162">
        <v>60133</v>
      </c>
      <c r="F66" s="162">
        <v>398313</v>
      </c>
      <c r="G66" s="167" t="s">
        <v>85</v>
      </c>
      <c r="H66" s="163" t="str">
        <f>IF(G66="NO","NO APLICA","ESCRIBA EL NOMBRE DEL IIEE")</f>
        <v>NO APLICA</v>
      </c>
      <c r="I66" s="163" t="str">
        <f>IF(H66="NO APLICA","NO APLICA","ESCRIBA EL CÓDIGO MODULAR")</f>
        <v>NO APLICA</v>
      </c>
      <c r="J66" s="176">
        <v>16.149999999999999</v>
      </c>
      <c r="K66" s="165" t="str">
        <f t="shared" si="1"/>
        <v>LOGRADO</v>
      </c>
      <c r="L66" s="176">
        <v>16.149999999999999</v>
      </c>
      <c r="M66" s="165" t="str">
        <f t="shared" si="2"/>
        <v>LOGRADO</v>
      </c>
      <c r="N66" s="165">
        <v>14.4</v>
      </c>
      <c r="O66" t="str">
        <f t="shared" si="3"/>
        <v>EN PROCESO</v>
      </c>
      <c r="P66">
        <v>11.41</v>
      </c>
      <c r="Q66" t="str">
        <f t="shared" si="4"/>
        <v>EN PROCESO</v>
      </c>
      <c r="R66" s="166" t="str">
        <f t="shared" si="13"/>
        <v xml:space="preserve">APROBADO </v>
      </c>
    </row>
    <row r="67" spans="1:18" hidden="1" x14ac:dyDescent="0.25">
      <c r="A67" s="160">
        <v>47</v>
      </c>
      <c r="B67" s="160">
        <v>29</v>
      </c>
      <c r="C67" s="177">
        <v>5370213</v>
      </c>
      <c r="D67" s="162" t="s">
        <v>1580</v>
      </c>
      <c r="E67" s="162">
        <v>601511</v>
      </c>
      <c r="F67" s="162">
        <v>1154368</v>
      </c>
      <c r="G67" s="167" t="s">
        <v>48</v>
      </c>
      <c r="H67" s="163">
        <v>601511</v>
      </c>
      <c r="I67" s="163">
        <v>1154368</v>
      </c>
      <c r="J67" s="176">
        <v>15.73</v>
      </c>
      <c r="K67" s="165" t="str">
        <f t="shared" ref="K67:K130" si="18">IF(J67&lt;=5,"PREVIO AL INICIO",IF(J67&lt;=10.999,"INICIO",IF(J67&lt;=14.999,"EN PROCESO",IF(J67&lt;=19.999,"LOGRADO",IF(J67=20,"DESTACADO","")))))</f>
        <v>LOGRADO</v>
      </c>
      <c r="L67" s="176">
        <v>15.73</v>
      </c>
      <c r="M67" s="165" t="str">
        <f t="shared" ref="M67:M130" si="19">IF(L67&lt;=5,"PREVIO AL INICIO",IF(L67&lt;=10.999,"INICIO",IF(L67&lt;=14.999,"EN PROCESO",IF(L67&lt;=19.999,"LOGRADO",IF(L67=20,"DESTACADO","")))))</f>
        <v>LOGRADO</v>
      </c>
      <c r="N67" s="165">
        <v>14.93</v>
      </c>
      <c r="O67" t="str">
        <f t="shared" ref="O67:O114" si="20">IF(N67&lt;=5,"PREVIO AL INICIO",IF(N67&lt;=10.999,"INICIO",IF(N67&lt;=14.999,"EN PROCESO",IF(N67&lt;=19.999,"LOGRADO",IF(N67=20,"DESTACADO","")))))</f>
        <v>EN PROCESO</v>
      </c>
      <c r="P67">
        <v>8.7899999999999991</v>
      </c>
      <c r="Q67" t="str">
        <f t="shared" ref="Q67:Q130" si="21">IF(P67&lt;=5,"PREVIO AL INICIO",IF(P67&lt;=10.999,"INICIO",IF(P67&lt;=14.999,"EN PROCESO",IF(P67&lt;=19.999,"LOGRADO",IF(P67=20,"DESTACADO","")))))</f>
        <v>INICIO</v>
      </c>
      <c r="R67" s="166" t="str">
        <f t="shared" si="13"/>
        <v>DESAPROBADO</v>
      </c>
    </row>
    <row r="68" spans="1:18" hidden="1" x14ac:dyDescent="0.25">
      <c r="A68" s="160">
        <v>47</v>
      </c>
      <c r="B68" s="160">
        <v>30</v>
      </c>
      <c r="C68" s="178">
        <v>41322060</v>
      </c>
      <c r="D68" s="180" t="s">
        <v>1581</v>
      </c>
      <c r="E68" s="180">
        <v>6010231</v>
      </c>
      <c r="F68" s="180">
        <v>683474</v>
      </c>
      <c r="G68" s="167" t="s">
        <v>48</v>
      </c>
      <c r="H68" s="163">
        <v>6010231</v>
      </c>
      <c r="I68" s="163">
        <v>683474</v>
      </c>
      <c r="J68" s="176">
        <v>17.57</v>
      </c>
      <c r="K68" s="165" t="str">
        <f t="shared" si="18"/>
        <v>LOGRADO</v>
      </c>
      <c r="L68" s="176">
        <v>17.57</v>
      </c>
      <c r="M68" s="165" t="str">
        <f t="shared" si="19"/>
        <v>LOGRADO</v>
      </c>
      <c r="N68" s="165">
        <v>16.77</v>
      </c>
      <c r="O68" t="str">
        <f t="shared" si="20"/>
        <v>LOGRADO</v>
      </c>
      <c r="P68">
        <v>13.43</v>
      </c>
      <c r="Q68" t="str">
        <f t="shared" si="21"/>
        <v>EN PROCESO</v>
      </c>
      <c r="R68" s="166" t="str">
        <f t="shared" si="13"/>
        <v xml:space="preserve">APROBADO </v>
      </c>
    </row>
    <row r="69" spans="1:18" hidden="1" x14ac:dyDescent="0.25">
      <c r="A69" s="160">
        <v>47</v>
      </c>
      <c r="B69" s="160">
        <v>31</v>
      </c>
      <c r="C69" s="178">
        <v>77086430</v>
      </c>
      <c r="D69" s="180" t="s">
        <v>1582</v>
      </c>
      <c r="E69" s="180">
        <v>601614</v>
      </c>
      <c r="F69" s="180">
        <v>1320001</v>
      </c>
      <c r="G69" s="167" t="s">
        <v>85</v>
      </c>
      <c r="H69" s="163" t="str">
        <f>IF(G69="NO","NO APLICA","ESCRIBA EL NOMBRE DEL IIEE")</f>
        <v>NO APLICA</v>
      </c>
      <c r="I69" s="163" t="str">
        <f>IF(H69="NO APLICA","NO APLICA","ESCRIBA EL CÓDIGO MODULAR")</f>
        <v>NO APLICA</v>
      </c>
      <c r="J69" s="176">
        <v>16.899999999999999</v>
      </c>
      <c r="K69" s="165" t="str">
        <f t="shared" si="18"/>
        <v>LOGRADO</v>
      </c>
      <c r="L69" s="176">
        <v>16.899999999999999</v>
      </c>
      <c r="M69" s="165" t="str">
        <f t="shared" si="19"/>
        <v>LOGRADO</v>
      </c>
      <c r="N69" s="165">
        <v>17.5</v>
      </c>
      <c r="O69" t="str">
        <f t="shared" si="20"/>
        <v>LOGRADO</v>
      </c>
      <c r="P69">
        <v>12.25</v>
      </c>
      <c r="Q69" t="str">
        <f t="shared" si="21"/>
        <v>EN PROCESO</v>
      </c>
      <c r="R69" s="166" t="str">
        <f t="shared" si="13"/>
        <v xml:space="preserve">APROBADO </v>
      </c>
    </row>
    <row r="70" spans="1:18" hidden="1" x14ac:dyDescent="0.25">
      <c r="A70" s="160">
        <v>47</v>
      </c>
      <c r="B70" s="160">
        <v>32</v>
      </c>
      <c r="C70" s="178">
        <v>5860298</v>
      </c>
      <c r="D70" s="180" t="s">
        <v>1583</v>
      </c>
      <c r="E70" s="180">
        <v>601570</v>
      </c>
      <c r="F70" s="180">
        <v>1262856</v>
      </c>
      <c r="G70" s="167" t="s">
        <v>48</v>
      </c>
      <c r="H70" s="163">
        <v>601570</v>
      </c>
      <c r="I70" s="163">
        <v>1262856</v>
      </c>
      <c r="J70" s="176">
        <v>15.65</v>
      </c>
      <c r="K70" s="165" t="str">
        <f t="shared" si="18"/>
        <v>LOGRADO</v>
      </c>
      <c r="L70" s="176">
        <v>15.65</v>
      </c>
      <c r="M70" s="165" t="str">
        <f t="shared" si="19"/>
        <v>LOGRADO</v>
      </c>
      <c r="N70" s="165">
        <v>15.1</v>
      </c>
      <c r="O70" t="str">
        <f t="shared" si="20"/>
        <v>LOGRADO</v>
      </c>
      <c r="P70">
        <v>11.01</v>
      </c>
      <c r="Q70" t="str">
        <f t="shared" si="21"/>
        <v>EN PROCESO</v>
      </c>
      <c r="R70" s="166" t="str">
        <f t="shared" si="13"/>
        <v xml:space="preserve">APROBADO </v>
      </c>
    </row>
    <row r="71" spans="1:18" hidden="1" x14ac:dyDescent="0.25">
      <c r="A71" s="160">
        <v>47</v>
      </c>
      <c r="B71" s="168"/>
      <c r="C71" s="182">
        <v>5344869</v>
      </c>
      <c r="D71" s="183" t="s">
        <v>1584</v>
      </c>
      <c r="E71" s="183">
        <v>601580</v>
      </c>
      <c r="F71" s="183">
        <v>1273960</v>
      </c>
      <c r="G71" s="167"/>
      <c r="H71" s="163" t="str">
        <f>IF(G71="NO","NO APLICA","ESCRIBA EL NOMBRE DEL IIEE")</f>
        <v>ESCRIBA EL NOMBRE DEL IIEE</v>
      </c>
      <c r="I71" s="163" t="str">
        <f>IF(H71="NO APLICA","NO APLICA","ESCRIBA EL CÓDIGO MODULAR")</f>
        <v>ESCRIBA EL CÓDIGO MODULAR</v>
      </c>
      <c r="J71" s="184">
        <v>4.1500000000000004</v>
      </c>
      <c r="K71" s="165" t="str">
        <f t="shared" si="18"/>
        <v>PREVIO AL INICIO</v>
      </c>
      <c r="L71" s="184">
        <v>4.1500000000000004</v>
      </c>
      <c r="M71" s="165" t="str">
        <f t="shared" si="19"/>
        <v>PREVIO AL INICIO</v>
      </c>
      <c r="N71" s="185">
        <v>4</v>
      </c>
      <c r="O71" t="str">
        <f t="shared" si="20"/>
        <v>PREVIO AL INICIO</v>
      </c>
      <c r="P71" s="215">
        <v>2</v>
      </c>
      <c r="Q71" t="str">
        <f t="shared" si="21"/>
        <v>PREVIO AL INICIO</v>
      </c>
      <c r="R71" s="186" t="s">
        <v>70</v>
      </c>
    </row>
    <row r="72" spans="1:18" x14ac:dyDescent="0.25">
      <c r="A72" s="160">
        <v>48</v>
      </c>
      <c r="B72" s="160">
        <v>1</v>
      </c>
      <c r="C72" s="177" t="s">
        <v>1585</v>
      </c>
      <c r="D72" s="187" t="s">
        <v>1586</v>
      </c>
      <c r="E72" s="187" t="s">
        <v>1587</v>
      </c>
      <c r="F72" s="187">
        <v>938142</v>
      </c>
      <c r="G72" s="167" t="s">
        <v>48</v>
      </c>
      <c r="H72" s="163" t="s">
        <v>1588</v>
      </c>
      <c r="I72" s="163">
        <v>1745728</v>
      </c>
      <c r="J72" s="165">
        <v>16.12</v>
      </c>
      <c r="K72" s="165" t="str">
        <f t="shared" si="18"/>
        <v>LOGRADO</v>
      </c>
      <c r="L72" s="165">
        <v>14.59</v>
      </c>
      <c r="M72" s="165" t="str">
        <f t="shared" si="19"/>
        <v>EN PROCESO</v>
      </c>
      <c r="N72" s="165">
        <v>14.72</v>
      </c>
      <c r="O72" t="str">
        <f t="shared" si="20"/>
        <v>EN PROCESO</v>
      </c>
      <c r="P72">
        <v>13.12</v>
      </c>
      <c r="Q72" t="str">
        <f t="shared" si="21"/>
        <v>EN PROCESO</v>
      </c>
      <c r="R72" s="166" t="str">
        <f t="shared" ref="R72:R112" si="22">IF(AND(J72&gt;=11,L72&gt;=11,N72&gt;=11,P72&gt;=11),"APROBADO ","DESAPROBADO")</f>
        <v xml:space="preserve">APROBADO </v>
      </c>
    </row>
    <row r="73" spans="1:18" x14ac:dyDescent="0.25">
      <c r="A73" s="160">
        <v>48</v>
      </c>
      <c r="B73" s="160">
        <v>2</v>
      </c>
      <c r="C73" s="177" t="s">
        <v>1589</v>
      </c>
      <c r="D73" s="187" t="s">
        <v>1590</v>
      </c>
      <c r="E73" s="187" t="s">
        <v>1587</v>
      </c>
      <c r="F73" s="187">
        <v>938142</v>
      </c>
      <c r="G73" s="167" t="s">
        <v>48</v>
      </c>
      <c r="H73" s="187" t="s">
        <v>1587</v>
      </c>
      <c r="I73" s="163">
        <v>938142</v>
      </c>
      <c r="J73" s="165">
        <v>16.05</v>
      </c>
      <c r="K73" s="165" t="str">
        <f t="shared" si="18"/>
        <v>LOGRADO</v>
      </c>
      <c r="L73" s="165">
        <v>15.43</v>
      </c>
      <c r="M73" s="165" t="str">
        <f t="shared" si="19"/>
        <v>LOGRADO</v>
      </c>
      <c r="N73" s="165">
        <v>17.03</v>
      </c>
      <c r="O73" t="str">
        <f t="shared" si="20"/>
        <v>LOGRADO</v>
      </c>
      <c r="P73">
        <v>14.22</v>
      </c>
      <c r="Q73" t="str">
        <f t="shared" si="21"/>
        <v>EN PROCESO</v>
      </c>
      <c r="R73" s="166" t="str">
        <f t="shared" si="22"/>
        <v xml:space="preserve">APROBADO </v>
      </c>
    </row>
    <row r="74" spans="1:18" x14ac:dyDescent="0.25">
      <c r="A74" s="160">
        <v>48</v>
      </c>
      <c r="B74" s="160">
        <v>3</v>
      </c>
      <c r="C74" s="177" t="s">
        <v>1591</v>
      </c>
      <c r="D74" s="187" t="s">
        <v>1592</v>
      </c>
      <c r="E74" s="187" t="s">
        <v>1593</v>
      </c>
      <c r="F74" s="187">
        <v>938118</v>
      </c>
      <c r="G74" s="167" t="s">
        <v>48</v>
      </c>
      <c r="H74" s="163" t="s">
        <v>1593</v>
      </c>
      <c r="I74" s="163">
        <v>938118</v>
      </c>
      <c r="J74" s="165">
        <v>15.8</v>
      </c>
      <c r="K74" s="165" t="str">
        <f t="shared" si="18"/>
        <v>LOGRADO</v>
      </c>
      <c r="L74" s="165">
        <v>16.149999999999999</v>
      </c>
      <c r="M74" s="165" t="str">
        <f t="shared" si="19"/>
        <v>LOGRADO</v>
      </c>
      <c r="N74" s="165">
        <v>17</v>
      </c>
      <c r="O74" t="str">
        <f t="shared" si="20"/>
        <v>LOGRADO</v>
      </c>
      <c r="P74">
        <v>14.91</v>
      </c>
      <c r="Q74" t="str">
        <f t="shared" si="21"/>
        <v>EN PROCESO</v>
      </c>
      <c r="R74" s="166" t="str">
        <f t="shared" si="22"/>
        <v xml:space="preserve">APROBADO </v>
      </c>
    </row>
    <row r="75" spans="1:18" x14ac:dyDescent="0.25">
      <c r="A75" s="160">
        <v>48</v>
      </c>
      <c r="B75" s="160">
        <v>4</v>
      </c>
      <c r="C75" s="177">
        <v>70882613</v>
      </c>
      <c r="D75" s="187" t="s">
        <v>1594</v>
      </c>
      <c r="E75" s="187" t="s">
        <v>1595</v>
      </c>
      <c r="F75" s="187">
        <v>571356</v>
      </c>
      <c r="G75" s="167" t="s">
        <v>85</v>
      </c>
      <c r="H75" s="163" t="str">
        <f>IF(G75="NO","NO APLICA","ESCRIBA EL NOMBRE DEL IIEE")</f>
        <v>NO APLICA</v>
      </c>
      <c r="I75" s="163" t="str">
        <f>IF(H75="NO APLICA","NO APLICA","ESCRIBA EL CÓDIGO MODULAR")</f>
        <v>NO APLICA</v>
      </c>
      <c r="J75" s="165">
        <v>15.3</v>
      </c>
      <c r="K75" s="165" t="str">
        <f t="shared" si="18"/>
        <v>LOGRADO</v>
      </c>
      <c r="L75" s="165">
        <v>15.33</v>
      </c>
      <c r="M75" s="165" t="str">
        <f t="shared" si="19"/>
        <v>LOGRADO</v>
      </c>
      <c r="N75" s="165">
        <v>15.2</v>
      </c>
      <c r="O75" t="str">
        <f t="shared" si="20"/>
        <v>LOGRADO</v>
      </c>
      <c r="P75" s="215">
        <v>13.9</v>
      </c>
      <c r="Q75" t="str">
        <f t="shared" si="21"/>
        <v>EN PROCESO</v>
      </c>
      <c r="R75" s="166" t="str">
        <f t="shared" si="22"/>
        <v xml:space="preserve">APROBADO </v>
      </c>
    </row>
    <row r="76" spans="1:18" x14ac:dyDescent="0.25">
      <c r="A76" s="160">
        <v>48</v>
      </c>
      <c r="B76" s="160">
        <v>5</v>
      </c>
      <c r="C76" s="177">
        <v>41915580</v>
      </c>
      <c r="D76" s="187" t="s">
        <v>1596</v>
      </c>
      <c r="E76" s="187" t="s">
        <v>1597</v>
      </c>
      <c r="F76" s="187">
        <v>1681212</v>
      </c>
      <c r="G76" s="167" t="s">
        <v>48</v>
      </c>
      <c r="H76" s="163" t="s">
        <v>1598</v>
      </c>
      <c r="I76" s="163">
        <v>1715424</v>
      </c>
      <c r="J76" s="165">
        <v>18.18</v>
      </c>
      <c r="K76" s="165" t="str">
        <f t="shared" si="18"/>
        <v>LOGRADO</v>
      </c>
      <c r="L76" s="165">
        <v>15.96</v>
      </c>
      <c r="M76" s="165" t="str">
        <f t="shared" si="19"/>
        <v>LOGRADO</v>
      </c>
      <c r="N76" s="165">
        <v>16.53</v>
      </c>
      <c r="O76" t="str">
        <f t="shared" si="20"/>
        <v>LOGRADO</v>
      </c>
      <c r="P76">
        <v>16.760000000000002</v>
      </c>
      <c r="Q76" t="str">
        <f t="shared" si="21"/>
        <v>LOGRADO</v>
      </c>
      <c r="R76" s="166" t="str">
        <f t="shared" si="22"/>
        <v xml:space="preserve">APROBADO </v>
      </c>
    </row>
    <row r="77" spans="1:18" x14ac:dyDescent="0.25">
      <c r="A77" s="160">
        <v>48</v>
      </c>
      <c r="B77" s="160">
        <v>6</v>
      </c>
      <c r="C77" s="177">
        <v>76809705</v>
      </c>
      <c r="D77" s="187" t="s">
        <v>1599</v>
      </c>
      <c r="E77" s="187" t="s">
        <v>1600</v>
      </c>
      <c r="F77" s="187">
        <v>1715440</v>
      </c>
      <c r="G77" s="167" t="s">
        <v>85</v>
      </c>
      <c r="H77" s="163" t="str">
        <f>IF(G77="NO","NO APLICA","ESCRIBA EL NOMBRE DEL IIEE")</f>
        <v>NO APLICA</v>
      </c>
      <c r="I77" s="163" t="str">
        <f>IF(H77="NO APLICA","NO APLICA","ESCRIBA EL CÓDIGO MODULAR")</f>
        <v>NO APLICA</v>
      </c>
      <c r="J77" s="165">
        <v>17.82</v>
      </c>
      <c r="K77" s="165" t="str">
        <f t="shared" si="18"/>
        <v>LOGRADO</v>
      </c>
      <c r="L77" s="165">
        <v>18.54</v>
      </c>
      <c r="M77" s="165" t="str">
        <f t="shared" si="19"/>
        <v>LOGRADO</v>
      </c>
      <c r="N77" s="165">
        <v>18.489999999999998</v>
      </c>
      <c r="O77" t="str">
        <f t="shared" si="20"/>
        <v>LOGRADO</v>
      </c>
      <c r="P77">
        <v>13.98</v>
      </c>
      <c r="Q77" t="str">
        <f t="shared" si="21"/>
        <v>EN PROCESO</v>
      </c>
      <c r="R77" s="166" t="str">
        <f t="shared" si="22"/>
        <v xml:space="preserve">APROBADO </v>
      </c>
    </row>
    <row r="78" spans="1:18" x14ac:dyDescent="0.25">
      <c r="A78" s="160">
        <v>48</v>
      </c>
      <c r="B78" s="160">
        <v>7</v>
      </c>
      <c r="C78" s="177" t="s">
        <v>1601</v>
      </c>
      <c r="D78" s="187" t="s">
        <v>1602</v>
      </c>
      <c r="E78" s="187" t="s">
        <v>1603</v>
      </c>
      <c r="F78" s="187">
        <v>571232</v>
      </c>
      <c r="G78" s="167" t="s">
        <v>48</v>
      </c>
      <c r="H78" s="163" t="s">
        <v>1603</v>
      </c>
      <c r="I78" s="163">
        <v>571232</v>
      </c>
      <c r="J78" s="165">
        <v>16.25</v>
      </c>
      <c r="K78" s="165" t="str">
        <f t="shared" si="18"/>
        <v>LOGRADO</v>
      </c>
      <c r="L78" s="165">
        <v>15.53</v>
      </c>
      <c r="M78" s="165" t="str">
        <f t="shared" si="19"/>
        <v>LOGRADO</v>
      </c>
      <c r="N78" s="165">
        <v>16.899999999999999</v>
      </c>
      <c r="O78" t="str">
        <f t="shared" si="20"/>
        <v>LOGRADO</v>
      </c>
      <c r="P78">
        <v>14.51</v>
      </c>
      <c r="Q78" t="str">
        <f t="shared" si="21"/>
        <v>EN PROCESO</v>
      </c>
      <c r="R78" s="166" t="str">
        <f t="shared" si="22"/>
        <v xml:space="preserve">APROBADO </v>
      </c>
    </row>
    <row r="79" spans="1:18" x14ac:dyDescent="0.25">
      <c r="A79" s="160">
        <v>48</v>
      </c>
      <c r="B79" s="160">
        <v>8</v>
      </c>
      <c r="C79" s="188" t="s">
        <v>1604</v>
      </c>
      <c r="D79" s="187" t="s">
        <v>1605</v>
      </c>
      <c r="E79" s="187" t="s">
        <v>1606</v>
      </c>
      <c r="F79" s="187">
        <v>737791</v>
      </c>
      <c r="G79" s="167" t="s">
        <v>85</v>
      </c>
      <c r="H79" s="163" t="str">
        <f>IF(G79="NO","NO APLICA","ESCRIBA EL NOMBRE DEL IIEE")</f>
        <v>NO APLICA</v>
      </c>
      <c r="I79" s="163" t="str">
        <f>IF(H79="NO APLICA","NO APLICA","ESCRIBA EL CÓDIGO MODULAR")</f>
        <v>NO APLICA</v>
      </c>
      <c r="J79" s="165">
        <v>14.33</v>
      </c>
      <c r="K79" s="165" t="str">
        <f t="shared" si="18"/>
        <v>EN PROCESO</v>
      </c>
      <c r="L79" s="165">
        <v>12.91</v>
      </c>
      <c r="M79" s="165" t="str">
        <f t="shared" si="19"/>
        <v>EN PROCESO</v>
      </c>
      <c r="N79" s="165">
        <v>13.96</v>
      </c>
      <c r="O79" t="str">
        <f t="shared" si="20"/>
        <v>EN PROCESO</v>
      </c>
      <c r="P79">
        <v>13.69</v>
      </c>
      <c r="Q79" t="str">
        <f t="shared" si="21"/>
        <v>EN PROCESO</v>
      </c>
      <c r="R79" s="166" t="str">
        <f t="shared" si="22"/>
        <v xml:space="preserve">APROBADO </v>
      </c>
    </row>
    <row r="80" spans="1:18" x14ac:dyDescent="0.25">
      <c r="A80" s="160">
        <v>48</v>
      </c>
      <c r="B80" s="160">
        <v>9</v>
      </c>
      <c r="C80" s="177">
        <v>71113983</v>
      </c>
      <c r="D80" s="187" t="s">
        <v>1607</v>
      </c>
      <c r="E80" s="187" t="s">
        <v>1588</v>
      </c>
      <c r="F80" s="187">
        <v>1745728</v>
      </c>
      <c r="G80" s="167" t="s">
        <v>48</v>
      </c>
      <c r="H80" s="163" t="s">
        <v>1608</v>
      </c>
      <c r="I80" s="163">
        <v>1516269</v>
      </c>
      <c r="J80" s="165">
        <v>17.68</v>
      </c>
      <c r="K80" s="165" t="str">
        <f t="shared" si="18"/>
        <v>LOGRADO</v>
      </c>
      <c r="L80" s="165">
        <v>17.16</v>
      </c>
      <c r="M80" s="165" t="str">
        <f t="shared" si="19"/>
        <v>LOGRADO</v>
      </c>
      <c r="N80" s="165">
        <v>17.559999999999999</v>
      </c>
      <c r="O80" t="str">
        <f t="shared" si="20"/>
        <v>LOGRADO</v>
      </c>
      <c r="P80">
        <v>15.33</v>
      </c>
      <c r="Q80" t="str">
        <f t="shared" si="21"/>
        <v>LOGRADO</v>
      </c>
      <c r="R80" s="166" t="str">
        <f t="shared" si="22"/>
        <v xml:space="preserve">APROBADO </v>
      </c>
    </row>
    <row r="81" spans="1:18" x14ac:dyDescent="0.25">
      <c r="A81" s="160">
        <v>48</v>
      </c>
      <c r="B81" s="160">
        <v>10</v>
      </c>
      <c r="C81" s="177" t="s">
        <v>1609</v>
      </c>
      <c r="D81" s="187" t="s">
        <v>1610</v>
      </c>
      <c r="E81" s="187" t="s">
        <v>1611</v>
      </c>
      <c r="F81" s="187">
        <v>1516277</v>
      </c>
      <c r="G81" s="167" t="s">
        <v>48</v>
      </c>
      <c r="H81" s="163" t="s">
        <v>1611</v>
      </c>
      <c r="I81" s="163">
        <v>1516277</v>
      </c>
      <c r="J81" s="165">
        <v>15.05</v>
      </c>
      <c r="K81" s="165" t="str">
        <f t="shared" si="18"/>
        <v>LOGRADO</v>
      </c>
      <c r="L81" s="165">
        <v>15.68</v>
      </c>
      <c r="M81" s="165" t="str">
        <f t="shared" si="19"/>
        <v>LOGRADO</v>
      </c>
      <c r="N81" s="165">
        <v>16.5</v>
      </c>
      <c r="O81" t="str">
        <f t="shared" si="20"/>
        <v>LOGRADO</v>
      </c>
      <c r="P81">
        <v>14.59</v>
      </c>
      <c r="Q81" t="str">
        <f t="shared" si="21"/>
        <v>EN PROCESO</v>
      </c>
      <c r="R81" s="166" t="str">
        <f t="shared" si="22"/>
        <v xml:space="preserve">APROBADO </v>
      </c>
    </row>
    <row r="82" spans="1:18" x14ac:dyDescent="0.25">
      <c r="A82" s="160">
        <v>48</v>
      </c>
      <c r="B82" s="160">
        <v>11</v>
      </c>
      <c r="C82" s="177" t="s">
        <v>1612</v>
      </c>
      <c r="D82" s="187" t="s">
        <v>1613</v>
      </c>
      <c r="E82" s="187" t="s">
        <v>1606</v>
      </c>
      <c r="F82" s="187">
        <v>737791</v>
      </c>
      <c r="G82" s="167" t="s">
        <v>48</v>
      </c>
      <c r="H82" s="163" t="s">
        <v>1606</v>
      </c>
      <c r="I82" s="163">
        <v>737791</v>
      </c>
      <c r="J82" s="165">
        <v>16.329999999999998</v>
      </c>
      <c r="K82" s="165" t="str">
        <f t="shared" si="18"/>
        <v>LOGRADO</v>
      </c>
      <c r="L82" s="165">
        <v>14.98</v>
      </c>
      <c r="M82" s="165" t="str">
        <f t="shared" si="19"/>
        <v>EN PROCESO</v>
      </c>
      <c r="N82" s="165">
        <v>16.309999999999999</v>
      </c>
      <c r="O82" t="str">
        <f t="shared" si="20"/>
        <v>LOGRADO</v>
      </c>
      <c r="P82">
        <v>13.84</v>
      </c>
      <c r="Q82" t="str">
        <f t="shared" si="21"/>
        <v>EN PROCESO</v>
      </c>
      <c r="R82" s="166" t="str">
        <f t="shared" si="22"/>
        <v xml:space="preserve">APROBADO </v>
      </c>
    </row>
    <row r="83" spans="1:18" x14ac:dyDescent="0.25">
      <c r="A83" s="160">
        <v>48</v>
      </c>
      <c r="B83" s="160">
        <v>12</v>
      </c>
      <c r="C83" s="177">
        <v>71054469</v>
      </c>
      <c r="D83" s="187" t="s">
        <v>1614</v>
      </c>
      <c r="E83" s="187" t="s">
        <v>1615</v>
      </c>
      <c r="F83" s="187">
        <v>737783</v>
      </c>
      <c r="G83" s="167" t="s">
        <v>48</v>
      </c>
      <c r="H83" s="163" t="s">
        <v>1595</v>
      </c>
      <c r="I83" s="163">
        <v>571356</v>
      </c>
      <c r="J83" s="165">
        <v>17.63</v>
      </c>
      <c r="K83" s="165" t="str">
        <f t="shared" si="18"/>
        <v>LOGRADO</v>
      </c>
      <c r="L83" s="165">
        <v>16.43</v>
      </c>
      <c r="M83" s="165" t="str">
        <f t="shared" si="19"/>
        <v>LOGRADO</v>
      </c>
      <c r="N83" s="165">
        <v>17.28</v>
      </c>
      <c r="O83" t="str">
        <f t="shared" si="20"/>
        <v>LOGRADO</v>
      </c>
      <c r="P83">
        <v>13.49</v>
      </c>
      <c r="Q83" t="str">
        <f t="shared" si="21"/>
        <v>EN PROCESO</v>
      </c>
      <c r="R83" s="166" t="str">
        <f t="shared" si="22"/>
        <v xml:space="preserve">APROBADO </v>
      </c>
    </row>
    <row r="84" spans="1:18" x14ac:dyDescent="0.25">
      <c r="A84" s="160">
        <v>48</v>
      </c>
      <c r="B84" s="160">
        <v>13</v>
      </c>
      <c r="C84" s="177" t="s">
        <v>1616</v>
      </c>
      <c r="D84" s="187" t="s">
        <v>1617</v>
      </c>
      <c r="E84" s="187" t="s">
        <v>1600</v>
      </c>
      <c r="F84" s="187">
        <v>1715440</v>
      </c>
      <c r="G84" s="167" t="s">
        <v>48</v>
      </c>
      <c r="H84" s="163" t="s">
        <v>1600</v>
      </c>
      <c r="I84" s="163">
        <v>1715440</v>
      </c>
      <c r="J84" s="165">
        <v>15.58</v>
      </c>
      <c r="K84" s="165" t="str">
        <f t="shared" si="18"/>
        <v>LOGRADO</v>
      </c>
      <c r="L84" s="165">
        <v>14.31</v>
      </c>
      <c r="M84" s="165" t="str">
        <f t="shared" si="19"/>
        <v>EN PROCESO</v>
      </c>
      <c r="N84" s="165">
        <v>16.809999999999999</v>
      </c>
      <c r="O84" t="str">
        <f t="shared" si="20"/>
        <v>LOGRADO</v>
      </c>
      <c r="P84">
        <v>13.62</v>
      </c>
      <c r="Q84" t="str">
        <f t="shared" si="21"/>
        <v>EN PROCESO</v>
      </c>
      <c r="R84" s="166" t="str">
        <f t="shared" si="22"/>
        <v xml:space="preserve">APROBADO </v>
      </c>
    </row>
    <row r="85" spans="1:18" x14ac:dyDescent="0.25">
      <c r="A85" s="160">
        <v>48</v>
      </c>
      <c r="B85" s="160">
        <v>14</v>
      </c>
      <c r="C85" s="177">
        <v>48595936</v>
      </c>
      <c r="D85" s="187" t="s">
        <v>1618</v>
      </c>
      <c r="E85" s="187" t="s">
        <v>716</v>
      </c>
      <c r="F85" s="187" t="s">
        <v>716</v>
      </c>
      <c r="G85" s="167" t="s">
        <v>85</v>
      </c>
      <c r="H85" s="163" t="str">
        <f>IF(G85="NO","NO APLICA","ESCRIBA EL NOMBRE DEL IIEE")</f>
        <v>NO APLICA</v>
      </c>
      <c r="I85" s="163" t="str">
        <f>IF(H85="NO APLICA","NO APLICA","ESCRIBA EL CÓDIGO MODULAR")</f>
        <v>NO APLICA</v>
      </c>
      <c r="J85" s="165">
        <v>18.87</v>
      </c>
      <c r="K85" s="165" t="str">
        <f t="shared" si="18"/>
        <v>LOGRADO</v>
      </c>
      <c r="L85" s="165">
        <v>17.34</v>
      </c>
      <c r="M85" s="165" t="str">
        <f t="shared" si="19"/>
        <v>LOGRADO</v>
      </c>
      <c r="N85" s="165">
        <v>18.239999999999998</v>
      </c>
      <c r="O85" t="str">
        <f t="shared" si="20"/>
        <v>LOGRADO</v>
      </c>
      <c r="P85">
        <v>16.73</v>
      </c>
      <c r="Q85" t="str">
        <f t="shared" si="21"/>
        <v>LOGRADO</v>
      </c>
      <c r="R85" s="166" t="str">
        <f t="shared" si="22"/>
        <v xml:space="preserve">APROBADO </v>
      </c>
    </row>
    <row r="86" spans="1:18" x14ac:dyDescent="0.25">
      <c r="A86" s="160">
        <v>48</v>
      </c>
      <c r="B86" s="160">
        <v>15</v>
      </c>
      <c r="C86" s="177" t="s">
        <v>1619</v>
      </c>
      <c r="D86" s="187" t="s">
        <v>1620</v>
      </c>
      <c r="E86" s="187" t="s">
        <v>1597</v>
      </c>
      <c r="F86" s="187">
        <v>1681212</v>
      </c>
      <c r="G86" s="167" t="s">
        <v>48</v>
      </c>
      <c r="H86" s="163" t="s">
        <v>1603</v>
      </c>
      <c r="I86" s="163">
        <v>571232</v>
      </c>
      <c r="J86" s="165">
        <v>14.2</v>
      </c>
      <c r="K86" s="165" t="str">
        <f t="shared" si="18"/>
        <v>EN PROCESO</v>
      </c>
      <c r="L86" s="165">
        <v>13.03</v>
      </c>
      <c r="M86" s="165" t="str">
        <f t="shared" si="19"/>
        <v>EN PROCESO</v>
      </c>
      <c r="N86" s="165">
        <v>13.6</v>
      </c>
      <c r="O86" t="str">
        <f t="shared" si="20"/>
        <v>EN PROCESO</v>
      </c>
      <c r="P86" s="215">
        <v>11.1</v>
      </c>
      <c r="Q86" t="str">
        <f t="shared" si="21"/>
        <v>EN PROCESO</v>
      </c>
      <c r="R86" s="166" t="str">
        <f t="shared" si="22"/>
        <v xml:space="preserve">APROBADO </v>
      </c>
    </row>
    <row r="87" spans="1:18" x14ac:dyDescent="0.25">
      <c r="A87" s="160">
        <v>48</v>
      </c>
      <c r="B87" s="160">
        <v>16</v>
      </c>
      <c r="C87" s="177">
        <v>71052354</v>
      </c>
      <c r="D87" s="187" t="s">
        <v>1621</v>
      </c>
      <c r="E87" s="187" t="s">
        <v>1611</v>
      </c>
      <c r="F87" s="187">
        <v>1516277</v>
      </c>
      <c r="G87" s="167" t="s">
        <v>48</v>
      </c>
      <c r="H87" s="163" t="s">
        <v>1622</v>
      </c>
      <c r="I87" s="163">
        <v>1715820</v>
      </c>
      <c r="J87" s="165">
        <v>13.13</v>
      </c>
      <c r="K87" s="165" t="str">
        <f t="shared" si="18"/>
        <v>EN PROCESO</v>
      </c>
      <c r="L87" s="165">
        <v>13.53</v>
      </c>
      <c r="M87" s="165" t="str">
        <f t="shared" si="19"/>
        <v>EN PROCESO</v>
      </c>
      <c r="N87" s="165">
        <v>14.61</v>
      </c>
      <c r="O87" t="str">
        <f t="shared" si="20"/>
        <v>EN PROCESO</v>
      </c>
      <c r="P87">
        <v>12.85</v>
      </c>
      <c r="Q87" t="str">
        <f t="shared" si="21"/>
        <v>EN PROCESO</v>
      </c>
      <c r="R87" s="166" t="str">
        <f t="shared" si="22"/>
        <v xml:space="preserve">APROBADO </v>
      </c>
    </row>
    <row r="88" spans="1:18" x14ac:dyDescent="0.25">
      <c r="A88" s="160">
        <v>48</v>
      </c>
      <c r="B88" s="160">
        <v>17</v>
      </c>
      <c r="C88" s="177">
        <v>75874786</v>
      </c>
      <c r="D88" s="187" t="s">
        <v>1623</v>
      </c>
      <c r="E88" s="187" t="s">
        <v>1598</v>
      </c>
      <c r="F88" s="187">
        <v>1715424</v>
      </c>
      <c r="G88" s="167" t="s">
        <v>48</v>
      </c>
      <c r="H88" s="163" t="s">
        <v>1595</v>
      </c>
      <c r="I88" s="163">
        <v>571356</v>
      </c>
      <c r="J88" s="165">
        <v>17.22</v>
      </c>
      <c r="K88" s="165" t="str">
        <f t="shared" si="18"/>
        <v>LOGRADO</v>
      </c>
      <c r="L88" s="165">
        <v>16.37</v>
      </c>
      <c r="M88" s="165" t="str">
        <f t="shared" si="19"/>
        <v>LOGRADO</v>
      </c>
      <c r="N88" s="165">
        <v>16.37</v>
      </c>
      <c r="O88" t="str">
        <f t="shared" si="20"/>
        <v>LOGRADO</v>
      </c>
      <c r="P88">
        <v>14.15</v>
      </c>
      <c r="Q88" t="str">
        <f t="shared" si="21"/>
        <v>EN PROCESO</v>
      </c>
      <c r="R88" s="166" t="str">
        <f t="shared" si="22"/>
        <v xml:space="preserve">APROBADO </v>
      </c>
    </row>
    <row r="89" spans="1:18" x14ac:dyDescent="0.25">
      <c r="A89" s="160">
        <v>48</v>
      </c>
      <c r="B89" s="160">
        <v>18</v>
      </c>
      <c r="C89" s="177">
        <v>44431929</v>
      </c>
      <c r="D89" s="187" t="s">
        <v>1624</v>
      </c>
      <c r="E89" s="187" t="s">
        <v>1587</v>
      </c>
      <c r="F89" s="187">
        <v>938142</v>
      </c>
      <c r="G89" s="167" t="s">
        <v>48</v>
      </c>
      <c r="H89" s="163" t="s">
        <v>1595</v>
      </c>
      <c r="I89" s="163">
        <v>571356</v>
      </c>
      <c r="J89" s="165">
        <v>16.829999999999998</v>
      </c>
      <c r="K89" s="165" t="str">
        <f t="shared" si="18"/>
        <v>LOGRADO</v>
      </c>
      <c r="L89" s="165">
        <v>16.579999999999998</v>
      </c>
      <c r="M89" s="165" t="str">
        <f t="shared" si="19"/>
        <v>LOGRADO</v>
      </c>
      <c r="N89" s="165">
        <v>17.21</v>
      </c>
      <c r="O89" t="str">
        <f t="shared" si="20"/>
        <v>LOGRADO</v>
      </c>
      <c r="P89">
        <v>15.27</v>
      </c>
      <c r="Q89" t="str">
        <f t="shared" si="21"/>
        <v>LOGRADO</v>
      </c>
      <c r="R89" s="166" t="str">
        <f t="shared" si="22"/>
        <v xml:space="preserve">APROBADO </v>
      </c>
    </row>
    <row r="90" spans="1:18" x14ac:dyDescent="0.25">
      <c r="A90" s="160">
        <v>48</v>
      </c>
      <c r="B90" s="160">
        <v>19</v>
      </c>
      <c r="C90" s="177">
        <v>40540628</v>
      </c>
      <c r="D90" s="187" t="s">
        <v>1625</v>
      </c>
      <c r="E90" s="187" t="s">
        <v>1608</v>
      </c>
      <c r="F90" s="187">
        <v>1516269</v>
      </c>
      <c r="G90" s="167" t="s">
        <v>48</v>
      </c>
      <c r="H90" s="163" t="s">
        <v>1608</v>
      </c>
      <c r="I90" s="163">
        <v>1516269</v>
      </c>
      <c r="J90" s="165">
        <v>16.670000000000002</v>
      </c>
      <c r="K90" s="165" t="str">
        <f t="shared" si="18"/>
        <v>LOGRADO</v>
      </c>
      <c r="L90" s="165">
        <v>15.52</v>
      </c>
      <c r="M90" s="165" t="str">
        <f t="shared" si="19"/>
        <v>LOGRADO</v>
      </c>
      <c r="N90" s="165">
        <v>17.09</v>
      </c>
      <c r="O90" t="str">
        <f t="shared" si="20"/>
        <v>LOGRADO</v>
      </c>
      <c r="P90">
        <v>15.81</v>
      </c>
      <c r="Q90" t="str">
        <f t="shared" si="21"/>
        <v>LOGRADO</v>
      </c>
      <c r="R90" s="166" t="str">
        <f t="shared" si="22"/>
        <v xml:space="preserve">APROBADO </v>
      </c>
    </row>
    <row r="91" spans="1:18" x14ac:dyDescent="0.25">
      <c r="A91" s="160">
        <v>48</v>
      </c>
      <c r="B91" s="160">
        <v>20</v>
      </c>
      <c r="C91" s="177">
        <v>72138453</v>
      </c>
      <c r="D91" s="187" t="s">
        <v>1626</v>
      </c>
      <c r="E91" s="187" t="s">
        <v>1593</v>
      </c>
      <c r="F91" s="187">
        <v>938118</v>
      </c>
      <c r="G91" s="167" t="s">
        <v>48</v>
      </c>
      <c r="H91" s="163" t="s">
        <v>1597</v>
      </c>
      <c r="I91" s="163">
        <v>1681212</v>
      </c>
      <c r="J91" s="165">
        <v>15.95</v>
      </c>
      <c r="K91" s="165" t="str">
        <f t="shared" si="18"/>
        <v>LOGRADO</v>
      </c>
      <c r="L91" s="165">
        <v>14.33</v>
      </c>
      <c r="M91" s="165" t="str">
        <f t="shared" si="19"/>
        <v>EN PROCESO</v>
      </c>
      <c r="N91" s="165">
        <v>16</v>
      </c>
      <c r="O91" t="str">
        <f t="shared" si="20"/>
        <v>LOGRADO</v>
      </c>
      <c r="P91">
        <v>11.79</v>
      </c>
      <c r="Q91" t="str">
        <f t="shared" si="21"/>
        <v>EN PROCESO</v>
      </c>
      <c r="R91" s="166" t="str">
        <f t="shared" si="22"/>
        <v xml:space="preserve">APROBADO </v>
      </c>
    </row>
    <row r="92" spans="1:18" x14ac:dyDescent="0.25">
      <c r="A92" s="160">
        <v>48</v>
      </c>
      <c r="B92" s="160">
        <v>21</v>
      </c>
      <c r="C92" s="177" t="s">
        <v>1627</v>
      </c>
      <c r="D92" s="187" t="s">
        <v>1628</v>
      </c>
      <c r="E92" s="187" t="s">
        <v>1629</v>
      </c>
      <c r="F92" s="187">
        <v>937813</v>
      </c>
      <c r="G92" s="167" t="s">
        <v>48</v>
      </c>
      <c r="H92" s="163" t="s">
        <v>1629</v>
      </c>
      <c r="I92" s="163">
        <v>937813</v>
      </c>
      <c r="J92" s="165">
        <v>16.5</v>
      </c>
      <c r="K92" s="165" t="str">
        <f t="shared" si="18"/>
        <v>LOGRADO</v>
      </c>
      <c r="L92" s="165">
        <v>14.7</v>
      </c>
      <c r="M92" s="165" t="str">
        <f t="shared" si="19"/>
        <v>EN PROCESO</v>
      </c>
      <c r="N92" s="165">
        <v>14.65</v>
      </c>
      <c r="O92" t="str">
        <f t="shared" si="20"/>
        <v>EN PROCESO</v>
      </c>
      <c r="P92">
        <v>13.85</v>
      </c>
      <c r="Q92" t="str">
        <f t="shared" si="21"/>
        <v>EN PROCESO</v>
      </c>
      <c r="R92" s="166" t="str">
        <f t="shared" si="22"/>
        <v xml:space="preserve">APROBADO </v>
      </c>
    </row>
    <row r="93" spans="1:18" x14ac:dyDescent="0.25">
      <c r="A93" s="160">
        <v>48</v>
      </c>
      <c r="B93" s="160">
        <v>22</v>
      </c>
      <c r="C93" s="177">
        <v>434338774</v>
      </c>
      <c r="D93" s="187" t="s">
        <v>1630</v>
      </c>
      <c r="E93" s="187" t="s">
        <v>716</v>
      </c>
      <c r="F93" s="187" t="s">
        <v>716</v>
      </c>
      <c r="G93" s="167" t="s">
        <v>85</v>
      </c>
      <c r="H93" s="163" t="str">
        <f>IF(G93="NO","NO APLICA","ESCRIBA EL NOMBRE DEL IIEE")</f>
        <v>NO APLICA</v>
      </c>
      <c r="I93" s="163" t="str">
        <f>IF(H93="NO APLICA","NO APLICA","ESCRIBA EL CÓDIGO MODULAR")</f>
        <v>NO APLICA</v>
      </c>
      <c r="J93" s="165">
        <v>15</v>
      </c>
      <c r="K93" s="165" t="str">
        <f t="shared" si="18"/>
        <v>LOGRADO</v>
      </c>
      <c r="L93" s="165">
        <v>14.65</v>
      </c>
      <c r="M93" s="165" t="str">
        <f t="shared" si="19"/>
        <v>EN PROCESO</v>
      </c>
      <c r="N93" s="165">
        <v>15.98</v>
      </c>
      <c r="O93" t="str">
        <f t="shared" si="20"/>
        <v>LOGRADO</v>
      </c>
      <c r="P93" s="215">
        <v>12.9</v>
      </c>
      <c r="Q93" t="str">
        <f t="shared" si="21"/>
        <v>EN PROCESO</v>
      </c>
      <c r="R93" s="166" t="str">
        <f t="shared" si="22"/>
        <v xml:space="preserve">APROBADO </v>
      </c>
    </row>
    <row r="94" spans="1:18" x14ac:dyDescent="0.25">
      <c r="A94" s="160">
        <v>48</v>
      </c>
      <c r="B94" s="160">
        <v>23</v>
      </c>
      <c r="C94" s="177">
        <v>48465363</v>
      </c>
      <c r="D94" s="187" t="s">
        <v>1631</v>
      </c>
      <c r="E94" s="187" t="s">
        <v>1593</v>
      </c>
      <c r="F94" s="187">
        <v>938118</v>
      </c>
      <c r="G94" s="167" t="s">
        <v>48</v>
      </c>
      <c r="H94" s="163" t="s">
        <v>1593</v>
      </c>
      <c r="I94" s="163">
        <v>938118</v>
      </c>
      <c r="J94" s="165">
        <v>16.87</v>
      </c>
      <c r="K94" s="165" t="str">
        <f t="shared" si="18"/>
        <v>LOGRADO</v>
      </c>
      <c r="L94" s="165">
        <v>14.94</v>
      </c>
      <c r="M94" s="165" t="str">
        <f t="shared" si="19"/>
        <v>EN PROCESO</v>
      </c>
      <c r="N94" s="165">
        <v>16.64</v>
      </c>
      <c r="O94" t="str">
        <f t="shared" si="20"/>
        <v>LOGRADO</v>
      </c>
      <c r="P94">
        <v>13.91</v>
      </c>
      <c r="Q94" t="str">
        <f t="shared" si="21"/>
        <v>EN PROCESO</v>
      </c>
      <c r="R94" s="166" t="str">
        <f t="shared" si="22"/>
        <v xml:space="preserve">APROBADO </v>
      </c>
    </row>
    <row r="95" spans="1:18" x14ac:dyDescent="0.25">
      <c r="A95" s="160">
        <v>48</v>
      </c>
      <c r="B95" s="160">
        <v>24</v>
      </c>
      <c r="C95" s="177">
        <v>62827369</v>
      </c>
      <c r="D95" s="187" t="s">
        <v>1632</v>
      </c>
      <c r="E95" s="187" t="s">
        <v>1622</v>
      </c>
      <c r="F95" s="187">
        <v>1715820</v>
      </c>
      <c r="G95" s="167" t="s">
        <v>48</v>
      </c>
      <c r="H95" s="163" t="s">
        <v>1615</v>
      </c>
      <c r="I95" s="163">
        <v>737783</v>
      </c>
      <c r="J95" s="165">
        <v>16.97</v>
      </c>
      <c r="K95" s="165" t="str">
        <f t="shared" si="18"/>
        <v>LOGRADO</v>
      </c>
      <c r="L95" s="165">
        <v>15.84</v>
      </c>
      <c r="M95" s="165" t="str">
        <f t="shared" si="19"/>
        <v>LOGRADO</v>
      </c>
      <c r="N95" s="165">
        <v>17.14</v>
      </c>
      <c r="O95" t="str">
        <f t="shared" si="20"/>
        <v>LOGRADO</v>
      </c>
      <c r="P95">
        <v>13.45</v>
      </c>
      <c r="Q95" t="str">
        <f t="shared" si="21"/>
        <v>EN PROCESO</v>
      </c>
      <c r="R95" s="166" t="str">
        <f t="shared" si="22"/>
        <v xml:space="preserve">APROBADO </v>
      </c>
    </row>
    <row r="96" spans="1:18" x14ac:dyDescent="0.25">
      <c r="A96" s="160">
        <v>48</v>
      </c>
      <c r="B96" s="160">
        <v>25</v>
      </c>
      <c r="C96" s="177">
        <v>43106315</v>
      </c>
      <c r="D96" s="187" t="s">
        <v>1633</v>
      </c>
      <c r="E96" s="187" t="s">
        <v>1595</v>
      </c>
      <c r="F96" s="187">
        <v>571356</v>
      </c>
      <c r="G96" s="167" t="s">
        <v>48</v>
      </c>
      <c r="H96" s="163" t="s">
        <v>1603</v>
      </c>
      <c r="I96" s="163">
        <v>571232</v>
      </c>
      <c r="J96" s="165">
        <v>14.43</v>
      </c>
      <c r="K96" s="165" t="str">
        <f t="shared" si="18"/>
        <v>EN PROCESO</v>
      </c>
      <c r="L96" s="165">
        <v>13.33</v>
      </c>
      <c r="M96" s="165" t="str">
        <f t="shared" si="19"/>
        <v>EN PROCESO</v>
      </c>
      <c r="N96" s="165">
        <v>14.83</v>
      </c>
      <c r="O96" t="str">
        <f t="shared" si="20"/>
        <v>EN PROCESO</v>
      </c>
      <c r="P96">
        <v>13.96</v>
      </c>
      <c r="Q96" t="str">
        <f t="shared" si="21"/>
        <v>EN PROCESO</v>
      </c>
      <c r="R96" s="166" t="str">
        <f t="shared" si="22"/>
        <v xml:space="preserve">APROBADO </v>
      </c>
    </row>
    <row r="97" spans="1:18" x14ac:dyDescent="0.25">
      <c r="A97" s="160">
        <v>48</v>
      </c>
      <c r="B97" s="160">
        <v>26</v>
      </c>
      <c r="C97" s="177" t="s">
        <v>1634</v>
      </c>
      <c r="D97" s="187" t="s">
        <v>1635</v>
      </c>
      <c r="E97" s="187" t="s">
        <v>1587</v>
      </c>
      <c r="F97" s="187">
        <v>938142</v>
      </c>
      <c r="G97" s="167" t="s">
        <v>48</v>
      </c>
      <c r="H97" s="187" t="s">
        <v>1587</v>
      </c>
      <c r="I97" s="163">
        <v>938142</v>
      </c>
      <c r="J97" s="165">
        <v>14.58</v>
      </c>
      <c r="K97" s="165" t="str">
        <f t="shared" si="18"/>
        <v>EN PROCESO</v>
      </c>
      <c r="L97" s="165">
        <v>13.48</v>
      </c>
      <c r="M97" s="165" t="str">
        <f t="shared" si="19"/>
        <v>EN PROCESO</v>
      </c>
      <c r="N97" s="165">
        <v>13.68</v>
      </c>
      <c r="O97" t="str">
        <f t="shared" si="20"/>
        <v>EN PROCESO</v>
      </c>
      <c r="P97">
        <v>12.97</v>
      </c>
      <c r="Q97" t="str">
        <f t="shared" si="21"/>
        <v>EN PROCESO</v>
      </c>
      <c r="R97" s="166" t="str">
        <f t="shared" si="22"/>
        <v xml:space="preserve">APROBADO </v>
      </c>
    </row>
    <row r="98" spans="1:18" x14ac:dyDescent="0.25">
      <c r="A98" s="160">
        <v>48</v>
      </c>
      <c r="B98" s="160">
        <v>27</v>
      </c>
      <c r="C98" s="177">
        <v>42788472</v>
      </c>
      <c r="D98" s="187" t="s">
        <v>1636</v>
      </c>
      <c r="E98" s="187" t="s">
        <v>1595</v>
      </c>
      <c r="F98" s="187">
        <v>571356</v>
      </c>
      <c r="G98" s="167" t="s">
        <v>48</v>
      </c>
      <c r="H98" s="163" t="s">
        <v>1597</v>
      </c>
      <c r="I98" s="163">
        <v>1681212</v>
      </c>
      <c r="J98" s="165">
        <v>14.18</v>
      </c>
      <c r="K98" s="165" t="str">
        <f t="shared" si="18"/>
        <v>EN PROCESO</v>
      </c>
      <c r="L98" s="165">
        <v>14.16</v>
      </c>
      <c r="M98" s="165" t="str">
        <f t="shared" si="19"/>
        <v>EN PROCESO</v>
      </c>
      <c r="N98" s="165">
        <v>14.56</v>
      </c>
      <c r="O98" t="str">
        <f t="shared" si="20"/>
        <v>EN PROCESO</v>
      </c>
      <c r="P98">
        <v>12.87</v>
      </c>
      <c r="Q98" t="str">
        <f t="shared" si="21"/>
        <v>EN PROCESO</v>
      </c>
      <c r="R98" s="166" t="str">
        <f t="shared" si="22"/>
        <v xml:space="preserve">APROBADO </v>
      </c>
    </row>
    <row r="99" spans="1:18" x14ac:dyDescent="0.25">
      <c r="A99" s="160">
        <v>48</v>
      </c>
      <c r="B99" s="160">
        <v>28</v>
      </c>
      <c r="C99" s="177">
        <v>42978594</v>
      </c>
      <c r="D99" s="187" t="s">
        <v>1637</v>
      </c>
      <c r="E99" s="187" t="s">
        <v>1587</v>
      </c>
      <c r="F99" s="187">
        <v>938142</v>
      </c>
      <c r="G99" s="167" t="s">
        <v>48</v>
      </c>
      <c r="H99" s="187" t="s">
        <v>1587</v>
      </c>
      <c r="I99" s="163">
        <v>938142</v>
      </c>
      <c r="J99" s="165">
        <v>16.02</v>
      </c>
      <c r="K99" s="165" t="str">
        <f t="shared" si="18"/>
        <v>LOGRADO</v>
      </c>
      <c r="L99" s="165">
        <v>14.74</v>
      </c>
      <c r="M99" s="165" t="str">
        <f t="shared" si="19"/>
        <v>EN PROCESO</v>
      </c>
      <c r="N99" s="165">
        <v>15.49</v>
      </c>
      <c r="O99" t="str">
        <f t="shared" si="20"/>
        <v>LOGRADO</v>
      </c>
      <c r="P99">
        <v>15.79</v>
      </c>
      <c r="Q99" t="str">
        <f t="shared" si="21"/>
        <v>LOGRADO</v>
      </c>
      <c r="R99" s="166" t="str">
        <f t="shared" si="22"/>
        <v xml:space="preserve">APROBADO </v>
      </c>
    </row>
    <row r="100" spans="1:18" x14ac:dyDescent="0.25">
      <c r="A100" s="160">
        <v>48</v>
      </c>
      <c r="B100" s="160">
        <v>29</v>
      </c>
      <c r="C100" s="177">
        <v>45706906</v>
      </c>
      <c r="D100" s="187" t="s">
        <v>1638</v>
      </c>
      <c r="E100" s="187" t="s">
        <v>1606</v>
      </c>
      <c r="F100" s="187">
        <v>737791</v>
      </c>
      <c r="G100" s="167" t="s">
        <v>48</v>
      </c>
      <c r="H100" s="163" t="s">
        <v>1606</v>
      </c>
      <c r="I100" s="163">
        <v>737791</v>
      </c>
      <c r="J100" s="165">
        <v>17.27</v>
      </c>
      <c r="K100" s="165" t="str">
        <f t="shared" si="18"/>
        <v>LOGRADO</v>
      </c>
      <c r="L100" s="165">
        <v>16.54</v>
      </c>
      <c r="M100" s="165" t="str">
        <f t="shared" si="19"/>
        <v>LOGRADO</v>
      </c>
      <c r="N100" s="165">
        <v>18.239999999999998</v>
      </c>
      <c r="O100" t="str">
        <f t="shared" si="20"/>
        <v>LOGRADO</v>
      </c>
      <c r="P100">
        <v>15.07</v>
      </c>
      <c r="Q100" t="str">
        <f t="shared" si="21"/>
        <v>LOGRADO</v>
      </c>
      <c r="R100" s="166" t="str">
        <f t="shared" si="22"/>
        <v xml:space="preserve">APROBADO </v>
      </c>
    </row>
    <row r="101" spans="1:18" x14ac:dyDescent="0.25">
      <c r="A101" s="160">
        <v>48</v>
      </c>
      <c r="B101" s="160">
        <v>30</v>
      </c>
      <c r="C101" s="177">
        <v>2896874</v>
      </c>
      <c r="D101" s="187" t="s">
        <v>1639</v>
      </c>
      <c r="E101" s="187" t="s">
        <v>1587</v>
      </c>
      <c r="F101" s="187">
        <v>938142</v>
      </c>
      <c r="G101" s="167" t="s">
        <v>48</v>
      </c>
      <c r="H101" s="187" t="s">
        <v>1587</v>
      </c>
      <c r="I101" s="163">
        <v>938142</v>
      </c>
      <c r="J101" s="165">
        <v>17.97</v>
      </c>
      <c r="K101" s="165" t="str">
        <f t="shared" si="18"/>
        <v>LOGRADO</v>
      </c>
      <c r="L101" s="165">
        <v>15.84</v>
      </c>
      <c r="M101" s="165" t="str">
        <f t="shared" si="19"/>
        <v>LOGRADO</v>
      </c>
      <c r="N101" s="165">
        <v>17.59</v>
      </c>
      <c r="O101" t="str">
        <f t="shared" si="20"/>
        <v>LOGRADO</v>
      </c>
      <c r="P101">
        <v>14.96</v>
      </c>
      <c r="Q101" t="str">
        <f t="shared" si="21"/>
        <v>EN PROCESO</v>
      </c>
      <c r="R101" s="166" t="str">
        <f t="shared" si="22"/>
        <v xml:space="preserve">APROBADO </v>
      </c>
    </row>
    <row r="102" spans="1:18" x14ac:dyDescent="0.25">
      <c r="A102" s="160">
        <v>48</v>
      </c>
      <c r="B102" s="160">
        <v>31</v>
      </c>
      <c r="C102" s="177">
        <v>45931098</v>
      </c>
      <c r="D102" s="187" t="s">
        <v>1640</v>
      </c>
      <c r="E102" s="187" t="s">
        <v>1595</v>
      </c>
      <c r="F102" s="187">
        <v>571356</v>
      </c>
      <c r="G102" s="167" t="s">
        <v>85</v>
      </c>
      <c r="H102" s="163" t="str">
        <f>IF(G102="NO","NO APLICA","ESCRIBA EL NOMBRE DEL IIEE")</f>
        <v>NO APLICA</v>
      </c>
      <c r="I102" s="163" t="str">
        <f>IF(H102="NO APLICA","NO APLICA","ESCRIBA EL CÓDIGO MODULAR")</f>
        <v>NO APLICA</v>
      </c>
      <c r="J102" s="165">
        <v>14.88</v>
      </c>
      <c r="K102" s="165" t="str">
        <f t="shared" si="18"/>
        <v>EN PROCESO</v>
      </c>
      <c r="L102" s="165">
        <v>13.58</v>
      </c>
      <c r="M102" s="165" t="str">
        <f t="shared" si="19"/>
        <v>EN PROCESO</v>
      </c>
      <c r="N102" s="165">
        <v>14.83</v>
      </c>
      <c r="O102" t="str">
        <f t="shared" si="20"/>
        <v>EN PROCESO</v>
      </c>
      <c r="P102">
        <v>12.87</v>
      </c>
      <c r="Q102" t="str">
        <f t="shared" si="21"/>
        <v>EN PROCESO</v>
      </c>
      <c r="R102" s="166" t="str">
        <f t="shared" si="22"/>
        <v xml:space="preserve">APROBADO </v>
      </c>
    </row>
    <row r="103" spans="1:18" x14ac:dyDescent="0.25">
      <c r="A103" s="160">
        <v>48</v>
      </c>
      <c r="B103" s="160">
        <v>32</v>
      </c>
      <c r="C103" s="177">
        <v>70434287</v>
      </c>
      <c r="D103" s="187" t="s">
        <v>1641</v>
      </c>
      <c r="E103" s="187" t="s">
        <v>1603</v>
      </c>
      <c r="F103" s="187">
        <v>571232</v>
      </c>
      <c r="G103" s="167" t="s">
        <v>48</v>
      </c>
      <c r="H103" s="163" t="s">
        <v>1603</v>
      </c>
      <c r="I103" s="163">
        <v>571232</v>
      </c>
      <c r="J103" s="165">
        <v>17.02</v>
      </c>
      <c r="K103" s="165" t="str">
        <f t="shared" si="18"/>
        <v>LOGRADO</v>
      </c>
      <c r="L103" s="165">
        <v>16.72</v>
      </c>
      <c r="M103" s="165" t="str">
        <f t="shared" si="19"/>
        <v>LOGRADO</v>
      </c>
      <c r="N103" s="165">
        <v>15.94</v>
      </c>
      <c r="O103" t="str">
        <f t="shared" si="20"/>
        <v>LOGRADO</v>
      </c>
      <c r="P103" s="215">
        <v>12.8</v>
      </c>
      <c r="Q103" t="str">
        <f t="shared" si="21"/>
        <v>EN PROCESO</v>
      </c>
      <c r="R103" s="166" t="str">
        <f t="shared" si="22"/>
        <v xml:space="preserve">APROBADO </v>
      </c>
    </row>
    <row r="104" spans="1:18" x14ac:dyDescent="0.25">
      <c r="A104" s="160">
        <v>48</v>
      </c>
      <c r="B104" s="160">
        <v>33</v>
      </c>
      <c r="C104" s="177">
        <v>72638092</v>
      </c>
      <c r="D104" s="187" t="s">
        <v>1642</v>
      </c>
      <c r="E104" s="187" t="s">
        <v>1643</v>
      </c>
      <c r="F104" s="187">
        <v>1715416</v>
      </c>
      <c r="G104" s="167" t="s">
        <v>48</v>
      </c>
      <c r="H104" s="163" t="s">
        <v>1643</v>
      </c>
      <c r="I104" s="163">
        <v>1715416</v>
      </c>
      <c r="J104" s="165">
        <v>17.57</v>
      </c>
      <c r="K104" s="165" t="str">
        <f t="shared" si="18"/>
        <v>LOGRADO</v>
      </c>
      <c r="L104" s="165">
        <v>15.84</v>
      </c>
      <c r="M104" s="165" t="str">
        <f t="shared" si="19"/>
        <v>LOGRADO</v>
      </c>
      <c r="N104" s="165">
        <v>15.44</v>
      </c>
      <c r="O104" t="str">
        <f t="shared" si="20"/>
        <v>LOGRADO</v>
      </c>
      <c r="P104">
        <v>14.87</v>
      </c>
      <c r="Q104" t="str">
        <f t="shared" si="21"/>
        <v>EN PROCESO</v>
      </c>
      <c r="R104" s="166" t="str">
        <f t="shared" si="22"/>
        <v xml:space="preserve">APROBADO </v>
      </c>
    </row>
    <row r="105" spans="1:18" x14ac:dyDescent="0.25">
      <c r="A105" s="160">
        <v>48</v>
      </c>
      <c r="B105" s="160">
        <v>34</v>
      </c>
      <c r="C105" s="177">
        <v>71026410</v>
      </c>
      <c r="D105" s="187" t="s">
        <v>1644</v>
      </c>
      <c r="E105" s="187" t="s">
        <v>1645</v>
      </c>
      <c r="F105" s="187">
        <v>1745710</v>
      </c>
      <c r="G105" s="167" t="s">
        <v>48</v>
      </c>
      <c r="H105" s="163" t="s">
        <v>1645</v>
      </c>
      <c r="I105" s="163">
        <v>1745710</v>
      </c>
      <c r="J105" s="165">
        <v>17.22</v>
      </c>
      <c r="K105" s="165" t="str">
        <f t="shared" si="18"/>
        <v>LOGRADO</v>
      </c>
      <c r="L105" s="165">
        <v>16.39</v>
      </c>
      <c r="M105" s="165" t="str">
        <f t="shared" si="19"/>
        <v>LOGRADO</v>
      </c>
      <c r="N105" s="165">
        <v>17.170000000000002</v>
      </c>
      <c r="O105" t="str">
        <f t="shared" si="20"/>
        <v>LOGRADO</v>
      </c>
      <c r="P105">
        <v>15.38</v>
      </c>
      <c r="Q105" t="str">
        <f t="shared" si="21"/>
        <v>LOGRADO</v>
      </c>
      <c r="R105" s="166" t="str">
        <f t="shared" si="22"/>
        <v xml:space="preserve">APROBADO </v>
      </c>
    </row>
    <row r="106" spans="1:18" x14ac:dyDescent="0.25">
      <c r="A106" s="160">
        <v>48</v>
      </c>
      <c r="B106" s="160">
        <v>35</v>
      </c>
      <c r="C106" s="177">
        <v>74386454</v>
      </c>
      <c r="D106" s="187" t="s">
        <v>1646</v>
      </c>
      <c r="E106" s="187" t="s">
        <v>1603</v>
      </c>
      <c r="F106" s="187">
        <v>571232</v>
      </c>
      <c r="G106" s="167" t="s">
        <v>48</v>
      </c>
      <c r="H106" s="163" t="s">
        <v>1593</v>
      </c>
      <c r="I106" s="163">
        <v>938118</v>
      </c>
      <c r="J106" s="165">
        <v>15.67</v>
      </c>
      <c r="K106" s="165" t="str">
        <f t="shared" si="18"/>
        <v>LOGRADO</v>
      </c>
      <c r="L106" s="165">
        <v>13.32</v>
      </c>
      <c r="M106" s="165" t="str">
        <f t="shared" si="19"/>
        <v>EN PROCESO</v>
      </c>
      <c r="N106" s="165">
        <v>15.67</v>
      </c>
      <c r="O106" t="str">
        <f t="shared" si="20"/>
        <v>LOGRADO</v>
      </c>
      <c r="P106">
        <v>11.35</v>
      </c>
      <c r="Q106" t="str">
        <f t="shared" si="21"/>
        <v>EN PROCESO</v>
      </c>
      <c r="R106" s="166" t="str">
        <f t="shared" si="22"/>
        <v xml:space="preserve">APROBADO </v>
      </c>
    </row>
    <row r="107" spans="1:18" x14ac:dyDescent="0.25">
      <c r="A107" s="160">
        <v>48</v>
      </c>
      <c r="B107" s="160">
        <v>36</v>
      </c>
      <c r="C107" s="177" t="s">
        <v>1647</v>
      </c>
      <c r="D107" s="187" t="s">
        <v>1648</v>
      </c>
      <c r="E107" s="187" t="s">
        <v>1600</v>
      </c>
      <c r="F107" s="187">
        <v>1715440</v>
      </c>
      <c r="G107" s="167" t="s">
        <v>48</v>
      </c>
      <c r="H107" s="163" t="s">
        <v>1600</v>
      </c>
      <c r="I107" s="163">
        <v>1715440</v>
      </c>
      <c r="J107" s="165">
        <v>14.62</v>
      </c>
      <c r="K107" s="165" t="str">
        <f t="shared" si="18"/>
        <v>EN PROCESO</v>
      </c>
      <c r="L107" s="165">
        <v>14.84</v>
      </c>
      <c r="M107" s="165" t="str">
        <f t="shared" si="19"/>
        <v>EN PROCESO</v>
      </c>
      <c r="N107" s="165">
        <v>15.87</v>
      </c>
      <c r="O107" t="str">
        <f t="shared" si="20"/>
        <v>LOGRADO</v>
      </c>
      <c r="P107">
        <v>14.31</v>
      </c>
      <c r="Q107" t="str">
        <f t="shared" si="21"/>
        <v>EN PROCESO</v>
      </c>
      <c r="R107" s="166" t="str">
        <f t="shared" si="22"/>
        <v xml:space="preserve">APROBADO </v>
      </c>
    </row>
    <row r="108" spans="1:18" x14ac:dyDescent="0.25">
      <c r="A108" s="160">
        <v>48</v>
      </c>
      <c r="B108" s="160">
        <v>37</v>
      </c>
      <c r="C108" s="177">
        <v>42276962</v>
      </c>
      <c r="D108" s="187" t="s">
        <v>1649</v>
      </c>
      <c r="E108" s="187" t="s">
        <v>1608</v>
      </c>
      <c r="F108" s="187">
        <v>1516269</v>
      </c>
      <c r="G108" s="167" t="s">
        <v>48</v>
      </c>
      <c r="H108" s="163" t="s">
        <v>1650</v>
      </c>
      <c r="I108" s="163">
        <v>552661</v>
      </c>
      <c r="J108" s="165">
        <v>16.600000000000001</v>
      </c>
      <c r="K108" s="165" t="str">
        <f t="shared" si="18"/>
        <v>LOGRADO</v>
      </c>
      <c r="L108" s="165">
        <v>13.93</v>
      </c>
      <c r="M108" s="165" t="str">
        <f t="shared" si="19"/>
        <v>EN PROCESO</v>
      </c>
      <c r="N108" s="165">
        <v>16.05</v>
      </c>
      <c r="O108" t="str">
        <f t="shared" si="20"/>
        <v>LOGRADO</v>
      </c>
      <c r="P108">
        <v>12.41</v>
      </c>
      <c r="Q108" t="str">
        <f t="shared" si="21"/>
        <v>EN PROCESO</v>
      </c>
      <c r="R108" s="166" t="str">
        <f t="shared" si="22"/>
        <v xml:space="preserve">APROBADO </v>
      </c>
    </row>
    <row r="109" spans="1:18" x14ac:dyDescent="0.25">
      <c r="A109" s="160">
        <v>48</v>
      </c>
      <c r="B109" s="160">
        <v>38</v>
      </c>
      <c r="C109" s="177">
        <v>44197587</v>
      </c>
      <c r="D109" s="187" t="s">
        <v>1651</v>
      </c>
      <c r="E109" s="187" t="s">
        <v>1587</v>
      </c>
      <c r="F109" s="187">
        <v>938142</v>
      </c>
      <c r="G109" s="167" t="s">
        <v>48</v>
      </c>
      <c r="H109" s="163" t="s">
        <v>1593</v>
      </c>
      <c r="I109" s="163">
        <v>938118</v>
      </c>
      <c r="J109" s="165">
        <v>13.47</v>
      </c>
      <c r="K109" s="165" t="str">
        <f t="shared" si="18"/>
        <v>EN PROCESO</v>
      </c>
      <c r="L109" s="165">
        <v>13.24</v>
      </c>
      <c r="M109" s="165" t="str">
        <f t="shared" si="19"/>
        <v>EN PROCESO</v>
      </c>
      <c r="N109" s="165">
        <v>14.02</v>
      </c>
      <c r="O109" t="str">
        <f t="shared" si="20"/>
        <v>EN PROCESO</v>
      </c>
      <c r="P109">
        <v>13.36</v>
      </c>
      <c r="Q109" t="str">
        <f t="shared" si="21"/>
        <v>EN PROCESO</v>
      </c>
      <c r="R109" s="166" t="str">
        <f t="shared" si="22"/>
        <v xml:space="preserve">APROBADO </v>
      </c>
    </row>
    <row r="110" spans="1:18" x14ac:dyDescent="0.25">
      <c r="A110" s="160">
        <v>48</v>
      </c>
      <c r="B110" s="160">
        <v>39</v>
      </c>
      <c r="C110" s="177">
        <v>47372106</v>
      </c>
      <c r="D110" s="187" t="s">
        <v>1652</v>
      </c>
      <c r="E110" s="187" t="s">
        <v>1595</v>
      </c>
      <c r="F110" s="187">
        <v>571356</v>
      </c>
      <c r="G110" s="167" t="s">
        <v>48</v>
      </c>
      <c r="H110" s="163" t="s">
        <v>1611</v>
      </c>
      <c r="I110" s="163">
        <v>1516277</v>
      </c>
      <c r="J110" s="165">
        <v>15.13</v>
      </c>
      <c r="K110" s="165" t="str">
        <f t="shared" si="18"/>
        <v>LOGRADO</v>
      </c>
      <c r="L110" s="165">
        <v>14.21</v>
      </c>
      <c r="M110" s="165" t="str">
        <f t="shared" si="19"/>
        <v>EN PROCESO</v>
      </c>
      <c r="N110" s="165">
        <v>15.18</v>
      </c>
      <c r="O110" t="str">
        <f t="shared" si="20"/>
        <v>LOGRADO</v>
      </c>
      <c r="P110">
        <v>10.34</v>
      </c>
      <c r="Q110" t="str">
        <f t="shared" si="21"/>
        <v>INICIO</v>
      </c>
      <c r="R110" s="166" t="str">
        <f t="shared" si="22"/>
        <v>DESAPROBADO</v>
      </c>
    </row>
    <row r="111" spans="1:18" x14ac:dyDescent="0.25">
      <c r="A111" s="160">
        <v>48</v>
      </c>
      <c r="B111" s="160">
        <v>40</v>
      </c>
      <c r="C111" s="177" t="s">
        <v>1653</v>
      </c>
      <c r="D111" s="187" t="s">
        <v>1654</v>
      </c>
      <c r="E111" s="187" t="s">
        <v>1611</v>
      </c>
      <c r="F111" s="187">
        <v>1516277</v>
      </c>
      <c r="G111" s="167" t="s">
        <v>48</v>
      </c>
      <c r="H111" s="163" t="s">
        <v>1595</v>
      </c>
      <c r="I111" s="163">
        <v>571356</v>
      </c>
      <c r="J111" s="165">
        <v>17.22</v>
      </c>
      <c r="K111" s="165" t="str">
        <f t="shared" si="18"/>
        <v>LOGRADO</v>
      </c>
      <c r="L111" s="165">
        <v>15.67</v>
      </c>
      <c r="M111" s="165" t="str">
        <f t="shared" si="19"/>
        <v>LOGRADO</v>
      </c>
      <c r="N111" s="165">
        <v>17.690000000000001</v>
      </c>
      <c r="O111" t="str">
        <f t="shared" si="20"/>
        <v>LOGRADO</v>
      </c>
      <c r="P111">
        <v>10.55</v>
      </c>
      <c r="Q111" t="str">
        <f t="shared" si="21"/>
        <v>INICIO</v>
      </c>
      <c r="R111" s="166" t="str">
        <f t="shared" si="22"/>
        <v>DESAPROBADO</v>
      </c>
    </row>
    <row r="112" spans="1:18" x14ac:dyDescent="0.25">
      <c r="A112" s="160">
        <v>48</v>
      </c>
      <c r="B112" s="160">
        <v>41</v>
      </c>
      <c r="C112" s="188" t="s">
        <v>1655</v>
      </c>
      <c r="D112" s="187" t="s">
        <v>1656</v>
      </c>
      <c r="E112" s="187" t="s">
        <v>1603</v>
      </c>
      <c r="F112" s="187">
        <v>571232</v>
      </c>
      <c r="G112" s="167" t="s">
        <v>85</v>
      </c>
      <c r="H112" s="163" t="str">
        <f t="shared" ref="H112:H113" si="23">IF(G112="NO","NO APLICA","ESCRIBA EL NOMBRE DEL IIEE")</f>
        <v>NO APLICA</v>
      </c>
      <c r="I112" s="163" t="str">
        <f t="shared" ref="I112:I113" si="24">IF(H112="NO APLICA","NO APLICA","ESCRIBA EL CÓDIGO MODULAR")</f>
        <v>NO APLICA</v>
      </c>
      <c r="J112" s="165">
        <v>16.12</v>
      </c>
      <c r="K112" s="165" t="str">
        <f t="shared" si="18"/>
        <v>LOGRADO</v>
      </c>
      <c r="L112" s="165">
        <v>15.14</v>
      </c>
      <c r="M112" s="165" t="str">
        <f t="shared" si="19"/>
        <v>LOGRADO</v>
      </c>
      <c r="N112" s="165">
        <v>16.190000000000001</v>
      </c>
      <c r="O112" t="str">
        <f t="shared" si="20"/>
        <v>LOGRADO</v>
      </c>
      <c r="P112">
        <v>9.35</v>
      </c>
      <c r="Q112" t="str">
        <f t="shared" si="21"/>
        <v>INICIO</v>
      </c>
      <c r="R112" s="166" t="str">
        <f t="shared" si="22"/>
        <v>DESAPROBADO</v>
      </c>
    </row>
    <row r="113" spans="1:18" x14ac:dyDescent="0.25">
      <c r="A113" s="160">
        <v>48</v>
      </c>
      <c r="B113" s="168"/>
      <c r="C113" s="189" t="s">
        <v>1657</v>
      </c>
      <c r="D113" s="190" t="s">
        <v>1658</v>
      </c>
      <c r="E113" s="190" t="s">
        <v>1595</v>
      </c>
      <c r="F113" s="190">
        <v>571356</v>
      </c>
      <c r="G113" s="167" t="s">
        <v>85</v>
      </c>
      <c r="H113" s="163" t="str">
        <f t="shared" si="23"/>
        <v>NO APLICA</v>
      </c>
      <c r="I113" s="163" t="str">
        <f t="shared" si="24"/>
        <v>NO APLICA</v>
      </c>
      <c r="J113" s="173"/>
      <c r="K113" s="165" t="str">
        <f t="shared" si="18"/>
        <v>PREVIO AL INICIO</v>
      </c>
      <c r="L113" s="191"/>
      <c r="M113" s="165" t="str">
        <f t="shared" si="19"/>
        <v>PREVIO AL INICIO</v>
      </c>
      <c r="N113" s="192"/>
      <c r="O113" t="str">
        <f t="shared" si="20"/>
        <v>PREVIO AL INICIO</v>
      </c>
      <c r="Q113" t="str">
        <f t="shared" si="21"/>
        <v>PREVIO AL INICIO</v>
      </c>
      <c r="R113" s="175" t="s">
        <v>70</v>
      </c>
    </row>
    <row r="114" spans="1:18" hidden="1" x14ac:dyDescent="0.25">
      <c r="A114" s="160">
        <v>54</v>
      </c>
      <c r="B114" s="160">
        <v>1</v>
      </c>
      <c r="C114" s="177">
        <v>33327889</v>
      </c>
      <c r="D114" s="162" t="s">
        <v>1659</v>
      </c>
      <c r="E114" s="162" t="s">
        <v>1094</v>
      </c>
      <c r="F114" s="162">
        <v>1551944</v>
      </c>
      <c r="G114" s="167" t="s">
        <v>48</v>
      </c>
      <c r="H114" s="163" t="s">
        <v>1094</v>
      </c>
      <c r="I114" s="163">
        <v>1551944</v>
      </c>
      <c r="J114" s="165">
        <v>12.75</v>
      </c>
      <c r="K114" s="165" t="str">
        <f t="shared" si="18"/>
        <v>EN PROCESO</v>
      </c>
      <c r="L114" s="165">
        <v>7.85</v>
      </c>
      <c r="M114" s="165" t="str">
        <f t="shared" si="19"/>
        <v>INICIO</v>
      </c>
      <c r="N114" s="165">
        <v>10.050000000000001</v>
      </c>
      <c r="O114" t="str">
        <f t="shared" si="20"/>
        <v>INICIO</v>
      </c>
      <c r="P114">
        <v>12.63</v>
      </c>
      <c r="Q114" t="str">
        <f t="shared" si="21"/>
        <v>EN PROCESO</v>
      </c>
      <c r="R114" s="166" t="str">
        <f t="shared" ref="R114:R138" si="25">IF(AND(J114&gt;=11,L114&gt;=11,N114&gt;=11,P114&gt;=11),"APROBADO ","DESAPROBADO")</f>
        <v>DESAPROBADO</v>
      </c>
    </row>
    <row r="115" spans="1:18" hidden="1" x14ac:dyDescent="0.25">
      <c r="A115" s="160">
        <v>54</v>
      </c>
      <c r="B115" s="160">
        <v>2</v>
      </c>
      <c r="C115" s="177">
        <v>71451027</v>
      </c>
      <c r="D115" s="162" t="s">
        <v>1660</v>
      </c>
      <c r="E115" s="162" t="s">
        <v>1661</v>
      </c>
      <c r="F115" s="162">
        <v>1608132</v>
      </c>
      <c r="G115" s="167" t="s">
        <v>85</v>
      </c>
      <c r="H115" s="163" t="str">
        <f t="shared" ref="H115:H116" si="26">IF(G115="NO","NO APLICA","ESCRIBA EL NOMBRE DEL IIEE")</f>
        <v>NO APLICA</v>
      </c>
      <c r="I115" s="163" t="str">
        <f t="shared" ref="I115:I116" si="27">IF(H115="NO APLICA","NO APLICA","ESCRIBA EL CÓDIGO MODULAR")</f>
        <v>NO APLICA</v>
      </c>
      <c r="J115" s="165">
        <v>13.8</v>
      </c>
      <c r="K115" s="165" t="str">
        <f t="shared" si="18"/>
        <v>EN PROCESO</v>
      </c>
      <c r="L115" s="165">
        <v>10.7</v>
      </c>
      <c r="M115" s="165" t="str">
        <f t="shared" si="19"/>
        <v>INICIO</v>
      </c>
      <c r="N115" s="165">
        <v>13.05</v>
      </c>
      <c r="O115" t="str">
        <f t="shared" ref="O115:O130" si="28">IF(N115&lt;=5,"PREVIO AL INICIO",IF(N115&lt;=10.999,"INICIO",IF(N115&lt;=14.999,"EN PROCESO",IF(N115&lt;=19.999,"LOGRADO",IF(N115=20,"DESTACADO","")))))</f>
        <v>EN PROCESO</v>
      </c>
      <c r="P115">
        <v>12.29</v>
      </c>
      <c r="Q115" t="str">
        <f t="shared" si="21"/>
        <v>EN PROCESO</v>
      </c>
      <c r="R115" s="166" t="str">
        <f t="shared" si="25"/>
        <v>DESAPROBADO</v>
      </c>
    </row>
    <row r="116" spans="1:18" hidden="1" x14ac:dyDescent="0.25">
      <c r="A116" s="160">
        <v>54</v>
      </c>
      <c r="B116" s="160">
        <v>3</v>
      </c>
      <c r="C116" s="181">
        <v>33335352</v>
      </c>
      <c r="D116" s="162" t="s">
        <v>1662</v>
      </c>
      <c r="E116" s="162" t="s">
        <v>1094</v>
      </c>
      <c r="F116" s="162">
        <v>1551944</v>
      </c>
      <c r="G116" s="167" t="s">
        <v>85</v>
      </c>
      <c r="H116" s="163" t="str">
        <f t="shared" si="26"/>
        <v>NO APLICA</v>
      </c>
      <c r="I116" s="163" t="str">
        <f t="shared" si="27"/>
        <v>NO APLICA</v>
      </c>
      <c r="J116" s="165">
        <v>13.4</v>
      </c>
      <c r="K116" s="165" t="str">
        <f t="shared" si="18"/>
        <v>EN PROCESO</v>
      </c>
      <c r="L116" s="165">
        <v>8.65</v>
      </c>
      <c r="M116" s="165" t="str">
        <f t="shared" si="19"/>
        <v>INICIO</v>
      </c>
      <c r="N116" s="165">
        <v>10.6</v>
      </c>
      <c r="O116" t="str">
        <f t="shared" si="28"/>
        <v>INICIO</v>
      </c>
      <c r="P116">
        <v>11.69</v>
      </c>
      <c r="Q116" t="str">
        <f t="shared" si="21"/>
        <v>EN PROCESO</v>
      </c>
      <c r="R116" s="166" t="str">
        <f t="shared" si="25"/>
        <v>DESAPROBADO</v>
      </c>
    </row>
    <row r="117" spans="1:18" hidden="1" x14ac:dyDescent="0.25">
      <c r="A117" s="160">
        <v>54</v>
      </c>
      <c r="B117" s="160">
        <v>4</v>
      </c>
      <c r="C117" s="181">
        <v>31679201</v>
      </c>
      <c r="D117" s="162" t="s">
        <v>1663</v>
      </c>
      <c r="E117" s="162" t="s">
        <v>1094</v>
      </c>
      <c r="F117" s="162">
        <v>818682</v>
      </c>
      <c r="G117" s="167" t="s">
        <v>48</v>
      </c>
      <c r="H117" s="163" t="s">
        <v>1094</v>
      </c>
      <c r="I117" s="163">
        <v>818682</v>
      </c>
      <c r="J117" s="165">
        <v>15.73</v>
      </c>
      <c r="K117" s="165" t="str">
        <f t="shared" si="18"/>
        <v>LOGRADO</v>
      </c>
      <c r="L117" s="165">
        <v>15.31</v>
      </c>
      <c r="M117" s="165" t="str">
        <f t="shared" si="19"/>
        <v>LOGRADO</v>
      </c>
      <c r="N117" s="165">
        <v>11.98</v>
      </c>
      <c r="O117" t="str">
        <f t="shared" si="28"/>
        <v>EN PROCESO</v>
      </c>
      <c r="P117">
        <v>15.39</v>
      </c>
      <c r="Q117" t="str">
        <f t="shared" si="21"/>
        <v>LOGRADO</v>
      </c>
      <c r="R117" s="166" t="str">
        <f t="shared" si="25"/>
        <v xml:space="preserve">APROBADO </v>
      </c>
    </row>
    <row r="118" spans="1:18" hidden="1" x14ac:dyDescent="0.25">
      <c r="A118" s="160">
        <v>54</v>
      </c>
      <c r="B118" s="160">
        <v>5</v>
      </c>
      <c r="C118" s="177">
        <v>40728284</v>
      </c>
      <c r="D118" s="162" t="s">
        <v>1664</v>
      </c>
      <c r="E118" s="162" t="s">
        <v>1094</v>
      </c>
      <c r="F118" s="162">
        <v>818682</v>
      </c>
      <c r="G118" s="167" t="s">
        <v>85</v>
      </c>
      <c r="H118" s="163" t="str">
        <f>IF(G118="NO","NO APLICA","ESCRIBA EL NOMBRE DEL IIEE")</f>
        <v>NO APLICA</v>
      </c>
      <c r="I118" s="163" t="str">
        <f>IF(H118="NO APLICA","NO APLICA","ESCRIBA EL CÓDIGO MODULAR")</f>
        <v>NO APLICA</v>
      </c>
      <c r="J118" s="165">
        <v>14.63</v>
      </c>
      <c r="K118" s="165" t="str">
        <f t="shared" si="18"/>
        <v>EN PROCESO</v>
      </c>
      <c r="L118" s="165">
        <v>9.6300000000000008</v>
      </c>
      <c r="M118" s="165" t="str">
        <f t="shared" si="19"/>
        <v>INICIO</v>
      </c>
      <c r="N118" s="165">
        <v>11.33</v>
      </c>
      <c r="O118" t="str">
        <f t="shared" si="28"/>
        <v>EN PROCESO</v>
      </c>
      <c r="P118">
        <v>14.13</v>
      </c>
      <c r="Q118" t="str">
        <f t="shared" si="21"/>
        <v>EN PROCESO</v>
      </c>
      <c r="R118" s="166" t="str">
        <f t="shared" si="25"/>
        <v>DESAPROBADO</v>
      </c>
    </row>
    <row r="119" spans="1:18" hidden="1" x14ac:dyDescent="0.25">
      <c r="A119" s="160">
        <v>54</v>
      </c>
      <c r="B119" s="160">
        <v>6</v>
      </c>
      <c r="C119" s="177">
        <v>42466058</v>
      </c>
      <c r="D119" s="162" t="s">
        <v>1665</v>
      </c>
      <c r="E119" s="162" t="s">
        <v>1666</v>
      </c>
      <c r="F119" s="162">
        <v>414987</v>
      </c>
      <c r="G119" s="167" t="s">
        <v>48</v>
      </c>
      <c r="H119" s="163" t="s">
        <v>1666</v>
      </c>
      <c r="I119" s="163">
        <v>414987</v>
      </c>
      <c r="J119" s="165">
        <v>14.22</v>
      </c>
      <c r="K119" s="165" t="str">
        <f t="shared" si="18"/>
        <v>EN PROCESO</v>
      </c>
      <c r="L119" s="165">
        <v>9.94</v>
      </c>
      <c r="M119" s="165" t="str">
        <f t="shared" si="19"/>
        <v>INICIO</v>
      </c>
      <c r="N119" s="165">
        <v>6.12</v>
      </c>
      <c r="O119" t="str">
        <f t="shared" si="28"/>
        <v>INICIO</v>
      </c>
      <c r="P119">
        <v>8.17</v>
      </c>
      <c r="Q119" t="str">
        <f t="shared" si="21"/>
        <v>INICIO</v>
      </c>
      <c r="R119" s="166" t="str">
        <f t="shared" si="25"/>
        <v>DESAPROBADO</v>
      </c>
    </row>
    <row r="120" spans="1:18" hidden="1" x14ac:dyDescent="0.25">
      <c r="A120" s="160">
        <v>54</v>
      </c>
      <c r="B120" s="160">
        <v>7</v>
      </c>
      <c r="C120" s="177">
        <v>31661141</v>
      </c>
      <c r="D120" s="162" t="s">
        <v>1667</v>
      </c>
      <c r="E120" s="162" t="s">
        <v>1668</v>
      </c>
      <c r="F120" s="162">
        <v>415059</v>
      </c>
      <c r="G120" s="167" t="s">
        <v>48</v>
      </c>
      <c r="H120" s="163" t="s">
        <v>1668</v>
      </c>
      <c r="I120" s="163">
        <v>415059</v>
      </c>
      <c r="J120" s="165">
        <v>12.23</v>
      </c>
      <c r="K120" s="165" t="str">
        <f t="shared" si="18"/>
        <v>EN PROCESO</v>
      </c>
      <c r="L120" s="165">
        <v>15.76</v>
      </c>
      <c r="M120" s="165" t="str">
        <f t="shared" si="19"/>
        <v>LOGRADO</v>
      </c>
      <c r="N120" s="165">
        <v>10.48</v>
      </c>
      <c r="O120" t="str">
        <f t="shared" si="28"/>
        <v>INICIO</v>
      </c>
      <c r="P120">
        <v>10.42</v>
      </c>
      <c r="Q120" t="str">
        <f t="shared" si="21"/>
        <v>INICIO</v>
      </c>
      <c r="R120" s="166" t="str">
        <f t="shared" si="25"/>
        <v>DESAPROBADO</v>
      </c>
    </row>
    <row r="121" spans="1:18" hidden="1" x14ac:dyDescent="0.25">
      <c r="A121" s="160">
        <v>54</v>
      </c>
      <c r="B121" s="160">
        <v>8</v>
      </c>
      <c r="C121" s="177">
        <v>44701081</v>
      </c>
      <c r="D121" s="162" t="s">
        <v>1669</v>
      </c>
      <c r="E121" s="162" t="s">
        <v>1661</v>
      </c>
      <c r="F121" s="162">
        <v>415117</v>
      </c>
      <c r="G121" s="167" t="s">
        <v>48</v>
      </c>
      <c r="H121" s="163" t="s">
        <v>1661</v>
      </c>
      <c r="I121" s="163">
        <v>415117</v>
      </c>
      <c r="J121" s="165">
        <v>13.9</v>
      </c>
      <c r="K121" s="165" t="str">
        <f t="shared" si="18"/>
        <v>EN PROCESO</v>
      </c>
      <c r="L121" s="165">
        <v>13.98</v>
      </c>
      <c r="M121" s="165" t="str">
        <f t="shared" si="19"/>
        <v>EN PROCESO</v>
      </c>
      <c r="N121" s="165">
        <v>13.7</v>
      </c>
      <c r="O121" t="str">
        <f t="shared" si="28"/>
        <v>EN PROCESO</v>
      </c>
      <c r="P121">
        <v>12.19</v>
      </c>
      <c r="Q121" t="str">
        <f t="shared" si="21"/>
        <v>EN PROCESO</v>
      </c>
      <c r="R121" s="166" t="str">
        <f t="shared" si="25"/>
        <v xml:space="preserve">APROBADO </v>
      </c>
    </row>
    <row r="122" spans="1:18" hidden="1" x14ac:dyDescent="0.25">
      <c r="A122" s="160">
        <v>54</v>
      </c>
      <c r="B122" s="160">
        <v>9</v>
      </c>
      <c r="C122" s="181">
        <v>31660227</v>
      </c>
      <c r="D122" s="162" t="s">
        <v>1670</v>
      </c>
      <c r="E122" s="162" t="s">
        <v>1661</v>
      </c>
      <c r="F122" s="162">
        <v>1608132</v>
      </c>
      <c r="G122" s="167" t="s">
        <v>85</v>
      </c>
      <c r="H122" s="163" t="str">
        <f t="shared" ref="H122:H124" si="29">IF(G122="NO","NO APLICA","ESCRIBA EL NOMBRE DEL IIEE")</f>
        <v>NO APLICA</v>
      </c>
      <c r="I122" s="163" t="str">
        <f t="shared" ref="I122:I124" si="30">IF(H122="NO APLICA","NO APLICA","ESCRIBA EL CÓDIGO MODULAR")</f>
        <v>NO APLICA</v>
      </c>
      <c r="J122" s="165">
        <v>15.98</v>
      </c>
      <c r="K122" s="165" t="str">
        <f t="shared" si="18"/>
        <v>LOGRADO</v>
      </c>
      <c r="L122" s="165">
        <v>10.93</v>
      </c>
      <c r="M122" s="165" t="str">
        <f t="shared" si="19"/>
        <v>INICIO</v>
      </c>
      <c r="N122" s="165">
        <v>15.08</v>
      </c>
      <c r="O122" t="str">
        <f t="shared" si="28"/>
        <v>LOGRADO</v>
      </c>
      <c r="P122">
        <v>15.22</v>
      </c>
      <c r="Q122" t="str">
        <f t="shared" si="21"/>
        <v>LOGRADO</v>
      </c>
      <c r="R122" s="166" t="str">
        <f t="shared" si="25"/>
        <v>DESAPROBADO</v>
      </c>
    </row>
    <row r="123" spans="1:18" hidden="1" x14ac:dyDescent="0.25">
      <c r="A123" s="160">
        <v>54</v>
      </c>
      <c r="B123" s="160">
        <v>10</v>
      </c>
      <c r="C123" s="177">
        <v>40714740</v>
      </c>
      <c r="D123" s="162" t="s">
        <v>1671</v>
      </c>
      <c r="E123" s="162" t="s">
        <v>1666</v>
      </c>
      <c r="F123" s="162">
        <v>414987</v>
      </c>
      <c r="G123" s="167" t="s">
        <v>85</v>
      </c>
      <c r="H123" s="163" t="str">
        <f t="shared" si="29"/>
        <v>NO APLICA</v>
      </c>
      <c r="I123" s="163" t="str">
        <f t="shared" si="30"/>
        <v>NO APLICA</v>
      </c>
      <c r="J123" s="165">
        <v>14.27</v>
      </c>
      <c r="K123" s="165" t="str">
        <f t="shared" si="18"/>
        <v>EN PROCESO</v>
      </c>
      <c r="L123" s="165">
        <v>12.53</v>
      </c>
      <c r="M123" s="165" t="str">
        <f t="shared" si="19"/>
        <v>EN PROCESO</v>
      </c>
      <c r="N123" s="165">
        <v>9.91</v>
      </c>
      <c r="O123" t="str">
        <f t="shared" si="28"/>
        <v>INICIO</v>
      </c>
      <c r="P123">
        <v>12.28</v>
      </c>
      <c r="Q123" t="str">
        <f t="shared" si="21"/>
        <v>EN PROCESO</v>
      </c>
      <c r="R123" s="166" t="str">
        <f t="shared" si="25"/>
        <v>DESAPROBADO</v>
      </c>
    </row>
    <row r="124" spans="1:18" hidden="1" x14ac:dyDescent="0.25">
      <c r="A124" s="160">
        <v>54</v>
      </c>
      <c r="B124" s="160">
        <v>11</v>
      </c>
      <c r="C124" s="177">
        <v>33344035</v>
      </c>
      <c r="D124" s="162" t="s">
        <v>1672</v>
      </c>
      <c r="E124" s="162" t="s">
        <v>1673</v>
      </c>
      <c r="F124" s="162">
        <v>1376318</v>
      </c>
      <c r="G124" s="167" t="s">
        <v>85</v>
      </c>
      <c r="H124" s="163" t="str">
        <f t="shared" si="29"/>
        <v>NO APLICA</v>
      </c>
      <c r="I124" s="163" t="str">
        <f t="shared" si="30"/>
        <v>NO APLICA</v>
      </c>
      <c r="J124" s="165">
        <v>11.47</v>
      </c>
      <c r="K124" s="165" t="str">
        <f t="shared" si="18"/>
        <v>EN PROCESO</v>
      </c>
      <c r="L124" s="165">
        <v>12.17</v>
      </c>
      <c r="M124" s="165" t="str">
        <f t="shared" si="19"/>
        <v>EN PROCESO</v>
      </c>
      <c r="N124" s="165">
        <v>9.32</v>
      </c>
      <c r="O124" t="str">
        <f t="shared" si="28"/>
        <v>INICIO</v>
      </c>
      <c r="P124">
        <v>10.31</v>
      </c>
      <c r="Q124" t="str">
        <f t="shared" si="21"/>
        <v>INICIO</v>
      </c>
      <c r="R124" s="166" t="str">
        <f t="shared" si="25"/>
        <v>DESAPROBADO</v>
      </c>
    </row>
    <row r="125" spans="1:18" hidden="1" x14ac:dyDescent="0.25">
      <c r="A125" s="160">
        <v>54</v>
      </c>
      <c r="B125" s="160">
        <v>12</v>
      </c>
      <c r="C125" s="177">
        <v>41757427</v>
      </c>
      <c r="D125" s="193" t="s">
        <v>1674</v>
      </c>
      <c r="E125" s="193" t="s">
        <v>1661</v>
      </c>
      <c r="F125" s="193">
        <v>1633189</v>
      </c>
      <c r="G125" s="167" t="s">
        <v>48</v>
      </c>
      <c r="H125" s="163" t="s">
        <v>1661</v>
      </c>
      <c r="I125" s="163">
        <v>1633189</v>
      </c>
      <c r="J125" s="165">
        <v>14.07</v>
      </c>
      <c r="K125" s="165" t="str">
        <f t="shared" si="18"/>
        <v>EN PROCESO</v>
      </c>
      <c r="L125" s="165">
        <v>15.39</v>
      </c>
      <c r="M125" s="165" t="str">
        <f t="shared" si="19"/>
        <v>LOGRADO</v>
      </c>
      <c r="N125" s="165">
        <v>13.77</v>
      </c>
      <c r="O125" t="str">
        <f t="shared" si="28"/>
        <v>EN PROCESO</v>
      </c>
      <c r="P125">
        <v>10.210000000000001</v>
      </c>
      <c r="Q125" t="str">
        <f t="shared" si="21"/>
        <v>INICIO</v>
      </c>
      <c r="R125" s="166" t="str">
        <f t="shared" si="25"/>
        <v>DESAPROBADO</v>
      </c>
    </row>
    <row r="126" spans="1:18" hidden="1" x14ac:dyDescent="0.25">
      <c r="A126" s="160">
        <v>54</v>
      </c>
      <c r="B126" s="160">
        <v>13</v>
      </c>
      <c r="C126" s="177">
        <v>41372220</v>
      </c>
      <c r="D126" s="193" t="s">
        <v>1675</v>
      </c>
      <c r="E126" s="193" t="s">
        <v>1676</v>
      </c>
      <c r="F126" s="193">
        <v>1376300</v>
      </c>
      <c r="G126" s="167" t="s">
        <v>48</v>
      </c>
      <c r="H126" s="163" t="s">
        <v>1676</v>
      </c>
      <c r="I126" s="163">
        <v>1376300</v>
      </c>
      <c r="J126" s="165">
        <v>14.23</v>
      </c>
      <c r="K126" s="165" t="str">
        <f t="shared" si="18"/>
        <v>EN PROCESO</v>
      </c>
      <c r="L126" s="165">
        <v>14.54</v>
      </c>
      <c r="M126" s="165" t="str">
        <f t="shared" si="19"/>
        <v>EN PROCESO</v>
      </c>
      <c r="N126" s="165">
        <v>15.87</v>
      </c>
      <c r="O126" t="str">
        <f t="shared" si="28"/>
        <v>LOGRADO</v>
      </c>
      <c r="P126">
        <v>12.18</v>
      </c>
      <c r="Q126" t="str">
        <f t="shared" si="21"/>
        <v>EN PROCESO</v>
      </c>
      <c r="R126" s="166" t="str">
        <f t="shared" si="25"/>
        <v xml:space="preserve">APROBADO </v>
      </c>
    </row>
    <row r="127" spans="1:18" hidden="1" x14ac:dyDescent="0.25">
      <c r="A127" s="160">
        <v>54</v>
      </c>
      <c r="B127" s="160">
        <v>14</v>
      </c>
      <c r="C127" s="177">
        <v>71564428</v>
      </c>
      <c r="D127" s="162" t="s">
        <v>1677</v>
      </c>
      <c r="E127" s="162" t="s">
        <v>1666</v>
      </c>
      <c r="F127" s="162">
        <v>1376268</v>
      </c>
      <c r="G127" s="167" t="s">
        <v>48</v>
      </c>
      <c r="H127" s="163" t="s">
        <v>1666</v>
      </c>
      <c r="I127" s="163">
        <v>1376268</v>
      </c>
      <c r="J127" s="165">
        <v>14.07</v>
      </c>
      <c r="K127" s="165" t="str">
        <f t="shared" si="18"/>
        <v>EN PROCESO</v>
      </c>
      <c r="L127" s="165">
        <v>10.41</v>
      </c>
      <c r="M127" s="165" t="str">
        <f t="shared" si="19"/>
        <v>INICIO</v>
      </c>
      <c r="N127" s="165">
        <v>9.5299999999999994</v>
      </c>
      <c r="O127" t="str">
        <f t="shared" si="28"/>
        <v>INICIO</v>
      </c>
      <c r="P127">
        <v>5.03</v>
      </c>
      <c r="Q127" t="str">
        <f t="shared" si="21"/>
        <v>INICIO</v>
      </c>
      <c r="R127" s="166" t="str">
        <f t="shared" si="25"/>
        <v>DESAPROBADO</v>
      </c>
    </row>
    <row r="128" spans="1:18" hidden="1" x14ac:dyDescent="0.25">
      <c r="A128" s="160">
        <v>54</v>
      </c>
      <c r="B128" s="160">
        <v>15</v>
      </c>
      <c r="C128" s="181">
        <v>40088038</v>
      </c>
      <c r="D128" s="162" t="s">
        <v>1678</v>
      </c>
      <c r="E128" s="162" t="s">
        <v>1661</v>
      </c>
      <c r="F128" s="162">
        <v>415117</v>
      </c>
      <c r="G128" s="167" t="s">
        <v>85</v>
      </c>
      <c r="H128" s="163" t="str">
        <f>IF(G128="NO","NO APLICA","ESCRIBA EL NOMBRE DEL IIEE")</f>
        <v>NO APLICA</v>
      </c>
      <c r="I128" s="163" t="str">
        <f>IF(H128="NO APLICA","NO APLICA","ESCRIBA EL CÓDIGO MODULAR")</f>
        <v>NO APLICA</v>
      </c>
      <c r="J128" s="165">
        <v>13.93</v>
      </c>
      <c r="K128" s="165" t="str">
        <f t="shared" si="18"/>
        <v>EN PROCESO</v>
      </c>
      <c r="L128" s="165">
        <v>10.130000000000001</v>
      </c>
      <c r="M128" s="165" t="str">
        <f t="shared" si="19"/>
        <v>INICIO</v>
      </c>
      <c r="N128" s="165">
        <v>12.83</v>
      </c>
      <c r="O128" t="str">
        <f t="shared" si="28"/>
        <v>EN PROCESO</v>
      </c>
      <c r="P128">
        <v>12.52</v>
      </c>
      <c r="Q128" t="str">
        <f t="shared" si="21"/>
        <v>EN PROCESO</v>
      </c>
      <c r="R128" s="166" t="str">
        <f t="shared" si="25"/>
        <v>DESAPROBADO</v>
      </c>
    </row>
    <row r="129" spans="1:18" hidden="1" x14ac:dyDescent="0.25">
      <c r="A129" s="160">
        <v>54</v>
      </c>
      <c r="B129" s="160">
        <v>16</v>
      </c>
      <c r="C129" s="177">
        <v>42396090</v>
      </c>
      <c r="D129" s="162" t="s">
        <v>1679</v>
      </c>
      <c r="E129" s="162" t="s">
        <v>1094</v>
      </c>
      <c r="F129" s="162">
        <v>1551944</v>
      </c>
      <c r="G129" s="167" t="s">
        <v>48</v>
      </c>
      <c r="H129" s="163" t="s">
        <v>1094</v>
      </c>
      <c r="I129" s="163">
        <v>1551944</v>
      </c>
      <c r="J129" s="165">
        <v>15.33</v>
      </c>
      <c r="K129" s="165" t="str">
        <f t="shared" si="18"/>
        <v>LOGRADO</v>
      </c>
      <c r="L129" s="165">
        <v>9.5500000000000007</v>
      </c>
      <c r="M129" s="165" t="str">
        <f t="shared" si="19"/>
        <v>INICIO</v>
      </c>
      <c r="N129" s="165">
        <v>10.050000000000001</v>
      </c>
      <c r="O129" t="str">
        <f t="shared" si="28"/>
        <v>INICIO</v>
      </c>
      <c r="P129">
        <v>14.36</v>
      </c>
      <c r="Q129" t="str">
        <f t="shared" si="21"/>
        <v>EN PROCESO</v>
      </c>
      <c r="R129" s="166" t="str">
        <f t="shared" si="25"/>
        <v>DESAPROBADO</v>
      </c>
    </row>
    <row r="130" spans="1:18" hidden="1" x14ac:dyDescent="0.25">
      <c r="A130" s="160">
        <v>54</v>
      </c>
      <c r="B130" s="160">
        <v>17</v>
      </c>
      <c r="C130" s="177">
        <v>45227553</v>
      </c>
      <c r="D130" s="162" t="s">
        <v>1680</v>
      </c>
      <c r="E130" s="162" t="s">
        <v>1094</v>
      </c>
      <c r="F130" s="162">
        <v>818682</v>
      </c>
      <c r="G130" s="167" t="s">
        <v>48</v>
      </c>
      <c r="H130" s="163" t="s">
        <v>1094</v>
      </c>
      <c r="I130" s="163">
        <v>818682</v>
      </c>
      <c r="J130" s="165">
        <v>13.8</v>
      </c>
      <c r="K130" s="165" t="str">
        <f t="shared" si="18"/>
        <v>EN PROCESO</v>
      </c>
      <c r="L130" s="165">
        <v>14.33</v>
      </c>
      <c r="M130" s="165" t="str">
        <f t="shared" si="19"/>
        <v>EN PROCESO</v>
      </c>
      <c r="N130" s="165">
        <v>10.1</v>
      </c>
      <c r="O130" t="str">
        <f t="shared" si="28"/>
        <v>INICIO</v>
      </c>
      <c r="P130" s="215">
        <v>9.9</v>
      </c>
      <c r="Q130" t="str">
        <f t="shared" si="21"/>
        <v>INICIO</v>
      </c>
      <c r="R130" s="166" t="str">
        <f t="shared" si="25"/>
        <v>DESAPROBADO</v>
      </c>
    </row>
    <row r="131" spans="1:18" hidden="1" x14ac:dyDescent="0.25">
      <c r="A131" s="160">
        <v>54</v>
      </c>
      <c r="B131" s="160">
        <v>18</v>
      </c>
      <c r="C131" s="177">
        <v>32408343</v>
      </c>
      <c r="D131" s="162" t="s">
        <v>1681</v>
      </c>
      <c r="E131" s="162" t="s">
        <v>1666</v>
      </c>
      <c r="F131" s="162">
        <v>1315084</v>
      </c>
      <c r="G131" s="167" t="s">
        <v>48</v>
      </c>
      <c r="H131" s="163" t="s">
        <v>1666</v>
      </c>
      <c r="I131" s="163">
        <v>1315084</v>
      </c>
      <c r="J131" s="165">
        <v>9.65</v>
      </c>
      <c r="K131" s="165" t="str">
        <f t="shared" ref="K131:K190" si="31">IF(J131&lt;=5,"PREVIO AL INICIO",IF(J131&lt;=10.999,"INICIO",IF(J131&lt;=14.999,"EN PROCESO",IF(J131&lt;=19.999,"LOGRADO",IF(J131=20,"DESTACADO","")))))</f>
        <v>INICIO</v>
      </c>
      <c r="L131" s="165">
        <v>12.48</v>
      </c>
      <c r="M131" s="165" t="str">
        <f t="shared" ref="M131:M190" si="32">IF(L131&lt;=5,"PREVIO AL INICIO",IF(L131&lt;=10.999,"INICIO",IF(L131&lt;=14.999,"EN PROCESO",IF(L131&lt;=19.999,"LOGRADO",IF(L131=20,"DESTACADO","")))))</f>
        <v>EN PROCESO</v>
      </c>
      <c r="N131" s="165">
        <v>10.51</v>
      </c>
      <c r="O131" t="str">
        <f t="shared" ref="O131:O194" si="33">IF(N131&lt;=5,"PREVIO AL INICIO",IF(N131&lt;=10.999,"INICIO",IF(N131&lt;=14.999,"EN PROCESO",IF(N131&lt;=19.999,"LOGRADO",IF(N131=20,"DESTACADO","")))))</f>
        <v>INICIO</v>
      </c>
      <c r="P131" s="215">
        <v>14</v>
      </c>
      <c r="Q131" t="str">
        <f t="shared" ref="Q131:Q190" si="34">IF(P131&lt;=5,"PREVIO AL INICIO",IF(P131&lt;=10.999,"INICIO",IF(P131&lt;=14.999,"EN PROCESO",IF(P131&lt;=19.999,"LOGRADO",IF(P131=20,"DESTACADO","")))))</f>
        <v>EN PROCESO</v>
      </c>
      <c r="R131" s="166" t="str">
        <f t="shared" si="25"/>
        <v>DESAPROBADO</v>
      </c>
    </row>
    <row r="132" spans="1:18" hidden="1" x14ac:dyDescent="0.25">
      <c r="A132" s="160">
        <v>54</v>
      </c>
      <c r="B132" s="160">
        <v>19</v>
      </c>
      <c r="C132" s="177">
        <v>46603375</v>
      </c>
      <c r="D132" s="162" t="s">
        <v>1682</v>
      </c>
      <c r="E132" s="162" t="s">
        <v>1666</v>
      </c>
      <c r="F132" s="162">
        <v>414987</v>
      </c>
      <c r="G132" s="167" t="s">
        <v>48</v>
      </c>
      <c r="H132" s="163" t="s">
        <v>1666</v>
      </c>
      <c r="I132" s="163">
        <v>414987</v>
      </c>
      <c r="J132" s="165">
        <v>14.03</v>
      </c>
      <c r="K132" s="165" t="str">
        <f t="shared" si="31"/>
        <v>EN PROCESO</v>
      </c>
      <c r="L132" s="165">
        <v>14.11</v>
      </c>
      <c r="M132" s="165" t="str">
        <f t="shared" si="32"/>
        <v>EN PROCESO</v>
      </c>
      <c r="N132" s="165">
        <v>10.81</v>
      </c>
      <c r="O132" t="str">
        <f t="shared" si="33"/>
        <v>INICIO</v>
      </c>
      <c r="P132" s="215">
        <v>14.4</v>
      </c>
      <c r="Q132" t="str">
        <f t="shared" si="34"/>
        <v>EN PROCESO</v>
      </c>
      <c r="R132" s="166" t="str">
        <f t="shared" si="25"/>
        <v>DESAPROBADO</v>
      </c>
    </row>
    <row r="133" spans="1:18" hidden="1" x14ac:dyDescent="0.25">
      <c r="A133" s="160">
        <v>54</v>
      </c>
      <c r="B133" s="160">
        <v>20</v>
      </c>
      <c r="C133" s="177">
        <v>41385733</v>
      </c>
      <c r="D133" s="162" t="s">
        <v>1683</v>
      </c>
      <c r="E133" s="162" t="s">
        <v>1673</v>
      </c>
      <c r="F133" s="162">
        <v>541201</v>
      </c>
      <c r="G133" s="167" t="s">
        <v>48</v>
      </c>
      <c r="H133" s="163" t="s">
        <v>1673</v>
      </c>
      <c r="I133" s="163">
        <v>541201</v>
      </c>
      <c r="J133" s="165">
        <v>14.48</v>
      </c>
      <c r="K133" s="165" t="str">
        <f t="shared" si="31"/>
        <v>EN PROCESO</v>
      </c>
      <c r="L133" s="165">
        <v>16.11</v>
      </c>
      <c r="M133" s="165" t="str">
        <f t="shared" si="32"/>
        <v>LOGRADO</v>
      </c>
      <c r="N133" s="165">
        <v>14.86</v>
      </c>
      <c r="O133" t="str">
        <f t="shared" si="33"/>
        <v>EN PROCESO</v>
      </c>
      <c r="P133" s="215">
        <v>16</v>
      </c>
      <c r="Q133" t="str">
        <f t="shared" si="34"/>
        <v>LOGRADO</v>
      </c>
      <c r="R133" s="166" t="str">
        <f t="shared" si="25"/>
        <v xml:space="preserve">APROBADO </v>
      </c>
    </row>
    <row r="134" spans="1:18" hidden="1" x14ac:dyDescent="0.25">
      <c r="A134" s="160">
        <v>54</v>
      </c>
      <c r="B134" s="160">
        <v>21</v>
      </c>
      <c r="C134" s="177">
        <v>44812483</v>
      </c>
      <c r="D134" s="162" t="s">
        <v>1684</v>
      </c>
      <c r="E134" s="162" t="s">
        <v>1661</v>
      </c>
      <c r="F134" s="162">
        <v>415117</v>
      </c>
      <c r="G134" s="167" t="s">
        <v>85</v>
      </c>
      <c r="H134" s="163" t="str">
        <f>IF(G134="NO","NO APLICA","ESCRIBA EL NOMBRE DEL IIEE")</f>
        <v>NO APLICA</v>
      </c>
      <c r="I134" s="163" t="str">
        <f>IF(H134="NO APLICA","NO APLICA","ESCRIBA EL CÓDIGO MODULAR")</f>
        <v>NO APLICA</v>
      </c>
      <c r="J134" s="165">
        <v>14.53</v>
      </c>
      <c r="K134" s="165" t="str">
        <f t="shared" si="31"/>
        <v>EN PROCESO</v>
      </c>
      <c r="L134" s="165">
        <v>12.95</v>
      </c>
      <c r="M134" s="165" t="str">
        <f t="shared" si="32"/>
        <v>EN PROCESO</v>
      </c>
      <c r="N134" s="165">
        <v>8.9</v>
      </c>
      <c r="O134" t="str">
        <f t="shared" si="33"/>
        <v>INICIO</v>
      </c>
      <c r="P134">
        <v>13.49</v>
      </c>
      <c r="Q134" t="str">
        <f t="shared" si="34"/>
        <v>EN PROCESO</v>
      </c>
      <c r="R134" s="166" t="str">
        <f t="shared" si="25"/>
        <v>DESAPROBADO</v>
      </c>
    </row>
    <row r="135" spans="1:18" hidden="1" x14ac:dyDescent="0.25">
      <c r="A135" s="160">
        <v>54</v>
      </c>
      <c r="B135" s="160">
        <v>22</v>
      </c>
      <c r="C135" s="177">
        <v>31679061</v>
      </c>
      <c r="D135" s="162" t="s">
        <v>1685</v>
      </c>
      <c r="E135" s="162" t="s">
        <v>1094</v>
      </c>
      <c r="F135" s="162">
        <v>818682</v>
      </c>
      <c r="G135" s="167" t="s">
        <v>48</v>
      </c>
      <c r="H135" s="163" t="s">
        <v>1094</v>
      </c>
      <c r="I135" s="163">
        <v>818682</v>
      </c>
      <c r="J135" s="165">
        <v>11.95</v>
      </c>
      <c r="K135" s="165" t="str">
        <f t="shared" si="31"/>
        <v>EN PROCESO</v>
      </c>
      <c r="L135" s="165">
        <v>10.87</v>
      </c>
      <c r="M135" s="165" t="str">
        <f t="shared" si="32"/>
        <v>INICIO</v>
      </c>
      <c r="N135" s="165">
        <v>11.62</v>
      </c>
      <c r="O135" t="str">
        <f t="shared" si="33"/>
        <v>EN PROCESO</v>
      </c>
      <c r="P135">
        <v>12.45</v>
      </c>
      <c r="Q135" t="str">
        <f t="shared" si="34"/>
        <v>EN PROCESO</v>
      </c>
      <c r="R135" s="166" t="str">
        <f t="shared" si="25"/>
        <v>DESAPROBADO</v>
      </c>
    </row>
    <row r="136" spans="1:18" hidden="1" x14ac:dyDescent="0.25">
      <c r="A136" s="160">
        <v>54</v>
      </c>
      <c r="B136" s="160">
        <v>23</v>
      </c>
      <c r="C136" s="177">
        <v>32405917</v>
      </c>
      <c r="D136" s="162" t="s">
        <v>1686</v>
      </c>
      <c r="E136" s="162" t="s">
        <v>1666</v>
      </c>
      <c r="F136" s="162">
        <v>1315084</v>
      </c>
      <c r="G136" s="167" t="s">
        <v>85</v>
      </c>
      <c r="H136" s="163" t="str">
        <f t="shared" ref="H136:H138" si="35">IF(G136="NO","NO APLICA","ESCRIBA EL NOMBRE DEL IIEE")</f>
        <v>NO APLICA</v>
      </c>
      <c r="I136" s="163" t="str">
        <f t="shared" ref="I136:I138" si="36">IF(H136="NO APLICA","NO APLICA","ESCRIBA EL CÓDIGO MODULAR")</f>
        <v>NO APLICA</v>
      </c>
      <c r="J136" s="165">
        <v>14.62</v>
      </c>
      <c r="K136" s="165" t="str">
        <f t="shared" si="31"/>
        <v>EN PROCESO</v>
      </c>
      <c r="L136" s="165">
        <v>15.06</v>
      </c>
      <c r="M136" s="165" t="str">
        <f t="shared" si="32"/>
        <v>LOGRADO</v>
      </c>
      <c r="N136" s="165">
        <v>10.53</v>
      </c>
      <c r="O136" t="str">
        <f t="shared" si="33"/>
        <v>INICIO</v>
      </c>
      <c r="P136">
        <v>12.36</v>
      </c>
      <c r="Q136" t="str">
        <f t="shared" si="34"/>
        <v>EN PROCESO</v>
      </c>
      <c r="R136" s="166" t="str">
        <f t="shared" si="25"/>
        <v>DESAPROBADO</v>
      </c>
    </row>
    <row r="137" spans="1:18" hidden="1" x14ac:dyDescent="0.25">
      <c r="A137" s="160">
        <v>54</v>
      </c>
      <c r="B137" s="160">
        <v>24</v>
      </c>
      <c r="C137" s="177">
        <v>32402569</v>
      </c>
      <c r="D137" s="193" t="s">
        <v>1687</v>
      </c>
      <c r="E137" s="193" t="s">
        <v>1666</v>
      </c>
      <c r="F137" s="193">
        <v>1315084</v>
      </c>
      <c r="G137" s="167" t="s">
        <v>85</v>
      </c>
      <c r="H137" s="163" t="str">
        <f t="shared" si="35"/>
        <v>NO APLICA</v>
      </c>
      <c r="I137" s="163" t="str">
        <f t="shared" si="36"/>
        <v>NO APLICA</v>
      </c>
      <c r="J137" s="165">
        <v>12.93</v>
      </c>
      <c r="K137" s="165" t="str">
        <f t="shared" si="31"/>
        <v>EN PROCESO</v>
      </c>
      <c r="L137" s="165">
        <v>12.54</v>
      </c>
      <c r="M137" s="165" t="str">
        <f t="shared" si="32"/>
        <v>EN PROCESO</v>
      </c>
      <c r="N137" s="165">
        <v>9.5399999999999991</v>
      </c>
      <c r="O137" t="str">
        <f t="shared" si="33"/>
        <v>INICIO</v>
      </c>
      <c r="P137">
        <v>10.65</v>
      </c>
      <c r="Q137" t="str">
        <f t="shared" si="34"/>
        <v>INICIO</v>
      </c>
      <c r="R137" s="166" t="str">
        <f t="shared" si="25"/>
        <v>DESAPROBADO</v>
      </c>
    </row>
    <row r="138" spans="1:18" hidden="1" x14ac:dyDescent="0.25">
      <c r="A138" s="160">
        <v>54</v>
      </c>
      <c r="B138" s="160">
        <v>25</v>
      </c>
      <c r="C138" s="177">
        <v>76341254</v>
      </c>
      <c r="D138" s="162" t="s">
        <v>1688</v>
      </c>
      <c r="E138" s="162" t="s">
        <v>1666</v>
      </c>
      <c r="F138" s="162">
        <v>1376268</v>
      </c>
      <c r="G138" s="167" t="s">
        <v>85</v>
      </c>
      <c r="H138" s="163" t="str">
        <f t="shared" si="35"/>
        <v>NO APLICA</v>
      </c>
      <c r="I138" s="163" t="str">
        <f t="shared" si="36"/>
        <v>NO APLICA</v>
      </c>
      <c r="J138" s="165">
        <v>13.88</v>
      </c>
      <c r="K138" s="165" t="str">
        <f t="shared" si="31"/>
        <v>EN PROCESO</v>
      </c>
      <c r="L138" s="165">
        <v>11.69</v>
      </c>
      <c r="M138" s="165" t="str">
        <f t="shared" si="32"/>
        <v>EN PROCESO</v>
      </c>
      <c r="N138" s="165">
        <v>5.12</v>
      </c>
      <c r="O138" t="str">
        <f t="shared" si="33"/>
        <v>INICIO</v>
      </c>
      <c r="P138">
        <v>2.1800000000000002</v>
      </c>
      <c r="Q138" t="str">
        <f t="shared" si="34"/>
        <v>PREVIO AL INICIO</v>
      </c>
      <c r="R138" s="166" t="str">
        <f t="shared" si="25"/>
        <v>DESAPROBADO</v>
      </c>
    </row>
    <row r="139" spans="1:18" hidden="1" x14ac:dyDescent="0.25">
      <c r="A139" s="160">
        <v>54</v>
      </c>
      <c r="B139" s="160">
        <v>26</v>
      </c>
      <c r="C139" s="177">
        <v>31671410</v>
      </c>
      <c r="D139" s="171" t="s">
        <v>1689</v>
      </c>
      <c r="E139" s="171" t="s">
        <v>1690</v>
      </c>
      <c r="F139" s="171">
        <v>686386</v>
      </c>
      <c r="G139" s="167" t="s">
        <v>48</v>
      </c>
      <c r="H139" s="163" t="s">
        <v>1690</v>
      </c>
      <c r="I139" s="163">
        <v>686386</v>
      </c>
      <c r="J139" s="173"/>
      <c r="K139" s="165" t="str">
        <f t="shared" si="31"/>
        <v>PREVIO AL INICIO</v>
      </c>
      <c r="L139" s="173"/>
      <c r="M139" s="165" t="str">
        <f t="shared" si="32"/>
        <v>PREVIO AL INICIO</v>
      </c>
      <c r="N139" s="192"/>
      <c r="O139" t="str">
        <f t="shared" si="33"/>
        <v>PREVIO AL INICIO</v>
      </c>
      <c r="Q139" t="str">
        <f t="shared" si="34"/>
        <v>PREVIO AL INICIO</v>
      </c>
      <c r="R139" s="175" t="s">
        <v>70</v>
      </c>
    </row>
    <row r="140" spans="1:18" hidden="1" x14ac:dyDescent="0.25">
      <c r="A140" s="160">
        <v>54</v>
      </c>
      <c r="B140" s="160">
        <v>27</v>
      </c>
      <c r="C140" s="177">
        <v>33344363</v>
      </c>
      <c r="D140" s="171" t="s">
        <v>1691</v>
      </c>
      <c r="E140" s="171" t="s">
        <v>1692</v>
      </c>
      <c r="F140" s="171">
        <v>1678861</v>
      </c>
      <c r="G140" s="167" t="s">
        <v>48</v>
      </c>
      <c r="H140" s="163" t="s">
        <v>1661</v>
      </c>
      <c r="I140" s="163">
        <v>1608132</v>
      </c>
      <c r="J140" s="173"/>
      <c r="K140" s="165" t="str">
        <f t="shared" si="31"/>
        <v>PREVIO AL INICIO</v>
      </c>
      <c r="L140" s="173"/>
      <c r="M140" s="165" t="str">
        <f t="shared" si="32"/>
        <v>PREVIO AL INICIO</v>
      </c>
      <c r="N140" s="192"/>
      <c r="O140" t="str">
        <f t="shared" si="33"/>
        <v>PREVIO AL INICIO</v>
      </c>
      <c r="Q140" t="str">
        <f t="shared" si="34"/>
        <v>PREVIO AL INICIO</v>
      </c>
      <c r="R140" s="175" t="s">
        <v>70</v>
      </c>
    </row>
    <row r="141" spans="1:18" hidden="1" x14ac:dyDescent="0.25">
      <c r="A141" s="160">
        <v>54</v>
      </c>
      <c r="B141" s="160">
        <v>28</v>
      </c>
      <c r="C141" s="177">
        <v>33342553</v>
      </c>
      <c r="D141" s="171" t="s">
        <v>1693</v>
      </c>
      <c r="E141" s="171" t="s">
        <v>1692</v>
      </c>
      <c r="F141" s="171">
        <v>1678861</v>
      </c>
      <c r="G141" s="167" t="s">
        <v>48</v>
      </c>
      <c r="H141" s="163" t="s">
        <v>1692</v>
      </c>
      <c r="I141" s="163">
        <v>1678861</v>
      </c>
      <c r="J141" s="173"/>
      <c r="K141" s="165" t="str">
        <f t="shared" si="31"/>
        <v>PREVIO AL INICIO</v>
      </c>
      <c r="L141" s="173"/>
      <c r="M141" s="165" t="str">
        <f t="shared" si="32"/>
        <v>PREVIO AL INICIO</v>
      </c>
      <c r="N141" s="192"/>
      <c r="O141" t="str">
        <f t="shared" si="33"/>
        <v>PREVIO AL INICIO</v>
      </c>
      <c r="Q141" t="str">
        <f t="shared" si="34"/>
        <v>PREVIO AL INICIO</v>
      </c>
      <c r="R141" s="175" t="s">
        <v>70</v>
      </c>
    </row>
    <row r="142" spans="1:18" hidden="1" x14ac:dyDescent="0.25">
      <c r="A142" s="160">
        <v>72</v>
      </c>
      <c r="B142" s="160">
        <v>1</v>
      </c>
      <c r="C142" s="194">
        <v>93111</v>
      </c>
      <c r="D142" s="180" t="s">
        <v>1694</v>
      </c>
      <c r="E142" s="180" t="s">
        <v>1695</v>
      </c>
      <c r="F142" s="180">
        <v>595082</v>
      </c>
      <c r="G142" s="167" t="s">
        <v>85</v>
      </c>
      <c r="H142" s="163" t="str">
        <f>IF(G142="NO","NO APLICA","ESCRIBA EL NOMBRE DEL IIEE")</f>
        <v>NO APLICA</v>
      </c>
      <c r="I142" s="163" t="str">
        <f>IF(H142="NO APLICA","NO APLICA","ESCRIBA EL CÓDIGO MODULAR")</f>
        <v>NO APLICA</v>
      </c>
      <c r="J142" s="165">
        <v>11.8</v>
      </c>
      <c r="K142" s="165" t="str">
        <f t="shared" si="31"/>
        <v>EN PROCESO</v>
      </c>
      <c r="L142" s="165">
        <v>13.6</v>
      </c>
      <c r="M142" s="165" t="str">
        <f t="shared" si="32"/>
        <v>EN PROCESO</v>
      </c>
      <c r="N142" s="165">
        <v>13</v>
      </c>
      <c r="O142" t="str">
        <f t="shared" si="33"/>
        <v>EN PROCESO</v>
      </c>
      <c r="P142" s="215">
        <v>10.6</v>
      </c>
      <c r="Q142" t="str">
        <f t="shared" si="34"/>
        <v>INICIO</v>
      </c>
      <c r="R142" s="166" t="str">
        <f t="shared" ref="R142:R158" si="37">IF(AND(J142&gt;=11,L142&gt;=11,N142&gt;=11,P142&gt;=11),"APROBADO ","DESAPROBADO")</f>
        <v>DESAPROBADO</v>
      </c>
    </row>
    <row r="143" spans="1:18" hidden="1" x14ac:dyDescent="0.25">
      <c r="A143" s="160">
        <v>72</v>
      </c>
      <c r="B143" s="160">
        <v>2</v>
      </c>
      <c r="C143" s="179">
        <v>21146137</v>
      </c>
      <c r="D143" s="180" t="s">
        <v>1696</v>
      </c>
      <c r="E143" s="180" t="s">
        <v>1697</v>
      </c>
      <c r="F143" s="180">
        <v>272773</v>
      </c>
      <c r="G143" s="167" t="s">
        <v>48</v>
      </c>
      <c r="H143" s="163" t="s">
        <v>1697</v>
      </c>
      <c r="I143" s="163">
        <v>272773</v>
      </c>
      <c r="J143" s="165">
        <v>13.65</v>
      </c>
      <c r="K143" s="165" t="str">
        <f t="shared" si="31"/>
        <v>EN PROCESO</v>
      </c>
      <c r="L143" s="165">
        <v>14.05</v>
      </c>
      <c r="M143" s="165" t="str">
        <f t="shared" si="32"/>
        <v>EN PROCESO</v>
      </c>
      <c r="N143" s="165">
        <v>14.4</v>
      </c>
      <c r="O143" t="str">
        <f t="shared" si="33"/>
        <v>EN PROCESO</v>
      </c>
      <c r="P143">
        <v>14.38</v>
      </c>
      <c r="Q143" t="str">
        <f t="shared" si="34"/>
        <v>EN PROCESO</v>
      </c>
      <c r="R143" s="166" t="str">
        <f t="shared" si="37"/>
        <v xml:space="preserve">APROBADO </v>
      </c>
    </row>
    <row r="144" spans="1:18" hidden="1" x14ac:dyDescent="0.25">
      <c r="A144" s="160">
        <v>72</v>
      </c>
      <c r="B144" s="160">
        <v>3</v>
      </c>
      <c r="C144" s="178">
        <v>41168201</v>
      </c>
      <c r="D144" s="180" t="s">
        <v>1698</v>
      </c>
      <c r="E144" s="180" t="s">
        <v>1695</v>
      </c>
      <c r="F144" s="180">
        <v>595082</v>
      </c>
      <c r="G144" s="167" t="s">
        <v>85</v>
      </c>
      <c r="H144" s="163" t="str">
        <f>IF(G144="NO","NO APLICA","ESCRIBA EL NOMBRE DEL IIEE")</f>
        <v>NO APLICA</v>
      </c>
      <c r="I144" s="163" t="str">
        <f>IF(H144="NO APLICA","NO APLICA","ESCRIBA EL CÓDIGO MODULAR")</f>
        <v>NO APLICA</v>
      </c>
      <c r="J144" s="165">
        <v>13.05</v>
      </c>
      <c r="K144" s="165" t="str">
        <f t="shared" si="31"/>
        <v>EN PROCESO</v>
      </c>
      <c r="L144" s="165">
        <v>14.85</v>
      </c>
      <c r="M144" s="165" t="str">
        <f t="shared" si="32"/>
        <v>EN PROCESO</v>
      </c>
      <c r="N144" s="165">
        <v>14.6</v>
      </c>
      <c r="O144" t="str">
        <f t="shared" si="33"/>
        <v>EN PROCESO</v>
      </c>
      <c r="P144">
        <v>13.67</v>
      </c>
      <c r="Q144" t="str">
        <f t="shared" si="34"/>
        <v>EN PROCESO</v>
      </c>
      <c r="R144" s="166" t="str">
        <f t="shared" si="37"/>
        <v xml:space="preserve">APROBADO </v>
      </c>
    </row>
    <row r="145" spans="1:18" hidden="1" x14ac:dyDescent="0.25">
      <c r="A145" s="160">
        <v>72</v>
      </c>
      <c r="B145" s="160">
        <v>4</v>
      </c>
      <c r="C145" s="194">
        <v>40365239</v>
      </c>
      <c r="D145" s="180" t="s">
        <v>1699</v>
      </c>
      <c r="E145" s="180" t="s">
        <v>1695</v>
      </c>
      <c r="F145" s="180">
        <v>595082</v>
      </c>
      <c r="G145" s="167" t="s">
        <v>48</v>
      </c>
      <c r="H145" s="163" t="s">
        <v>1695</v>
      </c>
      <c r="I145" s="163">
        <v>595082</v>
      </c>
      <c r="J145" s="165">
        <v>11.7</v>
      </c>
      <c r="K145" s="165" t="str">
        <f t="shared" si="31"/>
        <v>EN PROCESO</v>
      </c>
      <c r="L145" s="165">
        <v>13.65</v>
      </c>
      <c r="M145" s="165" t="str">
        <f t="shared" si="32"/>
        <v>EN PROCESO</v>
      </c>
      <c r="N145" s="165">
        <v>13</v>
      </c>
      <c r="O145" t="str">
        <f t="shared" si="33"/>
        <v>EN PROCESO</v>
      </c>
      <c r="P145">
        <v>11.77</v>
      </c>
      <c r="Q145" t="str">
        <f t="shared" si="34"/>
        <v>EN PROCESO</v>
      </c>
      <c r="R145" s="166" t="str">
        <f t="shared" si="37"/>
        <v xml:space="preserve">APROBADO </v>
      </c>
    </row>
    <row r="146" spans="1:18" hidden="1" x14ac:dyDescent="0.25">
      <c r="A146" s="160">
        <v>72</v>
      </c>
      <c r="B146" s="160">
        <v>5</v>
      </c>
      <c r="C146" s="194">
        <v>40768</v>
      </c>
      <c r="D146" s="180" t="s">
        <v>1700</v>
      </c>
      <c r="E146" s="180" t="s">
        <v>1701</v>
      </c>
      <c r="F146" s="180">
        <v>807156</v>
      </c>
      <c r="G146" s="167" t="s">
        <v>48</v>
      </c>
      <c r="H146" s="163" t="s">
        <v>1701</v>
      </c>
      <c r="I146" s="163">
        <v>807156</v>
      </c>
      <c r="J146" s="165">
        <v>12.8</v>
      </c>
      <c r="K146" s="165" t="str">
        <f t="shared" si="31"/>
        <v>EN PROCESO</v>
      </c>
      <c r="L146" s="165">
        <v>14.55</v>
      </c>
      <c r="M146" s="165" t="str">
        <f t="shared" si="32"/>
        <v>EN PROCESO</v>
      </c>
      <c r="N146" s="165">
        <v>14.3</v>
      </c>
      <c r="O146" t="str">
        <f t="shared" si="33"/>
        <v>EN PROCESO</v>
      </c>
      <c r="P146">
        <v>13.45</v>
      </c>
      <c r="Q146" t="str">
        <f t="shared" si="34"/>
        <v>EN PROCESO</v>
      </c>
      <c r="R146" s="166" t="str">
        <f t="shared" si="37"/>
        <v xml:space="preserve">APROBADO </v>
      </c>
    </row>
    <row r="147" spans="1:18" hidden="1" x14ac:dyDescent="0.25">
      <c r="A147" s="160">
        <v>72</v>
      </c>
      <c r="B147" s="160">
        <v>6</v>
      </c>
      <c r="C147" s="178">
        <v>114121</v>
      </c>
      <c r="D147" s="180" t="s">
        <v>1702</v>
      </c>
      <c r="E147" s="180" t="s">
        <v>1703</v>
      </c>
      <c r="F147" s="180">
        <v>733535</v>
      </c>
      <c r="G147" s="167" t="s">
        <v>48</v>
      </c>
      <c r="H147" s="163" t="s">
        <v>1703</v>
      </c>
      <c r="I147" s="163">
        <v>733535</v>
      </c>
      <c r="J147" s="165">
        <v>13.72</v>
      </c>
      <c r="K147" s="165" t="str">
        <f t="shared" si="31"/>
        <v>EN PROCESO</v>
      </c>
      <c r="L147" s="165">
        <v>14.49</v>
      </c>
      <c r="M147" s="165" t="str">
        <f t="shared" si="32"/>
        <v>EN PROCESO</v>
      </c>
      <c r="N147" s="165">
        <v>13.13</v>
      </c>
      <c r="O147" t="str">
        <f t="shared" si="33"/>
        <v>EN PROCESO</v>
      </c>
      <c r="P147">
        <v>14.75</v>
      </c>
      <c r="Q147" t="str">
        <f t="shared" si="34"/>
        <v>EN PROCESO</v>
      </c>
      <c r="R147" s="166" t="str">
        <f t="shared" si="37"/>
        <v xml:space="preserve">APROBADO </v>
      </c>
    </row>
    <row r="148" spans="1:18" hidden="1" x14ac:dyDescent="0.25">
      <c r="A148" s="160">
        <v>72</v>
      </c>
      <c r="B148" s="160">
        <v>7</v>
      </c>
      <c r="C148" s="178">
        <v>125164</v>
      </c>
      <c r="D148" s="180" t="s">
        <v>1704</v>
      </c>
      <c r="E148" s="180" t="s">
        <v>1705</v>
      </c>
      <c r="F148" s="180">
        <v>733600</v>
      </c>
      <c r="G148" s="167" t="s">
        <v>48</v>
      </c>
      <c r="H148" s="163" t="s">
        <v>1705</v>
      </c>
      <c r="I148" s="163">
        <v>733600</v>
      </c>
      <c r="J148" s="165">
        <v>11.23</v>
      </c>
      <c r="K148" s="165" t="str">
        <f t="shared" si="31"/>
        <v>EN PROCESO</v>
      </c>
      <c r="L148" s="165">
        <v>12.63</v>
      </c>
      <c r="M148" s="165" t="str">
        <f t="shared" si="32"/>
        <v>EN PROCESO</v>
      </c>
      <c r="N148" s="165">
        <v>13.03</v>
      </c>
      <c r="O148" t="str">
        <f t="shared" si="33"/>
        <v>EN PROCESO</v>
      </c>
      <c r="P148">
        <v>11.04</v>
      </c>
      <c r="Q148" t="str">
        <f t="shared" si="34"/>
        <v>EN PROCESO</v>
      </c>
      <c r="R148" s="166" t="str">
        <f t="shared" si="37"/>
        <v xml:space="preserve">APROBADO </v>
      </c>
    </row>
    <row r="149" spans="1:18" hidden="1" x14ac:dyDescent="0.25">
      <c r="A149" s="160">
        <v>72</v>
      </c>
      <c r="B149" s="160">
        <v>8</v>
      </c>
      <c r="C149" s="178">
        <v>119565</v>
      </c>
      <c r="D149" s="180" t="s">
        <v>1706</v>
      </c>
      <c r="E149" s="180" t="s">
        <v>1697</v>
      </c>
      <c r="F149" s="180">
        <v>272773</v>
      </c>
      <c r="G149" s="167" t="s">
        <v>48</v>
      </c>
      <c r="H149" s="163" t="s">
        <v>1703</v>
      </c>
      <c r="I149" s="163">
        <v>733535</v>
      </c>
      <c r="J149" s="165">
        <v>12.48</v>
      </c>
      <c r="K149" s="165" t="str">
        <f t="shared" si="31"/>
        <v>EN PROCESO</v>
      </c>
      <c r="L149" s="165">
        <v>13.63</v>
      </c>
      <c r="M149" s="165" t="str">
        <f t="shared" si="32"/>
        <v>EN PROCESO</v>
      </c>
      <c r="N149" s="165">
        <v>14.27</v>
      </c>
      <c r="O149" t="str">
        <f t="shared" si="33"/>
        <v>EN PROCESO</v>
      </c>
      <c r="P149">
        <v>13.51</v>
      </c>
      <c r="Q149" t="str">
        <f t="shared" si="34"/>
        <v>EN PROCESO</v>
      </c>
      <c r="R149" s="166" t="str">
        <f t="shared" si="37"/>
        <v xml:space="preserve">APROBADO </v>
      </c>
    </row>
    <row r="150" spans="1:18" hidden="1" x14ac:dyDescent="0.25">
      <c r="A150" s="160">
        <v>72</v>
      </c>
      <c r="B150" s="160">
        <v>9</v>
      </c>
      <c r="C150" s="178">
        <v>46454678</v>
      </c>
      <c r="D150" s="180" t="s">
        <v>1707</v>
      </c>
      <c r="E150" s="180" t="s">
        <v>1703</v>
      </c>
      <c r="F150" s="180">
        <v>733535</v>
      </c>
      <c r="G150" s="167" t="s">
        <v>85</v>
      </c>
      <c r="H150" s="163" t="str">
        <f t="shared" ref="H150:H151" si="38">IF(G150="NO","NO APLICA","ESCRIBA EL NOMBRE DEL IIEE")</f>
        <v>NO APLICA</v>
      </c>
      <c r="I150" s="163" t="str">
        <f t="shared" ref="I150:I151" si="39">IF(H150="NO APLICA","NO APLICA","ESCRIBA EL CÓDIGO MODULAR")</f>
        <v>NO APLICA</v>
      </c>
      <c r="J150" s="165">
        <v>13.67</v>
      </c>
      <c r="K150" s="165" t="str">
        <f t="shared" si="31"/>
        <v>EN PROCESO</v>
      </c>
      <c r="L150" s="165">
        <v>14.47</v>
      </c>
      <c r="M150" s="165" t="str">
        <f t="shared" si="32"/>
        <v>EN PROCESO</v>
      </c>
      <c r="N150" s="165">
        <v>13.5</v>
      </c>
      <c r="O150" t="str">
        <f t="shared" si="33"/>
        <v>EN PROCESO</v>
      </c>
      <c r="P150">
        <v>12.63</v>
      </c>
      <c r="Q150" t="str">
        <f t="shared" si="34"/>
        <v>EN PROCESO</v>
      </c>
      <c r="R150" s="166" t="str">
        <f t="shared" si="37"/>
        <v xml:space="preserve">APROBADO </v>
      </c>
    </row>
    <row r="151" spans="1:18" hidden="1" x14ac:dyDescent="0.25">
      <c r="A151" s="160">
        <v>72</v>
      </c>
      <c r="B151" s="160">
        <v>10</v>
      </c>
      <c r="C151" s="194">
        <v>21149926</v>
      </c>
      <c r="D151" s="180" t="s">
        <v>1708</v>
      </c>
      <c r="E151" s="180" t="s">
        <v>1709</v>
      </c>
      <c r="F151" s="180">
        <v>273359</v>
      </c>
      <c r="G151" s="167" t="s">
        <v>85</v>
      </c>
      <c r="H151" s="163" t="str">
        <f t="shared" si="38"/>
        <v>NO APLICA</v>
      </c>
      <c r="I151" s="163" t="str">
        <f t="shared" si="39"/>
        <v>NO APLICA</v>
      </c>
      <c r="J151" s="165">
        <v>13.05</v>
      </c>
      <c r="K151" s="165" t="str">
        <f t="shared" si="31"/>
        <v>EN PROCESO</v>
      </c>
      <c r="L151" s="165">
        <v>14.03</v>
      </c>
      <c r="M151" s="165" t="str">
        <f t="shared" si="32"/>
        <v>EN PROCESO</v>
      </c>
      <c r="N151" s="165">
        <v>16.97</v>
      </c>
      <c r="O151" t="str">
        <f t="shared" si="33"/>
        <v>LOGRADO</v>
      </c>
      <c r="P151">
        <v>12.54</v>
      </c>
      <c r="Q151" t="str">
        <f t="shared" si="34"/>
        <v>EN PROCESO</v>
      </c>
      <c r="R151" s="166" t="str">
        <f t="shared" si="37"/>
        <v xml:space="preserve">APROBADO </v>
      </c>
    </row>
    <row r="152" spans="1:18" hidden="1" x14ac:dyDescent="0.25">
      <c r="A152" s="160">
        <v>72</v>
      </c>
      <c r="B152" s="160">
        <v>11</v>
      </c>
      <c r="C152" s="178">
        <v>127914</v>
      </c>
      <c r="D152" s="162" t="s">
        <v>1710</v>
      </c>
      <c r="E152" s="162" t="s">
        <v>1195</v>
      </c>
      <c r="F152" s="162" t="s">
        <v>1195</v>
      </c>
      <c r="G152" s="167" t="s">
        <v>48</v>
      </c>
      <c r="H152" s="163" t="s">
        <v>1195</v>
      </c>
      <c r="I152" s="163" t="s">
        <v>1195</v>
      </c>
      <c r="J152" s="165">
        <v>16.52</v>
      </c>
      <c r="K152" s="165" t="str">
        <f t="shared" si="31"/>
        <v>LOGRADO</v>
      </c>
      <c r="L152" s="165">
        <v>18.39</v>
      </c>
      <c r="M152" s="165" t="str">
        <f t="shared" si="32"/>
        <v>LOGRADO</v>
      </c>
      <c r="N152" s="165">
        <v>15.07</v>
      </c>
      <c r="O152" t="str">
        <f t="shared" si="33"/>
        <v>LOGRADO</v>
      </c>
      <c r="P152">
        <v>17.89</v>
      </c>
      <c r="Q152" t="str">
        <f t="shared" si="34"/>
        <v>LOGRADO</v>
      </c>
      <c r="R152" s="166" t="str">
        <f t="shared" si="37"/>
        <v xml:space="preserve">APROBADO </v>
      </c>
    </row>
    <row r="153" spans="1:18" hidden="1" x14ac:dyDescent="0.25">
      <c r="A153" s="160">
        <v>72</v>
      </c>
      <c r="B153" s="160">
        <v>12</v>
      </c>
      <c r="C153" s="178">
        <v>45245072</v>
      </c>
      <c r="D153" s="180" t="s">
        <v>1711</v>
      </c>
      <c r="E153" s="180" t="s">
        <v>1697</v>
      </c>
      <c r="F153" s="180">
        <v>272773</v>
      </c>
      <c r="G153" s="167" t="s">
        <v>85</v>
      </c>
      <c r="H153" s="163" t="str">
        <f t="shared" ref="H153:H154" si="40">IF(G153="NO","NO APLICA","ESCRIBA EL NOMBRE DEL IIEE")</f>
        <v>NO APLICA</v>
      </c>
      <c r="I153" s="163" t="str">
        <f t="shared" ref="I153:I154" si="41">IF(H153="NO APLICA","NO APLICA","ESCRIBA EL CÓDIGO MODULAR")</f>
        <v>NO APLICA</v>
      </c>
      <c r="J153" s="165">
        <v>12.82</v>
      </c>
      <c r="K153" s="165" t="str">
        <f t="shared" si="31"/>
        <v>EN PROCESO</v>
      </c>
      <c r="L153" s="165">
        <v>14.39</v>
      </c>
      <c r="M153" s="165" t="str">
        <f t="shared" si="32"/>
        <v>EN PROCESO</v>
      </c>
      <c r="N153" s="165">
        <v>13.7</v>
      </c>
      <c r="O153" t="str">
        <f t="shared" si="33"/>
        <v>EN PROCESO</v>
      </c>
      <c r="P153">
        <v>12.62</v>
      </c>
      <c r="Q153" t="str">
        <f t="shared" si="34"/>
        <v>EN PROCESO</v>
      </c>
      <c r="R153" s="166" t="str">
        <f t="shared" si="37"/>
        <v xml:space="preserve">APROBADO </v>
      </c>
    </row>
    <row r="154" spans="1:18" hidden="1" x14ac:dyDescent="0.25">
      <c r="A154" s="160">
        <v>72</v>
      </c>
      <c r="B154" s="160">
        <v>13</v>
      </c>
      <c r="C154" s="194">
        <v>40978</v>
      </c>
      <c r="D154" s="180" t="s">
        <v>1712</v>
      </c>
      <c r="E154" s="180" t="s">
        <v>1713</v>
      </c>
      <c r="F154" s="180">
        <v>666677</v>
      </c>
      <c r="G154" s="167" t="s">
        <v>85</v>
      </c>
      <c r="H154" s="163" t="str">
        <f t="shared" si="40"/>
        <v>NO APLICA</v>
      </c>
      <c r="I154" s="163" t="str">
        <f t="shared" si="41"/>
        <v>NO APLICA</v>
      </c>
      <c r="J154" s="165">
        <v>12.35</v>
      </c>
      <c r="K154" s="165" t="str">
        <f t="shared" si="31"/>
        <v>EN PROCESO</v>
      </c>
      <c r="L154" s="165">
        <v>13.9</v>
      </c>
      <c r="M154" s="165" t="str">
        <f t="shared" si="32"/>
        <v>EN PROCESO</v>
      </c>
      <c r="N154" s="165">
        <v>14.4</v>
      </c>
      <c r="O154" t="str">
        <f t="shared" si="33"/>
        <v>EN PROCESO</v>
      </c>
      <c r="P154">
        <v>11.67</v>
      </c>
      <c r="Q154" t="str">
        <f t="shared" si="34"/>
        <v>EN PROCESO</v>
      </c>
      <c r="R154" s="166" t="str">
        <f t="shared" si="37"/>
        <v xml:space="preserve">APROBADO </v>
      </c>
    </row>
    <row r="155" spans="1:18" hidden="1" x14ac:dyDescent="0.25">
      <c r="A155" s="160">
        <v>72</v>
      </c>
      <c r="B155" s="160">
        <v>14</v>
      </c>
      <c r="C155" s="178">
        <v>80198665</v>
      </c>
      <c r="D155" s="180" t="s">
        <v>1714</v>
      </c>
      <c r="E155" s="180" t="s">
        <v>1715</v>
      </c>
      <c r="F155" s="180">
        <v>271551</v>
      </c>
      <c r="G155" s="167" t="s">
        <v>48</v>
      </c>
      <c r="H155" s="163" t="s">
        <v>1715</v>
      </c>
      <c r="I155" s="163">
        <v>271551</v>
      </c>
      <c r="J155" s="165">
        <v>14.15</v>
      </c>
      <c r="K155" s="165" t="str">
        <f t="shared" si="31"/>
        <v>EN PROCESO</v>
      </c>
      <c r="L155" s="165">
        <v>15.63</v>
      </c>
      <c r="M155" s="165" t="str">
        <f t="shared" si="32"/>
        <v>LOGRADO</v>
      </c>
      <c r="N155" s="165">
        <v>14.83</v>
      </c>
      <c r="O155" t="str">
        <f t="shared" si="33"/>
        <v>EN PROCESO</v>
      </c>
      <c r="P155">
        <v>12.85</v>
      </c>
      <c r="Q155" t="str">
        <f t="shared" si="34"/>
        <v>EN PROCESO</v>
      </c>
      <c r="R155" s="166" t="str">
        <f t="shared" si="37"/>
        <v xml:space="preserve">APROBADO </v>
      </c>
    </row>
    <row r="156" spans="1:18" hidden="1" x14ac:dyDescent="0.25">
      <c r="A156" s="160">
        <v>72</v>
      </c>
      <c r="B156" s="160">
        <v>15</v>
      </c>
      <c r="C156" s="177">
        <v>80163638</v>
      </c>
      <c r="D156" s="180" t="s">
        <v>1716</v>
      </c>
      <c r="E156" s="180" t="s">
        <v>1703</v>
      </c>
      <c r="F156" s="180">
        <v>733535</v>
      </c>
      <c r="G156" s="167" t="s">
        <v>85</v>
      </c>
      <c r="H156" s="163" t="str">
        <f t="shared" ref="H156:H160" si="42">IF(G156="NO","NO APLICA","ESCRIBA EL NOMBRE DEL IIEE")</f>
        <v>NO APLICA</v>
      </c>
      <c r="I156" s="163" t="str">
        <f t="shared" ref="I156:I160" si="43">IF(H156="NO APLICA","NO APLICA","ESCRIBA EL CÓDIGO MODULAR")</f>
        <v>NO APLICA</v>
      </c>
      <c r="J156" s="165">
        <v>13.03</v>
      </c>
      <c r="K156" s="165" t="str">
        <f t="shared" si="31"/>
        <v>EN PROCESO</v>
      </c>
      <c r="L156" s="165">
        <v>13.81</v>
      </c>
      <c r="M156" s="165" t="str">
        <f t="shared" si="32"/>
        <v>EN PROCESO</v>
      </c>
      <c r="N156" s="165">
        <v>14</v>
      </c>
      <c r="O156" t="str">
        <f t="shared" si="33"/>
        <v>EN PROCESO</v>
      </c>
      <c r="P156">
        <v>12.71</v>
      </c>
      <c r="Q156" t="str">
        <f t="shared" si="34"/>
        <v>EN PROCESO</v>
      </c>
      <c r="R156" s="166" t="str">
        <f t="shared" si="37"/>
        <v xml:space="preserve">APROBADO </v>
      </c>
    </row>
    <row r="157" spans="1:18" hidden="1" x14ac:dyDescent="0.25">
      <c r="A157" s="160">
        <v>72</v>
      </c>
      <c r="B157" s="160">
        <v>16</v>
      </c>
      <c r="C157" s="194">
        <v>40522480</v>
      </c>
      <c r="D157" s="180" t="s">
        <v>1717</v>
      </c>
      <c r="E157" s="180" t="s">
        <v>1695</v>
      </c>
      <c r="F157" s="180">
        <v>595082</v>
      </c>
      <c r="G157" s="167" t="s">
        <v>85</v>
      </c>
      <c r="H157" s="163" t="str">
        <f t="shared" si="42"/>
        <v>NO APLICA</v>
      </c>
      <c r="I157" s="163" t="str">
        <f t="shared" si="43"/>
        <v>NO APLICA</v>
      </c>
      <c r="J157" s="165">
        <v>13</v>
      </c>
      <c r="K157" s="165" t="str">
        <f t="shared" si="31"/>
        <v>EN PROCESO</v>
      </c>
      <c r="L157" s="165">
        <v>14.78</v>
      </c>
      <c r="M157" s="165" t="str">
        <f t="shared" si="32"/>
        <v>EN PROCESO</v>
      </c>
      <c r="N157" s="165">
        <v>14.4</v>
      </c>
      <c r="O157" t="str">
        <f t="shared" si="33"/>
        <v>EN PROCESO</v>
      </c>
      <c r="P157">
        <v>15.46</v>
      </c>
      <c r="Q157" t="str">
        <f t="shared" si="34"/>
        <v>LOGRADO</v>
      </c>
      <c r="R157" s="166" t="str">
        <f t="shared" si="37"/>
        <v xml:space="preserve">APROBADO </v>
      </c>
    </row>
    <row r="158" spans="1:18" hidden="1" x14ac:dyDescent="0.25">
      <c r="A158" s="160">
        <v>72</v>
      </c>
      <c r="B158" s="160">
        <v>17</v>
      </c>
      <c r="C158" s="178">
        <v>42351062</v>
      </c>
      <c r="D158" s="180" t="s">
        <v>1718</v>
      </c>
      <c r="E158" s="180" t="s">
        <v>1703</v>
      </c>
      <c r="F158" s="180">
        <v>733535</v>
      </c>
      <c r="G158" s="167" t="s">
        <v>85</v>
      </c>
      <c r="H158" s="163" t="str">
        <f t="shared" si="42"/>
        <v>NO APLICA</v>
      </c>
      <c r="I158" s="163" t="str">
        <f t="shared" si="43"/>
        <v>NO APLICA</v>
      </c>
      <c r="J158" s="165">
        <v>14.25</v>
      </c>
      <c r="K158" s="165" t="str">
        <f t="shared" si="31"/>
        <v>EN PROCESO</v>
      </c>
      <c r="L158" s="195">
        <v>15.28</v>
      </c>
      <c r="M158" s="165" t="str">
        <f t="shared" si="32"/>
        <v>LOGRADO</v>
      </c>
      <c r="N158" s="165">
        <v>9.4499999999999993</v>
      </c>
      <c r="O158" t="str">
        <f t="shared" si="33"/>
        <v>INICIO</v>
      </c>
      <c r="P158">
        <v>13.69</v>
      </c>
      <c r="Q158" t="str">
        <f t="shared" si="34"/>
        <v>EN PROCESO</v>
      </c>
      <c r="R158" s="166" t="str">
        <f t="shared" si="37"/>
        <v>DESAPROBADO</v>
      </c>
    </row>
    <row r="159" spans="1:18" hidden="1" x14ac:dyDescent="0.25">
      <c r="A159" s="160">
        <v>72</v>
      </c>
      <c r="B159" s="168"/>
      <c r="C159" s="196">
        <v>106367</v>
      </c>
      <c r="D159" s="197" t="s">
        <v>1719</v>
      </c>
      <c r="E159" s="197" t="s">
        <v>1720</v>
      </c>
      <c r="F159" s="197">
        <v>1433515</v>
      </c>
      <c r="G159" s="167" t="s">
        <v>85</v>
      </c>
      <c r="H159" s="163" t="str">
        <f t="shared" si="42"/>
        <v>NO APLICA</v>
      </c>
      <c r="I159" s="163" t="str">
        <f t="shared" si="43"/>
        <v>NO APLICA</v>
      </c>
      <c r="J159" s="198">
        <v>8.1</v>
      </c>
      <c r="K159" s="165" t="str">
        <f t="shared" si="31"/>
        <v>INICIO</v>
      </c>
      <c r="L159" s="192"/>
      <c r="M159" s="165" t="str">
        <f t="shared" si="32"/>
        <v>PREVIO AL INICIO</v>
      </c>
      <c r="N159" s="174"/>
      <c r="O159" t="str">
        <f t="shared" si="33"/>
        <v>PREVIO AL INICIO</v>
      </c>
      <c r="Q159" t="str">
        <f t="shared" si="34"/>
        <v>PREVIO AL INICIO</v>
      </c>
      <c r="R159" s="175" t="s">
        <v>70</v>
      </c>
    </row>
    <row r="160" spans="1:18" hidden="1" x14ac:dyDescent="0.25">
      <c r="A160" s="160">
        <v>79</v>
      </c>
      <c r="B160" s="160">
        <v>1</v>
      </c>
      <c r="C160" s="177">
        <v>70100305</v>
      </c>
      <c r="D160" s="162" t="s">
        <v>1721</v>
      </c>
      <c r="E160" s="199" t="s">
        <v>1297</v>
      </c>
      <c r="F160" s="162">
        <v>600692</v>
      </c>
      <c r="G160" s="167" t="s">
        <v>85</v>
      </c>
      <c r="H160" s="163" t="str">
        <f t="shared" si="42"/>
        <v>NO APLICA</v>
      </c>
      <c r="I160" s="163" t="str">
        <f t="shared" si="43"/>
        <v>NO APLICA</v>
      </c>
      <c r="J160" s="165">
        <v>13.83</v>
      </c>
      <c r="K160" s="165" t="str">
        <f t="shared" si="31"/>
        <v>EN PROCESO</v>
      </c>
      <c r="L160" s="165">
        <v>14.53</v>
      </c>
      <c r="M160" s="165" t="str">
        <f t="shared" si="32"/>
        <v>EN PROCESO</v>
      </c>
      <c r="N160" s="165">
        <v>11.53</v>
      </c>
      <c r="O160" t="str">
        <f t="shared" si="33"/>
        <v>EN PROCESO</v>
      </c>
      <c r="P160">
        <v>12.19</v>
      </c>
      <c r="Q160" t="str">
        <f t="shared" si="34"/>
        <v>EN PROCESO</v>
      </c>
      <c r="R160" s="166" t="str">
        <f t="shared" ref="R160:R190" si="44">IF(AND(J160&gt;=11,L160&gt;=11,N160&gt;=11,P160&gt;=11),"APROBADO ","DESAPROBADO")</f>
        <v xml:space="preserve">APROBADO </v>
      </c>
    </row>
    <row r="161" spans="1:18" hidden="1" x14ac:dyDescent="0.25">
      <c r="A161" s="160">
        <v>79</v>
      </c>
      <c r="B161" s="160">
        <v>2</v>
      </c>
      <c r="C161" s="177">
        <v>44760060</v>
      </c>
      <c r="D161" s="162" t="s">
        <v>1722</v>
      </c>
      <c r="E161" s="199" t="s">
        <v>1723</v>
      </c>
      <c r="F161" s="162">
        <v>1495167</v>
      </c>
      <c r="G161" s="167" t="s">
        <v>48</v>
      </c>
      <c r="H161" s="163">
        <v>156</v>
      </c>
      <c r="I161" s="163">
        <v>1495167</v>
      </c>
      <c r="J161" s="165">
        <v>11.85</v>
      </c>
      <c r="K161" s="165" t="str">
        <f t="shared" si="31"/>
        <v>EN PROCESO</v>
      </c>
      <c r="L161" s="165">
        <v>14.73</v>
      </c>
      <c r="M161" s="165" t="str">
        <f t="shared" si="32"/>
        <v>EN PROCESO</v>
      </c>
      <c r="N161" s="165">
        <v>10.8</v>
      </c>
      <c r="O161" t="str">
        <f t="shared" si="33"/>
        <v>INICIO</v>
      </c>
      <c r="P161">
        <v>9.74</v>
      </c>
      <c r="Q161" t="str">
        <f t="shared" si="34"/>
        <v>INICIO</v>
      </c>
      <c r="R161" s="166" t="str">
        <f t="shared" si="44"/>
        <v>DESAPROBADO</v>
      </c>
    </row>
    <row r="162" spans="1:18" hidden="1" x14ac:dyDescent="0.25">
      <c r="A162" s="160">
        <v>79</v>
      </c>
      <c r="B162" s="160">
        <v>3</v>
      </c>
      <c r="C162" s="177">
        <v>41210212</v>
      </c>
      <c r="D162" s="162" t="s">
        <v>1724</v>
      </c>
      <c r="E162" s="199" t="s">
        <v>1297</v>
      </c>
      <c r="F162" s="162">
        <v>600692</v>
      </c>
      <c r="G162" s="167" t="s">
        <v>48</v>
      </c>
      <c r="H162" s="163" t="s">
        <v>1297</v>
      </c>
      <c r="I162" s="163">
        <v>600692</v>
      </c>
      <c r="J162" s="165">
        <v>12.6</v>
      </c>
      <c r="K162" s="165" t="str">
        <f t="shared" si="31"/>
        <v>EN PROCESO</v>
      </c>
      <c r="L162" s="165">
        <v>16.399999999999999</v>
      </c>
      <c r="M162" s="165" t="str">
        <f t="shared" si="32"/>
        <v>LOGRADO</v>
      </c>
      <c r="N162" s="165">
        <v>15.9</v>
      </c>
      <c r="O162" t="str">
        <f t="shared" si="33"/>
        <v>LOGRADO</v>
      </c>
      <c r="P162">
        <v>11.31</v>
      </c>
      <c r="Q162" t="str">
        <f t="shared" si="34"/>
        <v>EN PROCESO</v>
      </c>
      <c r="R162" s="166" t="str">
        <f t="shared" si="44"/>
        <v xml:space="preserve">APROBADO </v>
      </c>
    </row>
    <row r="163" spans="1:18" hidden="1" x14ac:dyDescent="0.25">
      <c r="A163" s="160">
        <v>79</v>
      </c>
      <c r="B163" s="160">
        <v>4</v>
      </c>
      <c r="C163" s="177">
        <v>40041626</v>
      </c>
      <c r="D163" s="162" t="s">
        <v>1725</v>
      </c>
      <c r="E163" s="199" t="s">
        <v>1297</v>
      </c>
      <c r="F163" s="162">
        <v>600692</v>
      </c>
      <c r="G163" s="167" t="s">
        <v>48</v>
      </c>
      <c r="H163" s="163" t="s">
        <v>1297</v>
      </c>
      <c r="I163" s="163">
        <v>600692</v>
      </c>
      <c r="J163" s="165">
        <v>16.3</v>
      </c>
      <c r="K163" s="165" t="str">
        <f t="shared" si="31"/>
        <v>LOGRADO</v>
      </c>
      <c r="L163" s="165">
        <v>12.75</v>
      </c>
      <c r="M163" s="165" t="str">
        <f t="shared" si="32"/>
        <v>EN PROCESO</v>
      </c>
      <c r="N163" s="165">
        <v>12.3</v>
      </c>
      <c r="O163" t="str">
        <f t="shared" si="33"/>
        <v>EN PROCESO</v>
      </c>
      <c r="P163">
        <v>15.33</v>
      </c>
      <c r="Q163" t="str">
        <f t="shared" si="34"/>
        <v>LOGRADO</v>
      </c>
      <c r="R163" s="166" t="str">
        <f t="shared" si="44"/>
        <v xml:space="preserve">APROBADO </v>
      </c>
    </row>
    <row r="164" spans="1:18" hidden="1" x14ac:dyDescent="0.25">
      <c r="A164" s="160">
        <v>79</v>
      </c>
      <c r="B164" s="160">
        <v>5</v>
      </c>
      <c r="C164" s="177">
        <v>23378665</v>
      </c>
      <c r="D164" s="162" t="s">
        <v>1726</v>
      </c>
      <c r="E164" s="199" t="s">
        <v>1297</v>
      </c>
      <c r="F164" s="162">
        <v>600692</v>
      </c>
      <c r="G164" s="167" t="s">
        <v>48</v>
      </c>
      <c r="H164" s="163" t="s">
        <v>1297</v>
      </c>
      <c r="I164" s="163">
        <v>600692</v>
      </c>
      <c r="J164" s="165">
        <v>14.63</v>
      </c>
      <c r="K164" s="165" t="str">
        <f t="shared" si="31"/>
        <v>EN PROCESO</v>
      </c>
      <c r="L164" s="165">
        <v>16.03</v>
      </c>
      <c r="M164" s="165" t="str">
        <f t="shared" si="32"/>
        <v>LOGRADO</v>
      </c>
      <c r="N164" s="165">
        <v>15.71</v>
      </c>
      <c r="O164" t="str">
        <f t="shared" si="33"/>
        <v>LOGRADO</v>
      </c>
      <c r="P164" s="215">
        <v>13.3</v>
      </c>
      <c r="Q164" t="str">
        <f t="shared" si="34"/>
        <v>EN PROCESO</v>
      </c>
      <c r="R164" s="166" t="str">
        <f t="shared" si="44"/>
        <v xml:space="preserve">APROBADO </v>
      </c>
    </row>
    <row r="165" spans="1:18" hidden="1" x14ac:dyDescent="0.25">
      <c r="A165" s="160">
        <v>79</v>
      </c>
      <c r="B165" s="160">
        <v>6</v>
      </c>
      <c r="C165" s="177">
        <v>23361866</v>
      </c>
      <c r="D165" s="162" t="s">
        <v>1727</v>
      </c>
      <c r="E165" s="199" t="s">
        <v>1297</v>
      </c>
      <c r="F165" s="162">
        <v>600692</v>
      </c>
      <c r="G165" s="167" t="s">
        <v>48</v>
      </c>
      <c r="H165" s="163" t="s">
        <v>1297</v>
      </c>
      <c r="I165" s="163">
        <v>600692</v>
      </c>
      <c r="J165" s="165">
        <v>12.13</v>
      </c>
      <c r="K165" s="165" t="str">
        <f t="shared" si="31"/>
        <v>EN PROCESO</v>
      </c>
      <c r="L165" s="165">
        <v>15.93</v>
      </c>
      <c r="M165" s="165" t="str">
        <f t="shared" si="32"/>
        <v>LOGRADO</v>
      </c>
      <c r="N165" s="165">
        <v>15.58</v>
      </c>
      <c r="O165" t="str">
        <f t="shared" si="33"/>
        <v>LOGRADO</v>
      </c>
      <c r="P165">
        <v>10.84</v>
      </c>
      <c r="Q165" t="str">
        <f t="shared" si="34"/>
        <v>INICIO</v>
      </c>
      <c r="R165" s="166" t="str">
        <f t="shared" si="44"/>
        <v>DESAPROBADO</v>
      </c>
    </row>
    <row r="166" spans="1:18" hidden="1" x14ac:dyDescent="0.25">
      <c r="A166" s="160">
        <v>79</v>
      </c>
      <c r="B166" s="160">
        <v>7</v>
      </c>
      <c r="C166" s="177">
        <v>47214382</v>
      </c>
      <c r="D166" s="162" t="s">
        <v>1728</v>
      </c>
      <c r="E166" s="199" t="s">
        <v>1297</v>
      </c>
      <c r="F166" s="162">
        <v>600692</v>
      </c>
      <c r="G166" s="167" t="s">
        <v>48</v>
      </c>
      <c r="H166" s="163" t="s">
        <v>1297</v>
      </c>
      <c r="I166" s="163">
        <v>600692</v>
      </c>
      <c r="J166" s="165">
        <v>12.03</v>
      </c>
      <c r="K166" s="165" t="str">
        <f t="shared" si="31"/>
        <v>EN PROCESO</v>
      </c>
      <c r="L166" s="165">
        <v>15.26</v>
      </c>
      <c r="M166" s="165" t="str">
        <f t="shared" si="32"/>
        <v>LOGRADO</v>
      </c>
      <c r="N166" s="165">
        <v>14.98</v>
      </c>
      <c r="O166" t="str">
        <f t="shared" si="33"/>
        <v>EN PROCESO</v>
      </c>
      <c r="P166">
        <v>11.72</v>
      </c>
      <c r="Q166" t="str">
        <f t="shared" si="34"/>
        <v>EN PROCESO</v>
      </c>
      <c r="R166" s="166" t="str">
        <f t="shared" si="44"/>
        <v xml:space="preserve">APROBADO </v>
      </c>
    </row>
    <row r="167" spans="1:18" hidden="1" x14ac:dyDescent="0.25">
      <c r="A167" s="160">
        <v>79</v>
      </c>
      <c r="B167" s="160">
        <v>8</v>
      </c>
      <c r="C167" s="177">
        <v>23272134</v>
      </c>
      <c r="D167" s="162" t="s">
        <v>1729</v>
      </c>
      <c r="E167" s="199" t="s">
        <v>1730</v>
      </c>
      <c r="F167" s="162">
        <v>1402866</v>
      </c>
      <c r="G167" s="167" t="s">
        <v>48</v>
      </c>
      <c r="H167" s="163">
        <v>36789</v>
      </c>
      <c r="I167" s="163">
        <v>1402866</v>
      </c>
      <c r="J167" s="165">
        <v>11.98</v>
      </c>
      <c r="K167" s="165" t="str">
        <f t="shared" si="31"/>
        <v>EN PROCESO</v>
      </c>
      <c r="L167" s="165">
        <v>12.98</v>
      </c>
      <c r="M167" s="165" t="str">
        <f t="shared" si="32"/>
        <v>EN PROCESO</v>
      </c>
      <c r="N167" s="165">
        <v>13.03</v>
      </c>
      <c r="O167" t="str">
        <f t="shared" si="33"/>
        <v>EN PROCESO</v>
      </c>
      <c r="P167">
        <v>11.04</v>
      </c>
      <c r="Q167" t="str">
        <f t="shared" si="34"/>
        <v>EN PROCESO</v>
      </c>
      <c r="R167" s="166" t="str">
        <f t="shared" si="44"/>
        <v xml:space="preserve">APROBADO </v>
      </c>
    </row>
    <row r="168" spans="1:18" hidden="1" x14ac:dyDescent="0.25">
      <c r="A168" s="160">
        <v>79</v>
      </c>
      <c r="B168" s="160">
        <v>9</v>
      </c>
      <c r="C168" s="177">
        <v>20083446</v>
      </c>
      <c r="D168" s="162" t="s">
        <v>1731</v>
      </c>
      <c r="E168" s="199" t="s">
        <v>1297</v>
      </c>
      <c r="F168" s="162">
        <v>600692</v>
      </c>
      <c r="G168" s="167" t="s">
        <v>48</v>
      </c>
      <c r="H168" s="163" t="s">
        <v>1297</v>
      </c>
      <c r="I168" s="163">
        <v>600692</v>
      </c>
      <c r="J168" s="165">
        <v>10.050000000000001</v>
      </c>
      <c r="K168" s="165" t="str">
        <f t="shared" si="31"/>
        <v>INICIO</v>
      </c>
      <c r="L168" s="165">
        <v>12.13</v>
      </c>
      <c r="M168" s="165" t="str">
        <f t="shared" si="32"/>
        <v>EN PROCESO</v>
      </c>
      <c r="N168" s="165">
        <v>7.75</v>
      </c>
      <c r="O168" t="str">
        <f t="shared" si="33"/>
        <v>INICIO</v>
      </c>
      <c r="P168">
        <v>7.37</v>
      </c>
      <c r="Q168" t="str">
        <f t="shared" si="34"/>
        <v>INICIO</v>
      </c>
      <c r="R168" s="166" t="str">
        <f t="shared" si="44"/>
        <v>DESAPROBADO</v>
      </c>
    </row>
    <row r="169" spans="1:18" hidden="1" x14ac:dyDescent="0.25">
      <c r="A169" s="160">
        <v>79</v>
      </c>
      <c r="B169" s="160">
        <v>10</v>
      </c>
      <c r="C169" s="177">
        <v>40836110</v>
      </c>
      <c r="D169" s="162" t="s">
        <v>1732</v>
      </c>
      <c r="E169" s="199" t="s">
        <v>1297</v>
      </c>
      <c r="F169" s="162">
        <v>600692</v>
      </c>
      <c r="G169" s="167" t="s">
        <v>48</v>
      </c>
      <c r="H169" s="163" t="s">
        <v>1297</v>
      </c>
      <c r="I169" s="163">
        <v>600692</v>
      </c>
      <c r="J169" s="165">
        <v>9.18</v>
      </c>
      <c r="K169" s="165" t="str">
        <f t="shared" si="31"/>
        <v>INICIO</v>
      </c>
      <c r="L169" s="165">
        <v>6.37</v>
      </c>
      <c r="M169" s="165" t="str">
        <f t="shared" si="32"/>
        <v>INICIO</v>
      </c>
      <c r="N169" s="165">
        <v>10.87</v>
      </c>
      <c r="O169" t="str">
        <f t="shared" si="33"/>
        <v>INICIO</v>
      </c>
      <c r="P169">
        <v>12.51</v>
      </c>
      <c r="Q169" t="str">
        <f t="shared" si="34"/>
        <v>EN PROCESO</v>
      </c>
      <c r="R169" s="166" t="str">
        <f t="shared" si="44"/>
        <v>DESAPROBADO</v>
      </c>
    </row>
    <row r="170" spans="1:18" hidden="1" x14ac:dyDescent="0.25">
      <c r="A170" s="160">
        <v>79</v>
      </c>
      <c r="B170" s="160">
        <v>11</v>
      </c>
      <c r="C170" s="177">
        <v>43794422</v>
      </c>
      <c r="D170" s="162" t="s">
        <v>1733</v>
      </c>
      <c r="E170" s="199" t="s">
        <v>1297</v>
      </c>
      <c r="F170" s="162">
        <v>600692</v>
      </c>
      <c r="G170" s="167" t="s">
        <v>48</v>
      </c>
      <c r="H170" s="163" t="s">
        <v>1297</v>
      </c>
      <c r="I170" s="163">
        <v>600692</v>
      </c>
      <c r="J170" s="165">
        <v>12.72</v>
      </c>
      <c r="K170" s="165" t="str">
        <f t="shared" si="31"/>
        <v>EN PROCESO</v>
      </c>
      <c r="L170" s="165">
        <v>9.6199999999999992</v>
      </c>
      <c r="M170" s="165" t="str">
        <f t="shared" si="32"/>
        <v>INICIO</v>
      </c>
      <c r="N170" s="165">
        <v>10.82</v>
      </c>
      <c r="O170" t="str">
        <f t="shared" si="33"/>
        <v>INICIO</v>
      </c>
      <c r="P170">
        <v>10.75</v>
      </c>
      <c r="Q170" t="str">
        <f t="shared" si="34"/>
        <v>INICIO</v>
      </c>
      <c r="R170" s="166" t="str">
        <f t="shared" si="44"/>
        <v>DESAPROBADO</v>
      </c>
    </row>
    <row r="171" spans="1:18" hidden="1" x14ac:dyDescent="0.25">
      <c r="A171" s="160">
        <v>79</v>
      </c>
      <c r="B171" s="160">
        <v>12</v>
      </c>
      <c r="C171" s="177">
        <v>48395104</v>
      </c>
      <c r="D171" s="162" t="s">
        <v>1734</v>
      </c>
      <c r="E171" s="199" t="s">
        <v>1297</v>
      </c>
      <c r="F171" s="162">
        <v>600692</v>
      </c>
      <c r="G171" s="167" t="s">
        <v>48</v>
      </c>
      <c r="H171" s="163" t="s">
        <v>1297</v>
      </c>
      <c r="I171" s="163">
        <v>600692</v>
      </c>
      <c r="J171" s="165">
        <v>14.5</v>
      </c>
      <c r="K171" s="165" t="str">
        <f t="shared" si="31"/>
        <v>EN PROCESO</v>
      </c>
      <c r="L171" s="165">
        <v>15.51</v>
      </c>
      <c r="M171" s="165" t="str">
        <f t="shared" si="32"/>
        <v>LOGRADO</v>
      </c>
      <c r="N171" s="165">
        <v>12.33</v>
      </c>
      <c r="O171" t="str">
        <f t="shared" si="33"/>
        <v>EN PROCESO</v>
      </c>
      <c r="P171" s="215">
        <v>15</v>
      </c>
      <c r="Q171" t="str">
        <f t="shared" si="34"/>
        <v>LOGRADO</v>
      </c>
      <c r="R171" s="166" t="str">
        <f t="shared" si="44"/>
        <v xml:space="preserve">APROBADO </v>
      </c>
    </row>
    <row r="172" spans="1:18" hidden="1" x14ac:dyDescent="0.25">
      <c r="A172" s="160">
        <v>79</v>
      </c>
      <c r="B172" s="160">
        <v>13</v>
      </c>
      <c r="C172" s="177">
        <v>20050752</v>
      </c>
      <c r="D172" s="162" t="s">
        <v>1735</v>
      </c>
      <c r="E172" s="199" t="s">
        <v>1431</v>
      </c>
      <c r="F172" s="162">
        <v>1060276</v>
      </c>
      <c r="G172" s="167" t="s">
        <v>85</v>
      </c>
      <c r="H172" s="163" t="str">
        <f>IF(G172="NO","NO APLICA","ESCRIBA EL NOMBRE DEL IIEE")</f>
        <v>NO APLICA</v>
      </c>
      <c r="I172" s="163" t="str">
        <f>IF(H172="NO APLICA","NO APLICA","ESCRIBA EL CÓDIGO MODULAR")</f>
        <v>NO APLICA</v>
      </c>
      <c r="J172" s="165">
        <v>13.9</v>
      </c>
      <c r="K172" s="165" t="str">
        <f t="shared" si="31"/>
        <v>EN PROCESO</v>
      </c>
      <c r="L172" s="165">
        <v>16.920000000000002</v>
      </c>
      <c r="M172" s="165" t="str">
        <f t="shared" si="32"/>
        <v>LOGRADO</v>
      </c>
      <c r="N172" s="165">
        <v>16.47</v>
      </c>
      <c r="O172" t="str">
        <f t="shared" si="33"/>
        <v>LOGRADO</v>
      </c>
      <c r="P172">
        <v>13.68</v>
      </c>
      <c r="Q172" t="str">
        <f t="shared" si="34"/>
        <v>EN PROCESO</v>
      </c>
      <c r="R172" s="166" t="str">
        <f t="shared" si="44"/>
        <v xml:space="preserve">APROBADO </v>
      </c>
    </row>
    <row r="173" spans="1:18" hidden="1" x14ac:dyDescent="0.25">
      <c r="A173" s="160">
        <v>79</v>
      </c>
      <c r="B173" s="160">
        <v>14</v>
      </c>
      <c r="C173" s="177">
        <v>70219107</v>
      </c>
      <c r="D173" s="162" t="s">
        <v>1736</v>
      </c>
      <c r="E173" s="199" t="s">
        <v>1737</v>
      </c>
      <c r="F173" s="162">
        <v>428714</v>
      </c>
      <c r="G173" s="167" t="s">
        <v>48</v>
      </c>
      <c r="H173" s="163">
        <v>36207</v>
      </c>
      <c r="I173" s="163">
        <v>428714</v>
      </c>
      <c r="J173" s="165">
        <v>14.98</v>
      </c>
      <c r="K173" s="165" t="str">
        <f t="shared" si="31"/>
        <v>EN PROCESO</v>
      </c>
      <c r="L173" s="165">
        <v>16.55</v>
      </c>
      <c r="M173" s="165" t="str">
        <f t="shared" si="32"/>
        <v>LOGRADO</v>
      </c>
      <c r="N173" s="165">
        <v>14.38</v>
      </c>
      <c r="O173" t="str">
        <f t="shared" si="33"/>
        <v>EN PROCESO</v>
      </c>
      <c r="P173">
        <v>12.41</v>
      </c>
      <c r="Q173" t="str">
        <f t="shared" si="34"/>
        <v>EN PROCESO</v>
      </c>
      <c r="R173" s="166" t="str">
        <f t="shared" si="44"/>
        <v xml:space="preserve">APROBADO </v>
      </c>
    </row>
    <row r="174" spans="1:18" hidden="1" x14ac:dyDescent="0.25">
      <c r="A174" s="160">
        <v>79</v>
      </c>
      <c r="B174" s="160">
        <v>15</v>
      </c>
      <c r="C174" s="177">
        <v>49743471</v>
      </c>
      <c r="D174" s="162" t="s">
        <v>1738</v>
      </c>
      <c r="E174" s="199" t="s">
        <v>1739</v>
      </c>
      <c r="F174" s="162">
        <v>428771</v>
      </c>
      <c r="G174" s="167" t="s">
        <v>85</v>
      </c>
      <c r="H174" s="163" t="str">
        <f>IF(G174="NO","NO APLICA","ESCRIBA EL NOMBRE DEL IIEE")</f>
        <v>NO APLICA</v>
      </c>
      <c r="I174" s="163" t="str">
        <f>IF(H174="NO APLICA","NO APLICA","ESCRIBA EL CÓDIGO MODULAR")</f>
        <v>NO APLICA</v>
      </c>
      <c r="J174" s="165">
        <v>13.85</v>
      </c>
      <c r="K174" s="165" t="str">
        <f t="shared" si="31"/>
        <v>EN PROCESO</v>
      </c>
      <c r="L174" s="165">
        <v>15.65</v>
      </c>
      <c r="M174" s="165" t="str">
        <f t="shared" si="32"/>
        <v>LOGRADO</v>
      </c>
      <c r="N174" s="165">
        <v>15.8</v>
      </c>
      <c r="O174" t="str">
        <f t="shared" si="33"/>
        <v>LOGRADO</v>
      </c>
      <c r="P174">
        <v>11.02</v>
      </c>
      <c r="Q174" t="str">
        <f t="shared" si="34"/>
        <v>EN PROCESO</v>
      </c>
      <c r="R174" s="166" t="str">
        <f t="shared" si="44"/>
        <v xml:space="preserve">APROBADO </v>
      </c>
    </row>
    <row r="175" spans="1:18" hidden="1" x14ac:dyDescent="0.25">
      <c r="A175" s="160">
        <v>79</v>
      </c>
      <c r="B175" s="160">
        <v>16</v>
      </c>
      <c r="C175" s="177">
        <v>23561196</v>
      </c>
      <c r="D175" s="162" t="s">
        <v>1740</v>
      </c>
      <c r="E175" s="199" t="s">
        <v>1297</v>
      </c>
      <c r="F175" s="162">
        <v>600692</v>
      </c>
      <c r="G175" s="167" t="s">
        <v>48</v>
      </c>
      <c r="H175" s="163" t="s">
        <v>1297</v>
      </c>
      <c r="I175" s="163">
        <v>600692</v>
      </c>
      <c r="J175" s="165">
        <v>12.25</v>
      </c>
      <c r="K175" s="165" t="str">
        <f t="shared" si="31"/>
        <v>EN PROCESO</v>
      </c>
      <c r="L175" s="165">
        <v>15.2</v>
      </c>
      <c r="M175" s="165" t="str">
        <f t="shared" si="32"/>
        <v>LOGRADO</v>
      </c>
      <c r="N175" s="165">
        <v>14.25</v>
      </c>
      <c r="O175" t="str">
        <f t="shared" si="33"/>
        <v>EN PROCESO</v>
      </c>
      <c r="P175">
        <v>12.46</v>
      </c>
      <c r="Q175" t="str">
        <f t="shared" si="34"/>
        <v>EN PROCESO</v>
      </c>
      <c r="R175" s="166" t="str">
        <f t="shared" si="44"/>
        <v xml:space="preserve">APROBADO </v>
      </c>
    </row>
    <row r="176" spans="1:18" hidden="1" x14ac:dyDescent="0.25">
      <c r="A176" s="160">
        <v>79</v>
      </c>
      <c r="B176" s="160">
        <v>17</v>
      </c>
      <c r="C176" s="177">
        <v>44702340</v>
      </c>
      <c r="D176" s="162" t="s">
        <v>1741</v>
      </c>
      <c r="E176" s="199" t="s">
        <v>1311</v>
      </c>
      <c r="F176" s="162" t="s">
        <v>1311</v>
      </c>
      <c r="G176" s="167" t="s">
        <v>48</v>
      </c>
      <c r="H176" s="163" t="s">
        <v>1311</v>
      </c>
      <c r="I176" s="163" t="s">
        <v>1311</v>
      </c>
      <c r="J176" s="165">
        <v>14.08</v>
      </c>
      <c r="K176" s="165" t="str">
        <f t="shared" si="31"/>
        <v>EN PROCESO</v>
      </c>
      <c r="L176" s="165">
        <v>17.29</v>
      </c>
      <c r="M176" s="165" t="str">
        <f t="shared" si="32"/>
        <v>LOGRADO</v>
      </c>
      <c r="N176" s="165">
        <v>17.190000000000001</v>
      </c>
      <c r="O176" t="str">
        <f t="shared" si="33"/>
        <v>LOGRADO</v>
      </c>
      <c r="P176">
        <v>15.33</v>
      </c>
      <c r="Q176" t="str">
        <f t="shared" si="34"/>
        <v>LOGRADO</v>
      </c>
      <c r="R176" s="166" t="str">
        <f t="shared" si="44"/>
        <v xml:space="preserve">APROBADO </v>
      </c>
    </row>
    <row r="177" spans="1:18" hidden="1" x14ac:dyDescent="0.25">
      <c r="A177" s="160">
        <v>79</v>
      </c>
      <c r="B177" s="160">
        <v>18</v>
      </c>
      <c r="C177" s="177">
        <v>23363536</v>
      </c>
      <c r="D177" s="162" t="s">
        <v>1742</v>
      </c>
      <c r="E177" s="199" t="s">
        <v>1739</v>
      </c>
      <c r="F177" s="162">
        <v>428771</v>
      </c>
      <c r="G177" s="167" t="s">
        <v>48</v>
      </c>
      <c r="H177" s="163">
        <v>36173</v>
      </c>
      <c r="I177" s="163">
        <v>428771</v>
      </c>
      <c r="J177" s="165">
        <v>16.18</v>
      </c>
      <c r="K177" s="165" t="str">
        <f t="shared" si="31"/>
        <v>LOGRADO</v>
      </c>
      <c r="L177" s="165">
        <v>17.78</v>
      </c>
      <c r="M177" s="165" t="str">
        <f t="shared" si="32"/>
        <v>LOGRADO</v>
      </c>
      <c r="N177" s="165">
        <v>17.2</v>
      </c>
      <c r="O177" t="str">
        <f t="shared" si="33"/>
        <v>LOGRADO</v>
      </c>
      <c r="P177">
        <v>14.42</v>
      </c>
      <c r="Q177" t="str">
        <f t="shared" si="34"/>
        <v>EN PROCESO</v>
      </c>
      <c r="R177" s="166" t="str">
        <f t="shared" si="44"/>
        <v xml:space="preserve">APROBADO </v>
      </c>
    </row>
    <row r="178" spans="1:18" hidden="1" x14ac:dyDescent="0.25">
      <c r="A178" s="160">
        <v>79</v>
      </c>
      <c r="B178" s="160">
        <v>19</v>
      </c>
      <c r="C178" s="177">
        <v>40071397</v>
      </c>
      <c r="D178" s="162" t="s">
        <v>1743</v>
      </c>
      <c r="E178" s="199" t="s">
        <v>1297</v>
      </c>
      <c r="F178" s="162">
        <v>600692</v>
      </c>
      <c r="G178" s="167" t="s">
        <v>48</v>
      </c>
      <c r="H178" s="163" t="s">
        <v>1297</v>
      </c>
      <c r="I178" s="163">
        <v>600692</v>
      </c>
      <c r="J178" s="165">
        <v>13.22</v>
      </c>
      <c r="K178" s="165" t="str">
        <f t="shared" si="31"/>
        <v>EN PROCESO</v>
      </c>
      <c r="L178" s="165">
        <v>10.48</v>
      </c>
      <c r="M178" s="165" t="str">
        <f t="shared" si="32"/>
        <v>INICIO</v>
      </c>
      <c r="N178" s="165">
        <v>10.38</v>
      </c>
      <c r="O178" t="str">
        <f t="shared" si="33"/>
        <v>INICIO</v>
      </c>
      <c r="P178">
        <v>8.7200000000000006</v>
      </c>
      <c r="Q178" t="str">
        <f t="shared" si="34"/>
        <v>INICIO</v>
      </c>
      <c r="R178" s="166" t="str">
        <f t="shared" si="44"/>
        <v>DESAPROBADO</v>
      </c>
    </row>
    <row r="179" spans="1:18" hidden="1" x14ac:dyDescent="0.25">
      <c r="A179" s="160">
        <v>79</v>
      </c>
      <c r="B179" s="160">
        <v>20</v>
      </c>
      <c r="C179" s="200">
        <v>23379984</v>
      </c>
      <c r="D179" s="162" t="s">
        <v>1744</v>
      </c>
      <c r="E179" s="199" t="s">
        <v>1737</v>
      </c>
      <c r="F179" s="162">
        <v>428920</v>
      </c>
      <c r="G179" s="167" t="s">
        <v>48</v>
      </c>
      <c r="H179" s="163">
        <v>36207</v>
      </c>
      <c r="I179" s="163">
        <v>428920</v>
      </c>
      <c r="J179" s="165">
        <v>13.67</v>
      </c>
      <c r="K179" s="165" t="str">
        <f t="shared" si="31"/>
        <v>EN PROCESO</v>
      </c>
      <c r="L179" s="165">
        <v>17.48</v>
      </c>
      <c r="M179" s="165" t="str">
        <f t="shared" si="32"/>
        <v>LOGRADO</v>
      </c>
      <c r="N179" s="165">
        <v>16.829999999999998</v>
      </c>
      <c r="O179" t="str">
        <f t="shared" si="33"/>
        <v>LOGRADO</v>
      </c>
      <c r="P179" s="215">
        <v>14.2</v>
      </c>
      <c r="Q179" t="str">
        <f t="shared" si="34"/>
        <v>EN PROCESO</v>
      </c>
      <c r="R179" s="166" t="str">
        <f t="shared" si="44"/>
        <v xml:space="preserve">APROBADO </v>
      </c>
    </row>
    <row r="180" spans="1:18" hidden="1" x14ac:dyDescent="0.25">
      <c r="A180" s="160">
        <v>79</v>
      </c>
      <c r="B180" s="160">
        <v>21</v>
      </c>
      <c r="C180" s="177">
        <v>71350890</v>
      </c>
      <c r="D180" s="162" t="s">
        <v>1745</v>
      </c>
      <c r="E180" s="199" t="s">
        <v>1431</v>
      </c>
      <c r="F180" s="162">
        <v>1060276</v>
      </c>
      <c r="G180" s="167" t="s">
        <v>85</v>
      </c>
      <c r="H180" s="163" t="str">
        <f t="shared" ref="H180:H183" si="45">IF(G180="NO","NO APLICA","ESCRIBA EL NOMBRE DEL IIEE")</f>
        <v>NO APLICA</v>
      </c>
      <c r="I180" s="163" t="str">
        <f t="shared" ref="I180:I183" si="46">IF(H180="NO APLICA","NO APLICA","ESCRIBA EL CÓDIGO MODULAR")</f>
        <v>NO APLICA</v>
      </c>
      <c r="J180" s="165">
        <v>14.8</v>
      </c>
      <c r="K180" s="165" t="str">
        <f t="shared" si="31"/>
        <v>EN PROCESO</v>
      </c>
      <c r="L180" s="165">
        <v>11.03</v>
      </c>
      <c r="M180" s="165" t="str">
        <f t="shared" si="32"/>
        <v>EN PROCESO</v>
      </c>
      <c r="N180" s="165">
        <v>10.83</v>
      </c>
      <c r="O180" t="str">
        <f t="shared" si="33"/>
        <v>INICIO</v>
      </c>
      <c r="P180">
        <v>8.41</v>
      </c>
      <c r="Q180" t="str">
        <f t="shared" si="34"/>
        <v>INICIO</v>
      </c>
      <c r="R180" s="166" t="str">
        <f t="shared" si="44"/>
        <v>DESAPROBADO</v>
      </c>
    </row>
    <row r="181" spans="1:18" hidden="1" x14ac:dyDescent="0.25">
      <c r="A181" s="160">
        <v>79</v>
      </c>
      <c r="B181" s="160">
        <v>22</v>
      </c>
      <c r="C181" s="177">
        <v>40662694</v>
      </c>
      <c r="D181" s="162" t="s">
        <v>1746</v>
      </c>
      <c r="E181" s="201" t="s">
        <v>1747</v>
      </c>
      <c r="F181" s="162">
        <v>421594</v>
      </c>
      <c r="G181" s="167" t="s">
        <v>85</v>
      </c>
      <c r="H181" s="163" t="str">
        <f t="shared" si="45"/>
        <v>NO APLICA</v>
      </c>
      <c r="I181" s="163" t="str">
        <f t="shared" si="46"/>
        <v>NO APLICA</v>
      </c>
      <c r="J181" s="165">
        <v>12.18</v>
      </c>
      <c r="K181" s="165" t="str">
        <f t="shared" si="31"/>
        <v>EN PROCESO</v>
      </c>
      <c r="L181" s="165">
        <v>13.8</v>
      </c>
      <c r="M181" s="165" t="str">
        <f t="shared" si="32"/>
        <v>EN PROCESO</v>
      </c>
      <c r="N181" s="165">
        <v>9.4499999999999993</v>
      </c>
      <c r="O181" t="str">
        <f t="shared" si="33"/>
        <v>INICIO</v>
      </c>
      <c r="P181">
        <v>7.68</v>
      </c>
      <c r="Q181" t="str">
        <f t="shared" si="34"/>
        <v>INICIO</v>
      </c>
      <c r="R181" s="166" t="str">
        <f t="shared" si="44"/>
        <v>DESAPROBADO</v>
      </c>
    </row>
    <row r="182" spans="1:18" hidden="1" x14ac:dyDescent="0.25">
      <c r="A182" s="160">
        <v>79</v>
      </c>
      <c r="B182" s="160">
        <v>23</v>
      </c>
      <c r="C182" s="177">
        <v>46992985</v>
      </c>
      <c r="D182" s="162" t="s">
        <v>1748</v>
      </c>
      <c r="E182" s="199" t="s">
        <v>1730</v>
      </c>
      <c r="F182" s="162">
        <v>1402866</v>
      </c>
      <c r="G182" s="167" t="s">
        <v>85</v>
      </c>
      <c r="H182" s="163" t="str">
        <f t="shared" si="45"/>
        <v>NO APLICA</v>
      </c>
      <c r="I182" s="163" t="str">
        <f t="shared" si="46"/>
        <v>NO APLICA</v>
      </c>
      <c r="J182" s="165">
        <v>14.28</v>
      </c>
      <c r="K182" s="165" t="str">
        <f t="shared" si="31"/>
        <v>EN PROCESO</v>
      </c>
      <c r="L182" s="165">
        <v>16.940000000000001</v>
      </c>
      <c r="M182" s="165" t="str">
        <f t="shared" si="32"/>
        <v>LOGRADO</v>
      </c>
      <c r="N182" s="165">
        <v>16.22</v>
      </c>
      <c r="O182" t="str">
        <f t="shared" si="33"/>
        <v>LOGRADO</v>
      </c>
      <c r="P182">
        <v>12.97</v>
      </c>
      <c r="Q182" t="str">
        <f t="shared" si="34"/>
        <v>EN PROCESO</v>
      </c>
      <c r="R182" s="166" t="str">
        <f t="shared" si="44"/>
        <v xml:space="preserve">APROBADO </v>
      </c>
    </row>
    <row r="183" spans="1:18" hidden="1" x14ac:dyDescent="0.25">
      <c r="A183" s="160">
        <v>79</v>
      </c>
      <c r="B183" s="160">
        <v>24</v>
      </c>
      <c r="C183" s="177">
        <v>43510594</v>
      </c>
      <c r="D183" s="202" t="s">
        <v>1749</v>
      </c>
      <c r="E183" s="199" t="s">
        <v>1297</v>
      </c>
      <c r="F183" s="202">
        <v>600692</v>
      </c>
      <c r="G183" s="167" t="s">
        <v>85</v>
      </c>
      <c r="H183" s="163" t="str">
        <f t="shared" si="45"/>
        <v>NO APLICA</v>
      </c>
      <c r="I183" s="163" t="str">
        <f t="shared" si="46"/>
        <v>NO APLICA</v>
      </c>
      <c r="J183" s="165">
        <v>13.12</v>
      </c>
      <c r="K183" s="165" t="str">
        <f t="shared" si="31"/>
        <v>EN PROCESO</v>
      </c>
      <c r="L183" s="165">
        <v>15.15</v>
      </c>
      <c r="M183" s="165" t="str">
        <f t="shared" si="32"/>
        <v>LOGRADO</v>
      </c>
      <c r="N183" s="165">
        <v>10.199999999999999</v>
      </c>
      <c r="O183" t="str">
        <f t="shared" si="33"/>
        <v>INICIO</v>
      </c>
      <c r="P183">
        <v>10.24</v>
      </c>
      <c r="Q183" t="str">
        <f t="shared" si="34"/>
        <v>INICIO</v>
      </c>
      <c r="R183" s="166" t="str">
        <f t="shared" si="44"/>
        <v>DESAPROBADO</v>
      </c>
    </row>
    <row r="184" spans="1:18" hidden="1" x14ac:dyDescent="0.25">
      <c r="A184" s="160">
        <v>79</v>
      </c>
      <c r="B184" s="160">
        <v>25</v>
      </c>
      <c r="C184" s="203">
        <v>41602958</v>
      </c>
      <c r="D184" s="204" t="s">
        <v>1750</v>
      </c>
      <c r="E184" s="205" t="s">
        <v>1747</v>
      </c>
      <c r="F184" s="204">
        <v>421594</v>
      </c>
      <c r="G184" s="167" t="s">
        <v>48</v>
      </c>
      <c r="H184" s="163">
        <v>130</v>
      </c>
      <c r="I184" s="163">
        <v>421594</v>
      </c>
      <c r="J184" s="165">
        <v>13.68</v>
      </c>
      <c r="K184" s="165" t="str">
        <f t="shared" si="31"/>
        <v>EN PROCESO</v>
      </c>
      <c r="L184" s="165">
        <v>11.43</v>
      </c>
      <c r="M184" s="165" t="str">
        <f t="shared" si="32"/>
        <v>EN PROCESO</v>
      </c>
      <c r="N184" s="165">
        <v>11.53</v>
      </c>
      <c r="O184" t="str">
        <f t="shared" si="33"/>
        <v>EN PROCESO</v>
      </c>
      <c r="P184">
        <v>8.48</v>
      </c>
      <c r="Q184" t="str">
        <f t="shared" si="34"/>
        <v>INICIO</v>
      </c>
      <c r="R184" s="166" t="str">
        <f t="shared" si="44"/>
        <v>DESAPROBADO</v>
      </c>
    </row>
    <row r="185" spans="1:18" hidden="1" x14ac:dyDescent="0.25">
      <c r="A185" s="160">
        <v>79</v>
      </c>
      <c r="B185" s="160">
        <v>26</v>
      </c>
      <c r="C185" s="177">
        <v>44702331</v>
      </c>
      <c r="D185" s="162" t="s">
        <v>1751</v>
      </c>
      <c r="E185" s="199" t="s">
        <v>1297</v>
      </c>
      <c r="F185" s="162">
        <v>600692</v>
      </c>
      <c r="G185" s="167" t="s">
        <v>48</v>
      </c>
      <c r="H185" s="163" t="s">
        <v>1297</v>
      </c>
      <c r="I185" s="163">
        <v>600692</v>
      </c>
      <c r="J185" s="165">
        <v>13.65</v>
      </c>
      <c r="K185" s="165" t="str">
        <f t="shared" si="31"/>
        <v>EN PROCESO</v>
      </c>
      <c r="L185" s="165">
        <v>14.54</v>
      </c>
      <c r="M185" s="165" t="str">
        <f t="shared" si="32"/>
        <v>EN PROCESO</v>
      </c>
      <c r="N185" s="165">
        <v>10.02</v>
      </c>
      <c r="O185" t="str">
        <f t="shared" si="33"/>
        <v>INICIO</v>
      </c>
      <c r="P185">
        <v>12.13</v>
      </c>
      <c r="Q185" t="str">
        <f t="shared" si="34"/>
        <v>EN PROCESO</v>
      </c>
      <c r="R185" s="166" t="str">
        <f t="shared" si="44"/>
        <v>DESAPROBADO</v>
      </c>
    </row>
    <row r="186" spans="1:18" hidden="1" x14ac:dyDescent="0.25">
      <c r="A186" s="160">
        <v>79</v>
      </c>
      <c r="B186" s="160">
        <v>27</v>
      </c>
      <c r="C186" s="177">
        <v>70769815</v>
      </c>
      <c r="D186" s="162" t="s">
        <v>1752</v>
      </c>
      <c r="E186" s="199" t="s">
        <v>1311</v>
      </c>
      <c r="F186" s="162"/>
      <c r="G186" s="167" t="s">
        <v>48</v>
      </c>
      <c r="H186" s="163" t="s">
        <v>1311</v>
      </c>
      <c r="I186" s="163" t="s">
        <v>1311</v>
      </c>
      <c r="J186" s="165">
        <v>11.58</v>
      </c>
      <c r="K186" s="165" t="str">
        <f t="shared" si="31"/>
        <v>EN PROCESO</v>
      </c>
      <c r="L186" s="165">
        <v>16.89</v>
      </c>
      <c r="M186" s="165" t="str">
        <f t="shared" si="32"/>
        <v>LOGRADO</v>
      </c>
      <c r="N186" s="165">
        <v>15.89</v>
      </c>
      <c r="O186" t="str">
        <f t="shared" si="33"/>
        <v>LOGRADO</v>
      </c>
      <c r="P186">
        <v>11.03</v>
      </c>
      <c r="Q186" t="str">
        <f t="shared" si="34"/>
        <v>EN PROCESO</v>
      </c>
      <c r="R186" s="166" t="str">
        <f t="shared" si="44"/>
        <v xml:space="preserve">APROBADO </v>
      </c>
    </row>
    <row r="187" spans="1:18" hidden="1" x14ac:dyDescent="0.25">
      <c r="A187" s="160">
        <v>79</v>
      </c>
      <c r="B187" s="160">
        <v>28</v>
      </c>
      <c r="C187" s="206">
        <v>23365595</v>
      </c>
      <c r="D187" s="162" t="s">
        <v>1753</v>
      </c>
      <c r="E187" s="199" t="s">
        <v>1431</v>
      </c>
      <c r="F187" s="162">
        <v>1060276</v>
      </c>
      <c r="G187" s="167" t="s">
        <v>48</v>
      </c>
      <c r="H187" s="163" t="s">
        <v>1431</v>
      </c>
      <c r="I187" s="163">
        <v>1060276</v>
      </c>
      <c r="J187" s="165">
        <v>12.88</v>
      </c>
      <c r="K187" s="165" t="str">
        <f t="shared" si="31"/>
        <v>EN PROCESO</v>
      </c>
      <c r="L187" s="165">
        <v>15.99</v>
      </c>
      <c r="M187" s="165" t="str">
        <f t="shared" si="32"/>
        <v>LOGRADO</v>
      </c>
      <c r="N187" s="165">
        <v>10.57</v>
      </c>
      <c r="O187" t="str">
        <f t="shared" si="33"/>
        <v>INICIO</v>
      </c>
      <c r="P187">
        <v>9.73</v>
      </c>
      <c r="Q187" t="str">
        <f t="shared" si="34"/>
        <v>INICIO</v>
      </c>
      <c r="R187" s="166" t="str">
        <f t="shared" si="44"/>
        <v>DESAPROBADO</v>
      </c>
    </row>
    <row r="188" spans="1:18" hidden="1" x14ac:dyDescent="0.25">
      <c r="A188" s="160">
        <v>79</v>
      </c>
      <c r="B188" s="160">
        <v>29</v>
      </c>
      <c r="C188" s="177">
        <v>46342925</v>
      </c>
      <c r="D188" s="162" t="s">
        <v>1754</v>
      </c>
      <c r="E188" s="199" t="s">
        <v>1297</v>
      </c>
      <c r="F188" s="162">
        <v>600692</v>
      </c>
      <c r="G188" s="167" t="s">
        <v>48</v>
      </c>
      <c r="H188" s="163" t="s">
        <v>1297</v>
      </c>
      <c r="I188" s="163">
        <v>600692</v>
      </c>
      <c r="J188" s="165">
        <v>13.7</v>
      </c>
      <c r="K188" s="165" t="str">
        <f t="shared" si="31"/>
        <v>EN PROCESO</v>
      </c>
      <c r="L188" s="195">
        <v>9.2799999999999994</v>
      </c>
      <c r="M188" s="165" t="str">
        <f t="shared" si="32"/>
        <v>INICIO</v>
      </c>
      <c r="N188" s="165">
        <v>8.58</v>
      </c>
      <c r="O188" t="str">
        <f t="shared" si="33"/>
        <v>INICIO</v>
      </c>
      <c r="P188">
        <v>11.78</v>
      </c>
      <c r="Q188" t="str">
        <f t="shared" si="34"/>
        <v>EN PROCESO</v>
      </c>
      <c r="R188" s="166" t="str">
        <f t="shared" si="44"/>
        <v>DESAPROBADO</v>
      </c>
    </row>
    <row r="189" spans="1:18" hidden="1" x14ac:dyDescent="0.25">
      <c r="A189" s="160">
        <v>79</v>
      </c>
      <c r="B189" s="160">
        <v>30</v>
      </c>
      <c r="C189" s="207">
        <v>45518113</v>
      </c>
      <c r="D189" s="208" t="s">
        <v>1755</v>
      </c>
      <c r="E189" s="209"/>
      <c r="F189" s="208"/>
      <c r="G189" s="167"/>
      <c r="H189" s="163"/>
      <c r="I189" s="163"/>
      <c r="J189" s="165">
        <v>9.6199999999999992</v>
      </c>
      <c r="K189" s="165" t="str">
        <f t="shared" si="31"/>
        <v>INICIO</v>
      </c>
      <c r="L189" s="165">
        <v>15.54</v>
      </c>
      <c r="M189" s="165" t="str">
        <f t="shared" si="32"/>
        <v>LOGRADO</v>
      </c>
      <c r="N189" s="165">
        <v>13.24</v>
      </c>
      <c r="O189" t="str">
        <f t="shared" si="33"/>
        <v>EN PROCESO</v>
      </c>
      <c r="P189">
        <v>12.35</v>
      </c>
      <c r="Q189" t="str">
        <f t="shared" si="34"/>
        <v>EN PROCESO</v>
      </c>
      <c r="R189" s="166" t="str">
        <f t="shared" si="44"/>
        <v>DESAPROBADO</v>
      </c>
    </row>
    <row r="190" spans="1:18" hidden="1" x14ac:dyDescent="0.25">
      <c r="A190" s="160">
        <v>79</v>
      </c>
      <c r="B190" s="160">
        <v>31</v>
      </c>
      <c r="C190" s="177">
        <v>40722837</v>
      </c>
      <c r="D190" s="162" t="s">
        <v>1756</v>
      </c>
      <c r="E190" s="199" t="s">
        <v>1297</v>
      </c>
      <c r="F190" s="162">
        <v>600692</v>
      </c>
      <c r="G190" s="167" t="s">
        <v>48</v>
      </c>
      <c r="H190" s="163" t="s">
        <v>1297</v>
      </c>
      <c r="I190" s="163">
        <v>600692</v>
      </c>
      <c r="J190" s="165">
        <v>11.28</v>
      </c>
      <c r="K190" s="165" t="str">
        <f t="shared" si="31"/>
        <v>EN PROCESO</v>
      </c>
      <c r="L190" s="165">
        <v>10.65</v>
      </c>
      <c r="M190" s="165" t="str">
        <f t="shared" si="32"/>
        <v>INICIO</v>
      </c>
      <c r="N190" s="165">
        <v>13.58</v>
      </c>
      <c r="O190" t="str">
        <f t="shared" si="33"/>
        <v>EN PROCESO</v>
      </c>
      <c r="P190">
        <v>8.73</v>
      </c>
      <c r="Q190" t="str">
        <f t="shared" si="34"/>
        <v>INICIO</v>
      </c>
      <c r="R190" s="166" t="str">
        <f t="shared" si="44"/>
        <v>DESAPROBADO</v>
      </c>
    </row>
    <row r="191" spans="1:18" hidden="1" x14ac:dyDescent="0.25">
      <c r="A191" s="160">
        <v>79</v>
      </c>
      <c r="B191" s="168"/>
      <c r="C191" s="189">
        <v>80401903</v>
      </c>
      <c r="D191" s="171" t="s">
        <v>1757</v>
      </c>
      <c r="E191" s="210" t="s">
        <v>1297</v>
      </c>
      <c r="F191" s="171">
        <v>600692</v>
      </c>
      <c r="G191" s="167" t="s">
        <v>85</v>
      </c>
      <c r="H191" s="163" t="str">
        <f t="shared" ref="H191:H197" si="47">IF(G191="NO","NO APLICA","ESCRIBA EL NOMBRE DEL IIEE")</f>
        <v>NO APLICA</v>
      </c>
      <c r="I191" s="163" t="str">
        <f t="shared" ref="I191:I197" si="48">IF(H191="NO APLICA","NO APLICA","ESCRIBA EL CÓDIGO MODULAR")</f>
        <v>NO APLICA</v>
      </c>
      <c r="J191" s="174"/>
      <c r="K191" s="174"/>
      <c r="L191" s="173"/>
      <c r="M191" s="173"/>
      <c r="N191" s="173"/>
      <c r="O191" t="str">
        <f t="shared" si="33"/>
        <v>PREVIO AL INICIO</v>
      </c>
      <c r="P191" s="174"/>
      <c r="R191" s="175" t="s">
        <v>70</v>
      </c>
    </row>
    <row r="192" spans="1:18" hidden="1" x14ac:dyDescent="0.25">
      <c r="A192" s="160">
        <v>79</v>
      </c>
      <c r="B192" s="168"/>
      <c r="C192" s="189">
        <v>71134052</v>
      </c>
      <c r="D192" s="171" t="s">
        <v>1758</v>
      </c>
      <c r="E192" s="210" t="s">
        <v>1297</v>
      </c>
      <c r="F192" s="171">
        <v>600692</v>
      </c>
      <c r="G192" s="167" t="s">
        <v>85</v>
      </c>
      <c r="H192" s="163" t="str">
        <f t="shared" si="47"/>
        <v>NO APLICA</v>
      </c>
      <c r="I192" s="163" t="str">
        <f t="shared" si="48"/>
        <v>NO APLICA</v>
      </c>
      <c r="J192" s="174"/>
      <c r="K192" s="174"/>
      <c r="L192" s="173"/>
      <c r="M192" s="173"/>
      <c r="N192" s="173"/>
      <c r="O192" t="str">
        <f t="shared" si="33"/>
        <v>PREVIO AL INICIO</v>
      </c>
      <c r="P192" s="174"/>
      <c r="R192" s="175" t="s">
        <v>70</v>
      </c>
    </row>
    <row r="193" spans="1:18" hidden="1" x14ac:dyDescent="0.25">
      <c r="A193" s="160">
        <v>79</v>
      </c>
      <c r="B193" s="168"/>
      <c r="C193" s="189">
        <v>47861546</v>
      </c>
      <c r="D193" s="171" t="s">
        <v>1759</v>
      </c>
      <c r="E193" s="210" t="s">
        <v>1297</v>
      </c>
      <c r="F193" s="171">
        <v>600692</v>
      </c>
      <c r="G193" s="167" t="s">
        <v>85</v>
      </c>
      <c r="H193" s="163" t="str">
        <f t="shared" si="47"/>
        <v>NO APLICA</v>
      </c>
      <c r="I193" s="163" t="str">
        <f t="shared" si="48"/>
        <v>NO APLICA</v>
      </c>
      <c r="J193" s="174"/>
      <c r="K193" s="174"/>
      <c r="L193" s="173"/>
      <c r="M193" s="173"/>
      <c r="N193" s="173"/>
      <c r="O193" t="str">
        <f t="shared" si="33"/>
        <v>PREVIO AL INICIO</v>
      </c>
      <c r="P193" s="174"/>
      <c r="R193" s="175" t="s">
        <v>70</v>
      </c>
    </row>
    <row r="194" spans="1:18" hidden="1" x14ac:dyDescent="0.25">
      <c r="A194" s="160">
        <v>79</v>
      </c>
      <c r="B194" s="168"/>
      <c r="C194" s="211">
        <v>23561047</v>
      </c>
      <c r="D194" s="171" t="s">
        <v>1760</v>
      </c>
      <c r="E194" s="210" t="s">
        <v>1761</v>
      </c>
      <c r="F194" s="171"/>
      <c r="G194" s="167" t="s">
        <v>85</v>
      </c>
      <c r="H194" s="163" t="str">
        <f t="shared" si="47"/>
        <v>NO APLICA</v>
      </c>
      <c r="I194" s="163" t="str">
        <f t="shared" si="48"/>
        <v>NO APLICA</v>
      </c>
      <c r="J194" s="174"/>
      <c r="K194" s="174"/>
      <c r="L194" s="173"/>
      <c r="M194" s="173"/>
      <c r="N194" s="173"/>
      <c r="O194" t="str">
        <f t="shared" si="33"/>
        <v>PREVIO AL INICIO</v>
      </c>
      <c r="P194" s="174"/>
      <c r="R194" s="175" t="s">
        <v>70</v>
      </c>
    </row>
    <row r="195" spans="1:18" hidden="1" x14ac:dyDescent="0.25">
      <c r="A195" s="160">
        <v>79</v>
      </c>
      <c r="B195" s="168"/>
      <c r="C195" s="189">
        <v>80044875</v>
      </c>
      <c r="D195" s="171" t="s">
        <v>1762</v>
      </c>
      <c r="E195" s="210" t="s">
        <v>1763</v>
      </c>
      <c r="F195" s="171">
        <v>1785138</v>
      </c>
      <c r="G195" s="167" t="s">
        <v>85</v>
      </c>
      <c r="H195" s="163" t="str">
        <f t="shared" si="47"/>
        <v>NO APLICA</v>
      </c>
      <c r="I195" s="163" t="str">
        <f t="shared" si="48"/>
        <v>NO APLICA</v>
      </c>
      <c r="J195" s="174"/>
      <c r="K195" s="174"/>
      <c r="L195" s="173"/>
      <c r="M195" s="173"/>
      <c r="N195" s="173"/>
      <c r="O195" t="str">
        <f t="shared" ref="O195:O197" si="49">IF(N195&lt;=5,"PREVIO AL INICIO",IF(N195&lt;=10.999,"INICIO",IF(N195&lt;=14.999,"EN PROCESO",IF(N195&lt;=19.999,"LOGRADO",IF(N195=20,"DESTACADO","")))))</f>
        <v>PREVIO AL INICIO</v>
      </c>
      <c r="P195" s="174"/>
      <c r="R195" s="175" t="s">
        <v>70</v>
      </c>
    </row>
    <row r="196" spans="1:18" hidden="1" x14ac:dyDescent="0.25">
      <c r="A196" s="160">
        <v>79</v>
      </c>
      <c r="B196" s="168"/>
      <c r="C196" s="189">
        <v>28569385</v>
      </c>
      <c r="D196" s="171" t="s">
        <v>1764</v>
      </c>
      <c r="E196" s="210" t="s">
        <v>1765</v>
      </c>
      <c r="F196" s="171">
        <v>420448</v>
      </c>
      <c r="G196" s="167" t="s">
        <v>85</v>
      </c>
      <c r="H196" s="163" t="str">
        <f t="shared" si="47"/>
        <v>NO APLICA</v>
      </c>
      <c r="I196" s="163" t="str">
        <f t="shared" si="48"/>
        <v>NO APLICA</v>
      </c>
      <c r="J196" s="174"/>
      <c r="K196" s="174"/>
      <c r="L196" s="173"/>
      <c r="M196" s="173"/>
      <c r="N196" s="173"/>
      <c r="O196" t="str">
        <f t="shared" si="49"/>
        <v>PREVIO AL INICIO</v>
      </c>
      <c r="P196" s="174"/>
      <c r="R196" s="175" t="s">
        <v>70</v>
      </c>
    </row>
    <row r="197" spans="1:18" hidden="1" x14ac:dyDescent="0.25">
      <c r="A197" s="160">
        <v>79</v>
      </c>
      <c r="B197" s="168"/>
      <c r="C197" s="189">
        <v>31043697</v>
      </c>
      <c r="D197" s="171" t="s">
        <v>1766</v>
      </c>
      <c r="E197" s="210"/>
      <c r="F197" s="171"/>
      <c r="G197" s="167" t="s">
        <v>85</v>
      </c>
      <c r="H197" s="163" t="str">
        <f t="shared" si="47"/>
        <v>NO APLICA</v>
      </c>
      <c r="I197" s="163" t="str">
        <f t="shared" si="48"/>
        <v>NO APLICA</v>
      </c>
      <c r="J197" s="174"/>
      <c r="K197" s="174"/>
      <c r="L197" s="173"/>
      <c r="M197" s="173"/>
      <c r="N197" s="173"/>
      <c r="O197" t="str">
        <f t="shared" si="49"/>
        <v>PREVIO AL INICIO</v>
      </c>
      <c r="P197" s="174"/>
      <c r="R197" s="175" t="s">
        <v>70</v>
      </c>
    </row>
    <row r="198" spans="1:18" ht="12.75" hidden="1" x14ac:dyDescent="0.2">
      <c r="D198" s="212"/>
      <c r="H198" s="213"/>
      <c r="I198" s="213"/>
    </row>
    <row r="199" spans="1:18" ht="12.75" hidden="1" x14ac:dyDescent="0.2">
      <c r="D199" s="212"/>
      <c r="H199" s="213"/>
      <c r="I199" s="213"/>
    </row>
    <row r="200" spans="1:18" ht="12.75" hidden="1" x14ac:dyDescent="0.2">
      <c r="D200" s="212"/>
      <c r="H200" s="213"/>
      <c r="I200" s="213"/>
    </row>
    <row r="201" spans="1:18" ht="12.75" hidden="1" x14ac:dyDescent="0.2">
      <c r="D201" s="212"/>
      <c r="H201" s="213"/>
      <c r="I201" s="213"/>
    </row>
    <row r="202" spans="1:18" ht="12.75" hidden="1" x14ac:dyDescent="0.2">
      <c r="D202" s="212"/>
      <c r="H202" s="213"/>
      <c r="I202" s="213"/>
    </row>
    <row r="203" spans="1:18" ht="12.75" hidden="1" x14ac:dyDescent="0.2">
      <c r="D203" s="212"/>
      <c r="H203" s="213"/>
      <c r="I203" s="213"/>
    </row>
    <row r="204" spans="1:18" ht="12.75" hidden="1" x14ac:dyDescent="0.2">
      <c r="D204" s="212"/>
      <c r="H204" s="213"/>
      <c r="I204" s="213"/>
    </row>
    <row r="205" spans="1:18" ht="12.75" hidden="1" x14ac:dyDescent="0.2">
      <c r="D205" s="212"/>
      <c r="H205" s="213"/>
      <c r="I205" s="213"/>
    </row>
    <row r="206" spans="1:18" ht="12.75" hidden="1" x14ac:dyDescent="0.2">
      <c r="D206" s="212"/>
      <c r="H206" s="213"/>
      <c r="I206" s="213"/>
    </row>
    <row r="207" spans="1:18" ht="12.75" hidden="1" x14ac:dyDescent="0.2">
      <c r="D207" s="212"/>
      <c r="H207" s="213"/>
      <c r="I207" s="213"/>
    </row>
    <row r="208" spans="1:18" ht="12.75" hidden="1" x14ac:dyDescent="0.2">
      <c r="D208" s="212"/>
      <c r="H208" s="213"/>
      <c r="I208" s="213"/>
    </row>
    <row r="209" spans="4:9" ht="12.75" hidden="1" x14ac:dyDescent="0.2">
      <c r="D209" s="212"/>
      <c r="H209" s="213"/>
      <c r="I209" s="213"/>
    </row>
    <row r="210" spans="4:9" ht="12.75" hidden="1" x14ac:dyDescent="0.2">
      <c r="D210" s="212"/>
      <c r="H210" s="213"/>
      <c r="I210" s="213"/>
    </row>
    <row r="211" spans="4:9" ht="12.75" hidden="1" x14ac:dyDescent="0.2">
      <c r="D211" s="212"/>
      <c r="H211" s="213"/>
      <c r="I211" s="213"/>
    </row>
    <row r="212" spans="4:9" ht="12.75" hidden="1" x14ac:dyDescent="0.2">
      <c r="D212" s="212"/>
      <c r="H212" s="213"/>
      <c r="I212" s="213"/>
    </row>
    <row r="213" spans="4:9" ht="12.75" hidden="1" x14ac:dyDescent="0.2">
      <c r="D213" s="212"/>
      <c r="H213" s="213"/>
      <c r="I213" s="213"/>
    </row>
    <row r="214" spans="4:9" ht="12.75" hidden="1" x14ac:dyDescent="0.2">
      <c r="D214" s="212"/>
      <c r="H214" s="213"/>
      <c r="I214" s="213"/>
    </row>
    <row r="215" spans="4:9" ht="12.75" hidden="1" x14ac:dyDescent="0.2">
      <c r="D215" s="212"/>
      <c r="H215" s="213"/>
      <c r="I215" s="213"/>
    </row>
    <row r="216" spans="4:9" ht="12.75" hidden="1" x14ac:dyDescent="0.2">
      <c r="D216" s="212"/>
      <c r="H216" s="213"/>
      <c r="I216" s="213"/>
    </row>
    <row r="217" spans="4:9" ht="12.75" hidden="1" x14ac:dyDescent="0.2">
      <c r="D217" s="212"/>
      <c r="H217" s="213"/>
      <c r="I217" s="213"/>
    </row>
    <row r="218" spans="4:9" ht="12.75" hidden="1" x14ac:dyDescent="0.2">
      <c r="D218" s="212"/>
      <c r="H218" s="213"/>
      <c r="I218" s="213"/>
    </row>
    <row r="219" spans="4:9" ht="12.75" hidden="1" x14ac:dyDescent="0.2">
      <c r="D219" s="212"/>
      <c r="H219" s="213"/>
      <c r="I219" s="213"/>
    </row>
    <row r="220" spans="4:9" ht="12.75" hidden="1" x14ac:dyDescent="0.2">
      <c r="D220" s="212"/>
      <c r="H220" s="213"/>
      <c r="I220" s="213"/>
    </row>
    <row r="221" spans="4:9" ht="12.75" hidden="1" x14ac:dyDescent="0.2">
      <c r="D221" s="212"/>
      <c r="H221" s="213"/>
      <c r="I221" s="213"/>
    </row>
    <row r="222" spans="4:9" ht="12.75" hidden="1" x14ac:dyDescent="0.2">
      <c r="D222" s="212"/>
      <c r="H222" s="213"/>
      <c r="I222" s="213"/>
    </row>
    <row r="223" spans="4:9" ht="12.75" hidden="1" x14ac:dyDescent="0.2">
      <c r="D223" s="212"/>
      <c r="H223" s="213"/>
      <c r="I223" s="213"/>
    </row>
    <row r="224" spans="4:9" ht="12.75" hidden="1" x14ac:dyDescent="0.2">
      <c r="D224" s="212"/>
      <c r="H224" s="213"/>
      <c r="I224" s="213"/>
    </row>
    <row r="225" spans="4:9" ht="12.75" hidden="1" x14ac:dyDescent="0.2">
      <c r="D225" s="212"/>
      <c r="H225" s="213"/>
      <c r="I225" s="213"/>
    </row>
    <row r="226" spans="4:9" ht="12.75" hidden="1" x14ac:dyDescent="0.2">
      <c r="D226" s="212"/>
      <c r="H226" s="213"/>
      <c r="I226" s="213"/>
    </row>
    <row r="227" spans="4:9" ht="12.75" hidden="1" x14ac:dyDescent="0.2">
      <c r="D227" s="212"/>
      <c r="H227" s="213"/>
      <c r="I227" s="213"/>
    </row>
    <row r="228" spans="4:9" ht="12.75" hidden="1" x14ac:dyDescent="0.2">
      <c r="D228" s="212"/>
      <c r="H228" s="213"/>
      <c r="I228" s="213"/>
    </row>
    <row r="229" spans="4:9" ht="12.75" hidden="1" x14ac:dyDescent="0.2">
      <c r="D229" s="212"/>
      <c r="H229" s="213"/>
      <c r="I229" s="213"/>
    </row>
    <row r="230" spans="4:9" ht="12.75" hidden="1" x14ac:dyDescent="0.2">
      <c r="D230" s="212"/>
      <c r="H230" s="213"/>
      <c r="I230" s="213"/>
    </row>
    <row r="231" spans="4:9" ht="12.75" hidden="1" x14ac:dyDescent="0.2">
      <c r="D231" s="212"/>
      <c r="H231" s="213"/>
      <c r="I231" s="213"/>
    </row>
    <row r="232" spans="4:9" ht="12.75" hidden="1" x14ac:dyDescent="0.2">
      <c r="D232" s="212"/>
      <c r="H232" s="213"/>
      <c r="I232" s="213"/>
    </row>
    <row r="233" spans="4:9" ht="12.75" hidden="1" x14ac:dyDescent="0.2">
      <c r="D233" s="212"/>
      <c r="H233" s="213"/>
      <c r="I233" s="213"/>
    </row>
    <row r="234" spans="4:9" ht="12.75" hidden="1" x14ac:dyDescent="0.2">
      <c r="D234" s="212"/>
      <c r="H234" s="213"/>
      <c r="I234" s="213"/>
    </row>
    <row r="235" spans="4:9" ht="12.75" hidden="1" x14ac:dyDescent="0.2">
      <c r="D235" s="212"/>
      <c r="H235" s="213"/>
      <c r="I235" s="213"/>
    </row>
    <row r="236" spans="4:9" ht="12.75" hidden="1" x14ac:dyDescent="0.2">
      <c r="D236" s="212"/>
      <c r="H236" s="213"/>
      <c r="I236" s="213"/>
    </row>
    <row r="237" spans="4:9" ht="12.75" hidden="1" x14ac:dyDescent="0.2">
      <c r="D237" s="212"/>
      <c r="H237" s="213"/>
      <c r="I237" s="213"/>
    </row>
    <row r="238" spans="4:9" ht="12.75" hidden="1" x14ac:dyDescent="0.2">
      <c r="D238" s="212"/>
      <c r="H238" s="213"/>
      <c r="I238" s="213"/>
    </row>
    <row r="239" spans="4:9" ht="12.75" hidden="1" x14ac:dyDescent="0.2">
      <c r="D239" s="212"/>
      <c r="H239" s="213"/>
      <c r="I239" s="213"/>
    </row>
    <row r="240" spans="4:9" ht="12.75" hidden="1" x14ac:dyDescent="0.2">
      <c r="D240" s="212"/>
      <c r="H240" s="213"/>
      <c r="I240" s="213"/>
    </row>
    <row r="241" spans="4:9" ht="12.75" hidden="1" x14ac:dyDescent="0.2">
      <c r="D241" s="212"/>
      <c r="H241" s="213"/>
      <c r="I241" s="213"/>
    </row>
    <row r="242" spans="4:9" ht="12.75" hidden="1" x14ac:dyDescent="0.2">
      <c r="D242" s="212"/>
      <c r="H242" s="213"/>
      <c r="I242" s="213"/>
    </row>
    <row r="243" spans="4:9" ht="12.75" hidden="1" x14ac:dyDescent="0.2">
      <c r="D243" s="212"/>
      <c r="H243" s="213"/>
      <c r="I243" s="213"/>
    </row>
    <row r="244" spans="4:9" ht="12.75" hidden="1" x14ac:dyDescent="0.2">
      <c r="D244" s="212"/>
      <c r="H244" s="213"/>
      <c r="I244" s="213"/>
    </row>
    <row r="245" spans="4:9" ht="12.75" hidden="1" x14ac:dyDescent="0.2">
      <c r="D245" s="212"/>
      <c r="H245" s="213"/>
      <c r="I245" s="213"/>
    </row>
    <row r="246" spans="4:9" ht="12.75" hidden="1" x14ac:dyDescent="0.2">
      <c r="D246" s="212"/>
      <c r="H246" s="213"/>
      <c r="I246" s="213"/>
    </row>
    <row r="247" spans="4:9" ht="12.75" hidden="1" x14ac:dyDescent="0.2">
      <c r="D247" s="212"/>
      <c r="H247" s="213"/>
      <c r="I247" s="213"/>
    </row>
    <row r="248" spans="4:9" ht="12.75" hidden="1" x14ac:dyDescent="0.2">
      <c r="D248" s="212"/>
      <c r="H248" s="213"/>
      <c r="I248" s="213"/>
    </row>
    <row r="249" spans="4:9" ht="12.75" hidden="1" x14ac:dyDescent="0.2">
      <c r="D249" s="212"/>
      <c r="H249" s="213"/>
      <c r="I249" s="213"/>
    </row>
    <row r="250" spans="4:9" ht="12.75" hidden="1" x14ac:dyDescent="0.2">
      <c r="D250" s="212"/>
      <c r="H250" s="213"/>
      <c r="I250" s="213"/>
    </row>
    <row r="251" spans="4:9" ht="12.75" hidden="1" x14ac:dyDescent="0.2">
      <c r="D251" s="212"/>
      <c r="H251" s="213"/>
      <c r="I251" s="213"/>
    </row>
    <row r="252" spans="4:9" ht="12.75" hidden="1" x14ac:dyDescent="0.2">
      <c r="D252" s="212"/>
      <c r="H252" s="213"/>
      <c r="I252" s="213"/>
    </row>
    <row r="253" spans="4:9" ht="12.75" hidden="1" x14ac:dyDescent="0.2">
      <c r="D253" s="212"/>
      <c r="H253" s="213"/>
      <c r="I253" s="213"/>
    </row>
    <row r="254" spans="4:9" ht="12.75" hidden="1" x14ac:dyDescent="0.2">
      <c r="D254" s="212"/>
      <c r="H254" s="213"/>
      <c r="I254" s="213"/>
    </row>
    <row r="255" spans="4:9" ht="12.75" hidden="1" x14ac:dyDescent="0.2">
      <c r="D255" s="212"/>
      <c r="H255" s="213"/>
      <c r="I255" s="213"/>
    </row>
    <row r="256" spans="4:9" ht="12.75" hidden="1" x14ac:dyDescent="0.2">
      <c r="D256" s="212"/>
      <c r="H256" s="213"/>
      <c r="I256" s="213"/>
    </row>
    <row r="257" spans="4:9" ht="12.75" hidden="1" x14ac:dyDescent="0.2">
      <c r="D257" s="212"/>
      <c r="H257" s="213"/>
      <c r="I257" s="213"/>
    </row>
    <row r="258" spans="4:9" ht="12.75" hidden="1" x14ac:dyDescent="0.2">
      <c r="D258" s="212"/>
      <c r="H258" s="213"/>
      <c r="I258" s="213"/>
    </row>
    <row r="259" spans="4:9" ht="12.75" hidden="1" x14ac:dyDescent="0.2">
      <c r="D259" s="212"/>
      <c r="H259" s="213"/>
      <c r="I259" s="213"/>
    </row>
    <row r="260" spans="4:9" ht="12.75" hidden="1" x14ac:dyDescent="0.2">
      <c r="D260" s="212"/>
      <c r="H260" s="213"/>
      <c r="I260" s="213"/>
    </row>
    <row r="261" spans="4:9" ht="12.75" hidden="1" x14ac:dyDescent="0.2">
      <c r="D261" s="212"/>
      <c r="H261" s="213"/>
      <c r="I261" s="213"/>
    </row>
    <row r="262" spans="4:9" ht="12.75" hidden="1" x14ac:dyDescent="0.2">
      <c r="D262" s="212"/>
      <c r="H262" s="213"/>
      <c r="I262" s="213"/>
    </row>
    <row r="263" spans="4:9" ht="12.75" hidden="1" x14ac:dyDescent="0.2">
      <c r="D263" s="212"/>
      <c r="H263" s="213"/>
      <c r="I263" s="213"/>
    </row>
    <row r="264" spans="4:9" ht="12.75" hidden="1" x14ac:dyDescent="0.2">
      <c r="D264" s="212"/>
      <c r="H264" s="213"/>
      <c r="I264" s="213"/>
    </row>
    <row r="265" spans="4:9" ht="12.75" hidden="1" x14ac:dyDescent="0.2">
      <c r="D265" s="212"/>
      <c r="H265" s="213"/>
      <c r="I265" s="213"/>
    </row>
    <row r="266" spans="4:9" ht="12.75" hidden="1" x14ac:dyDescent="0.2">
      <c r="D266" s="212"/>
      <c r="H266" s="213"/>
      <c r="I266" s="213"/>
    </row>
    <row r="267" spans="4:9" ht="12.75" hidden="1" x14ac:dyDescent="0.2">
      <c r="D267" s="212"/>
      <c r="H267" s="213"/>
      <c r="I267" s="213"/>
    </row>
    <row r="268" spans="4:9" ht="12.75" hidden="1" x14ac:dyDescent="0.2">
      <c r="D268" s="212"/>
      <c r="H268" s="213"/>
      <c r="I268" s="213"/>
    </row>
    <row r="269" spans="4:9" ht="12.75" hidden="1" x14ac:dyDescent="0.2">
      <c r="D269" s="212"/>
      <c r="H269" s="213"/>
      <c r="I269" s="213"/>
    </row>
    <row r="270" spans="4:9" ht="12.75" hidden="1" x14ac:dyDescent="0.2">
      <c r="D270" s="212"/>
      <c r="H270" s="213"/>
      <c r="I270" s="213"/>
    </row>
    <row r="271" spans="4:9" ht="12.75" hidden="1" x14ac:dyDescent="0.2">
      <c r="D271" s="212"/>
      <c r="H271" s="213"/>
      <c r="I271" s="213"/>
    </row>
    <row r="272" spans="4:9" ht="12.75" hidden="1" x14ac:dyDescent="0.2">
      <c r="D272" s="212"/>
      <c r="H272" s="213"/>
      <c r="I272" s="213"/>
    </row>
    <row r="273" spans="4:9" ht="12.75" hidden="1" x14ac:dyDescent="0.2">
      <c r="D273" s="212"/>
      <c r="H273" s="213"/>
      <c r="I273" s="213"/>
    </row>
    <row r="274" spans="4:9" ht="12.75" hidden="1" x14ac:dyDescent="0.2">
      <c r="D274" s="212"/>
      <c r="H274" s="213"/>
      <c r="I274" s="213"/>
    </row>
    <row r="275" spans="4:9" ht="12.75" hidden="1" x14ac:dyDescent="0.2">
      <c r="D275" s="212"/>
      <c r="H275" s="213"/>
      <c r="I275" s="213"/>
    </row>
    <row r="276" spans="4:9" ht="12.75" hidden="1" x14ac:dyDescent="0.2">
      <c r="D276" s="212"/>
      <c r="H276" s="213"/>
      <c r="I276" s="213"/>
    </row>
    <row r="277" spans="4:9" ht="12.75" hidden="1" x14ac:dyDescent="0.2">
      <c r="D277" s="212"/>
      <c r="H277" s="213"/>
      <c r="I277" s="213"/>
    </row>
    <row r="278" spans="4:9" ht="12.75" hidden="1" x14ac:dyDescent="0.2">
      <c r="D278" s="212"/>
      <c r="H278" s="213"/>
      <c r="I278" s="213"/>
    </row>
    <row r="279" spans="4:9" ht="12.75" hidden="1" x14ac:dyDescent="0.2">
      <c r="D279" s="212"/>
      <c r="H279" s="213"/>
      <c r="I279" s="213"/>
    </row>
    <row r="280" spans="4:9" ht="12.75" hidden="1" x14ac:dyDescent="0.2">
      <c r="D280" s="212"/>
      <c r="H280" s="213"/>
      <c r="I280" s="213"/>
    </row>
    <row r="281" spans="4:9" ht="12.75" hidden="1" x14ac:dyDescent="0.2">
      <c r="D281" s="212"/>
      <c r="H281" s="213"/>
      <c r="I281" s="213"/>
    </row>
    <row r="282" spans="4:9" ht="12.75" hidden="1" x14ac:dyDescent="0.2">
      <c r="D282" s="212"/>
      <c r="H282" s="213"/>
      <c r="I282" s="213"/>
    </row>
    <row r="283" spans="4:9" ht="12.75" hidden="1" x14ac:dyDescent="0.2">
      <c r="D283" s="212"/>
      <c r="H283" s="213"/>
      <c r="I283" s="213"/>
    </row>
    <row r="284" spans="4:9" ht="12.75" hidden="1" x14ac:dyDescent="0.2">
      <c r="D284" s="212"/>
      <c r="H284" s="213"/>
      <c r="I284" s="213"/>
    </row>
    <row r="285" spans="4:9" ht="12.75" hidden="1" x14ac:dyDescent="0.2">
      <c r="D285" s="212"/>
      <c r="H285" s="213"/>
      <c r="I285" s="213"/>
    </row>
    <row r="286" spans="4:9" ht="12.75" hidden="1" x14ac:dyDescent="0.2">
      <c r="D286" s="212"/>
      <c r="H286" s="213"/>
      <c r="I286" s="213"/>
    </row>
    <row r="287" spans="4:9" ht="12.75" hidden="1" x14ac:dyDescent="0.2">
      <c r="D287" s="212"/>
      <c r="H287" s="213"/>
      <c r="I287" s="213"/>
    </row>
    <row r="288" spans="4:9" ht="12.75" hidden="1" x14ac:dyDescent="0.2">
      <c r="D288" s="212"/>
      <c r="H288" s="213"/>
      <c r="I288" s="213"/>
    </row>
    <row r="289" spans="4:9" ht="12.75" hidden="1" x14ac:dyDescent="0.2">
      <c r="D289" s="212"/>
      <c r="H289" s="213"/>
      <c r="I289" s="213"/>
    </row>
    <row r="290" spans="4:9" ht="12.75" hidden="1" x14ac:dyDescent="0.2">
      <c r="D290" s="212"/>
      <c r="H290" s="213"/>
      <c r="I290" s="213"/>
    </row>
    <row r="291" spans="4:9" ht="12.75" hidden="1" x14ac:dyDescent="0.2">
      <c r="D291" s="212"/>
      <c r="H291" s="213"/>
      <c r="I291" s="213"/>
    </row>
    <row r="292" spans="4:9" ht="12.75" hidden="1" x14ac:dyDescent="0.2">
      <c r="D292" s="212"/>
      <c r="H292" s="213"/>
      <c r="I292" s="213"/>
    </row>
    <row r="293" spans="4:9" ht="12.75" hidden="1" x14ac:dyDescent="0.2">
      <c r="D293" s="212"/>
      <c r="H293" s="213"/>
      <c r="I293" s="213"/>
    </row>
    <row r="294" spans="4:9" ht="12.75" hidden="1" x14ac:dyDescent="0.2">
      <c r="D294" s="212"/>
      <c r="H294" s="213"/>
      <c r="I294" s="213"/>
    </row>
    <row r="295" spans="4:9" ht="12.75" hidden="1" x14ac:dyDescent="0.2">
      <c r="D295" s="212"/>
      <c r="H295" s="213"/>
      <c r="I295" s="213"/>
    </row>
    <row r="296" spans="4:9" ht="12.75" hidden="1" x14ac:dyDescent="0.2">
      <c r="D296" s="212"/>
      <c r="H296" s="213"/>
      <c r="I296" s="213"/>
    </row>
    <row r="297" spans="4:9" ht="12.75" hidden="1" x14ac:dyDescent="0.2">
      <c r="D297" s="212"/>
      <c r="H297" s="213"/>
      <c r="I297" s="213"/>
    </row>
    <row r="298" spans="4:9" ht="12.75" hidden="1" x14ac:dyDescent="0.2">
      <c r="D298" s="212"/>
      <c r="H298" s="213"/>
      <c r="I298" s="213"/>
    </row>
    <row r="299" spans="4:9" ht="12.75" hidden="1" x14ac:dyDescent="0.2">
      <c r="D299" s="212"/>
      <c r="H299" s="213"/>
      <c r="I299" s="213"/>
    </row>
    <row r="300" spans="4:9" ht="12.75" hidden="1" x14ac:dyDescent="0.2">
      <c r="D300" s="212"/>
      <c r="H300" s="213"/>
      <c r="I300" s="213"/>
    </row>
    <row r="301" spans="4:9" ht="12.75" hidden="1" x14ac:dyDescent="0.2">
      <c r="D301" s="212"/>
      <c r="H301" s="213"/>
      <c r="I301" s="213"/>
    </row>
    <row r="302" spans="4:9" ht="12.75" hidden="1" x14ac:dyDescent="0.2">
      <c r="D302" s="212"/>
      <c r="H302" s="213"/>
      <c r="I302" s="213"/>
    </row>
    <row r="303" spans="4:9" ht="12.75" hidden="1" x14ac:dyDescent="0.2">
      <c r="D303" s="212"/>
      <c r="H303" s="213"/>
      <c r="I303" s="213"/>
    </row>
    <row r="304" spans="4:9" ht="12.75" hidden="1" x14ac:dyDescent="0.2">
      <c r="D304" s="212"/>
      <c r="H304" s="213"/>
      <c r="I304" s="213"/>
    </row>
    <row r="305" spans="4:9" ht="12.75" hidden="1" x14ac:dyDescent="0.2">
      <c r="D305" s="212"/>
      <c r="H305" s="213"/>
      <c r="I305" s="213"/>
    </row>
    <row r="306" spans="4:9" ht="12.75" hidden="1" x14ac:dyDescent="0.2">
      <c r="D306" s="212"/>
      <c r="H306" s="213"/>
      <c r="I306" s="213"/>
    </row>
    <row r="307" spans="4:9" ht="12.75" hidden="1" x14ac:dyDescent="0.2">
      <c r="D307" s="212"/>
      <c r="H307" s="213"/>
      <c r="I307" s="213"/>
    </row>
    <row r="308" spans="4:9" ht="12.75" hidden="1" x14ac:dyDescent="0.2">
      <c r="D308" s="212"/>
      <c r="H308" s="213"/>
      <c r="I308" s="213"/>
    </row>
    <row r="309" spans="4:9" ht="12.75" hidden="1" x14ac:dyDescent="0.2">
      <c r="D309" s="212"/>
      <c r="H309" s="213"/>
      <c r="I309" s="213"/>
    </row>
    <row r="310" spans="4:9" ht="12.75" hidden="1" x14ac:dyDescent="0.2">
      <c r="D310" s="212"/>
      <c r="H310" s="213"/>
      <c r="I310" s="213"/>
    </row>
    <row r="311" spans="4:9" ht="12.75" hidden="1" x14ac:dyDescent="0.2">
      <c r="D311" s="212"/>
      <c r="H311" s="213"/>
      <c r="I311" s="213"/>
    </row>
    <row r="312" spans="4:9" ht="12.75" hidden="1" x14ac:dyDescent="0.2">
      <c r="D312" s="212"/>
      <c r="H312" s="213"/>
      <c r="I312" s="213"/>
    </row>
    <row r="313" spans="4:9" ht="12.75" hidden="1" x14ac:dyDescent="0.2">
      <c r="D313" s="212"/>
      <c r="H313" s="213"/>
      <c r="I313" s="213"/>
    </row>
    <row r="314" spans="4:9" ht="12.75" hidden="1" x14ac:dyDescent="0.2">
      <c r="D314" s="212"/>
      <c r="H314" s="213"/>
      <c r="I314" s="213"/>
    </row>
    <row r="315" spans="4:9" ht="12.75" hidden="1" x14ac:dyDescent="0.2">
      <c r="D315" s="212"/>
      <c r="H315" s="213"/>
      <c r="I315" s="213"/>
    </row>
    <row r="316" spans="4:9" ht="12.75" hidden="1" x14ac:dyDescent="0.2">
      <c r="D316" s="212"/>
      <c r="H316" s="213"/>
      <c r="I316" s="213"/>
    </row>
    <row r="317" spans="4:9" ht="12.75" hidden="1" x14ac:dyDescent="0.2">
      <c r="D317" s="212"/>
      <c r="H317" s="213"/>
      <c r="I317" s="213"/>
    </row>
    <row r="318" spans="4:9" ht="12.75" hidden="1" x14ac:dyDescent="0.2">
      <c r="D318" s="212"/>
      <c r="H318" s="213"/>
      <c r="I318" s="213"/>
    </row>
    <row r="319" spans="4:9" ht="12.75" hidden="1" x14ac:dyDescent="0.2">
      <c r="D319" s="212"/>
      <c r="H319" s="213"/>
      <c r="I319" s="213"/>
    </row>
    <row r="320" spans="4:9" ht="12.75" hidden="1" x14ac:dyDescent="0.2">
      <c r="D320" s="212"/>
      <c r="H320" s="213"/>
      <c r="I320" s="213"/>
    </row>
    <row r="321" spans="4:9" ht="12.75" hidden="1" x14ac:dyDescent="0.2">
      <c r="D321" s="212"/>
      <c r="H321" s="213"/>
      <c r="I321" s="213"/>
    </row>
    <row r="322" spans="4:9" ht="12.75" hidden="1" x14ac:dyDescent="0.2">
      <c r="D322" s="212"/>
      <c r="H322" s="213"/>
      <c r="I322" s="213"/>
    </row>
    <row r="323" spans="4:9" ht="12.75" hidden="1" x14ac:dyDescent="0.2">
      <c r="D323" s="212"/>
      <c r="H323" s="213"/>
      <c r="I323" s="213"/>
    </row>
    <row r="324" spans="4:9" ht="12.75" hidden="1" x14ac:dyDescent="0.2">
      <c r="D324" s="212"/>
      <c r="H324" s="213"/>
      <c r="I324" s="213"/>
    </row>
    <row r="325" spans="4:9" ht="12.75" hidden="1" x14ac:dyDescent="0.2">
      <c r="D325" s="212"/>
      <c r="H325" s="213"/>
      <c r="I325" s="213"/>
    </row>
    <row r="326" spans="4:9" ht="12.75" hidden="1" x14ac:dyDescent="0.2">
      <c r="D326" s="212"/>
      <c r="H326" s="213"/>
      <c r="I326" s="213"/>
    </row>
    <row r="327" spans="4:9" ht="12.75" hidden="1" x14ac:dyDescent="0.2">
      <c r="D327" s="212"/>
      <c r="H327" s="213"/>
      <c r="I327" s="213"/>
    </row>
    <row r="328" spans="4:9" ht="12.75" hidden="1" x14ac:dyDescent="0.2">
      <c r="D328" s="212"/>
      <c r="H328" s="213"/>
      <c r="I328" s="213"/>
    </row>
    <row r="329" spans="4:9" ht="12.75" hidden="1" x14ac:dyDescent="0.2">
      <c r="D329" s="212"/>
      <c r="H329" s="213"/>
      <c r="I329" s="213"/>
    </row>
    <row r="330" spans="4:9" ht="12.75" hidden="1" x14ac:dyDescent="0.2">
      <c r="D330" s="212"/>
      <c r="H330" s="213"/>
      <c r="I330" s="213"/>
    </row>
    <row r="331" spans="4:9" ht="12.75" hidden="1" x14ac:dyDescent="0.2">
      <c r="D331" s="212"/>
      <c r="H331" s="213"/>
      <c r="I331" s="213"/>
    </row>
    <row r="332" spans="4:9" ht="12.75" hidden="1" x14ac:dyDescent="0.2">
      <c r="D332" s="212"/>
      <c r="H332" s="213"/>
      <c r="I332" s="213"/>
    </row>
    <row r="333" spans="4:9" ht="12.75" hidden="1" x14ac:dyDescent="0.2">
      <c r="D333" s="212"/>
      <c r="H333" s="213"/>
      <c r="I333" s="213"/>
    </row>
    <row r="334" spans="4:9" ht="12.75" hidden="1" x14ac:dyDescent="0.2">
      <c r="D334" s="212"/>
      <c r="H334" s="213"/>
      <c r="I334" s="213"/>
    </row>
    <row r="335" spans="4:9" ht="12.75" hidden="1" x14ac:dyDescent="0.2">
      <c r="D335" s="212"/>
      <c r="H335" s="213"/>
      <c r="I335" s="213"/>
    </row>
    <row r="336" spans="4:9" ht="12.75" hidden="1" x14ac:dyDescent="0.2">
      <c r="D336" s="212"/>
      <c r="H336" s="213"/>
      <c r="I336" s="213"/>
    </row>
    <row r="337" spans="4:9" ht="12.75" hidden="1" x14ac:dyDescent="0.2">
      <c r="D337" s="212"/>
      <c r="H337" s="213"/>
      <c r="I337" s="213"/>
    </row>
    <row r="338" spans="4:9" ht="12.75" hidden="1" x14ac:dyDescent="0.2">
      <c r="D338" s="212"/>
      <c r="H338" s="213"/>
      <c r="I338" s="213"/>
    </row>
    <row r="339" spans="4:9" ht="12.75" hidden="1" x14ac:dyDescent="0.2">
      <c r="D339" s="212"/>
      <c r="H339" s="213"/>
      <c r="I339" s="213"/>
    </row>
    <row r="340" spans="4:9" ht="12.75" hidden="1" x14ac:dyDescent="0.2">
      <c r="D340" s="212"/>
      <c r="H340" s="213"/>
      <c r="I340" s="213"/>
    </row>
    <row r="341" spans="4:9" ht="12.75" hidden="1" x14ac:dyDescent="0.2">
      <c r="D341" s="212"/>
      <c r="H341" s="213"/>
      <c r="I341" s="213"/>
    </row>
    <row r="342" spans="4:9" ht="12.75" hidden="1" x14ac:dyDescent="0.2">
      <c r="D342" s="212"/>
      <c r="H342" s="213"/>
      <c r="I342" s="213"/>
    </row>
    <row r="343" spans="4:9" ht="12.75" hidden="1" x14ac:dyDescent="0.2">
      <c r="D343" s="212"/>
      <c r="H343" s="213"/>
      <c r="I343" s="213"/>
    </row>
    <row r="344" spans="4:9" ht="12.75" hidden="1" x14ac:dyDescent="0.2">
      <c r="D344" s="212"/>
      <c r="H344" s="213"/>
      <c r="I344" s="213"/>
    </row>
    <row r="345" spans="4:9" ht="12.75" hidden="1" x14ac:dyDescent="0.2">
      <c r="D345" s="212"/>
      <c r="H345" s="213"/>
      <c r="I345" s="213"/>
    </row>
    <row r="346" spans="4:9" ht="12.75" hidden="1" x14ac:dyDescent="0.2">
      <c r="D346" s="212"/>
      <c r="H346" s="213"/>
      <c r="I346" s="213"/>
    </row>
    <row r="347" spans="4:9" ht="12.75" hidden="1" x14ac:dyDescent="0.2">
      <c r="D347" s="212"/>
      <c r="H347" s="213"/>
      <c r="I347" s="213"/>
    </row>
    <row r="348" spans="4:9" ht="12.75" hidden="1" x14ac:dyDescent="0.2">
      <c r="D348" s="212"/>
      <c r="H348" s="213"/>
      <c r="I348" s="213"/>
    </row>
    <row r="349" spans="4:9" ht="12.75" hidden="1" x14ac:dyDescent="0.2">
      <c r="D349" s="212"/>
      <c r="H349" s="213"/>
      <c r="I349" s="213"/>
    </row>
    <row r="350" spans="4:9" ht="12.75" hidden="1" x14ac:dyDescent="0.2">
      <c r="D350" s="212"/>
      <c r="H350" s="213"/>
      <c r="I350" s="213"/>
    </row>
    <row r="351" spans="4:9" ht="12.75" hidden="1" x14ac:dyDescent="0.2">
      <c r="D351" s="212"/>
      <c r="H351" s="213"/>
      <c r="I351" s="213"/>
    </row>
    <row r="352" spans="4:9" ht="12.75" hidden="1" x14ac:dyDescent="0.2">
      <c r="D352" s="212"/>
      <c r="H352" s="213"/>
      <c r="I352" s="213"/>
    </row>
    <row r="353" spans="4:9" ht="12.75" hidden="1" x14ac:dyDescent="0.2">
      <c r="D353" s="212"/>
      <c r="H353" s="213"/>
      <c r="I353" s="213"/>
    </row>
    <row r="354" spans="4:9" ht="12.75" hidden="1" x14ac:dyDescent="0.2">
      <c r="D354" s="212"/>
      <c r="H354" s="213"/>
      <c r="I354" s="213"/>
    </row>
    <row r="355" spans="4:9" ht="12.75" hidden="1" x14ac:dyDescent="0.2">
      <c r="D355" s="212"/>
      <c r="H355" s="213"/>
      <c r="I355" s="213"/>
    </row>
    <row r="356" spans="4:9" ht="12.75" hidden="1" x14ac:dyDescent="0.2">
      <c r="D356" s="212"/>
      <c r="H356" s="213"/>
      <c r="I356" s="213"/>
    </row>
    <row r="357" spans="4:9" ht="12.75" hidden="1" x14ac:dyDescent="0.2">
      <c r="D357" s="212"/>
      <c r="H357" s="213"/>
      <c r="I357" s="213"/>
    </row>
    <row r="358" spans="4:9" ht="12.75" hidden="1" x14ac:dyDescent="0.2">
      <c r="D358" s="212"/>
      <c r="H358" s="213"/>
      <c r="I358" s="213"/>
    </row>
    <row r="359" spans="4:9" ht="12.75" hidden="1" x14ac:dyDescent="0.2">
      <c r="D359" s="212"/>
      <c r="H359" s="213"/>
      <c r="I359" s="213"/>
    </row>
    <row r="360" spans="4:9" ht="12.75" hidden="1" x14ac:dyDescent="0.2">
      <c r="D360" s="212"/>
      <c r="H360" s="213"/>
      <c r="I360" s="213"/>
    </row>
    <row r="361" spans="4:9" ht="12.75" hidden="1" x14ac:dyDescent="0.2">
      <c r="D361" s="212"/>
      <c r="H361" s="213"/>
      <c r="I361" s="213"/>
    </row>
    <row r="362" spans="4:9" ht="12.75" hidden="1" x14ac:dyDescent="0.2">
      <c r="D362" s="212"/>
      <c r="H362" s="213"/>
      <c r="I362" s="213"/>
    </row>
    <row r="363" spans="4:9" ht="12.75" hidden="1" x14ac:dyDescent="0.2">
      <c r="D363" s="212"/>
      <c r="H363" s="213"/>
      <c r="I363" s="213"/>
    </row>
    <row r="364" spans="4:9" ht="12.75" hidden="1" x14ac:dyDescent="0.2">
      <c r="D364" s="212"/>
      <c r="H364" s="213"/>
      <c r="I364" s="213"/>
    </row>
    <row r="365" spans="4:9" ht="12.75" hidden="1" x14ac:dyDescent="0.2">
      <c r="D365" s="212"/>
      <c r="H365" s="213"/>
      <c r="I365" s="213"/>
    </row>
    <row r="366" spans="4:9" ht="12.75" hidden="1" x14ac:dyDescent="0.2">
      <c r="D366" s="212"/>
      <c r="H366" s="213"/>
      <c r="I366" s="213"/>
    </row>
    <row r="367" spans="4:9" ht="12.75" hidden="1" x14ac:dyDescent="0.2">
      <c r="D367" s="212"/>
      <c r="H367" s="213"/>
      <c r="I367" s="213"/>
    </row>
    <row r="368" spans="4:9" ht="12.75" hidden="1" x14ac:dyDescent="0.2">
      <c r="D368" s="212"/>
      <c r="H368" s="213"/>
      <c r="I368" s="213"/>
    </row>
    <row r="369" spans="4:9" ht="12.75" hidden="1" x14ac:dyDescent="0.2">
      <c r="D369" s="212"/>
      <c r="H369" s="213"/>
      <c r="I369" s="213"/>
    </row>
    <row r="370" spans="4:9" ht="12.75" hidden="1" x14ac:dyDescent="0.2">
      <c r="D370" s="212"/>
      <c r="H370" s="213"/>
      <c r="I370" s="213"/>
    </row>
    <row r="371" spans="4:9" ht="12.75" hidden="1" x14ac:dyDescent="0.2">
      <c r="D371" s="212"/>
      <c r="H371" s="213"/>
      <c r="I371" s="213"/>
    </row>
    <row r="372" spans="4:9" ht="12.75" hidden="1" x14ac:dyDescent="0.2">
      <c r="D372" s="212"/>
      <c r="H372" s="213"/>
      <c r="I372" s="213"/>
    </row>
    <row r="373" spans="4:9" ht="12.75" hidden="1" x14ac:dyDescent="0.2">
      <c r="D373" s="212"/>
      <c r="H373" s="213"/>
      <c r="I373" s="213"/>
    </row>
    <row r="374" spans="4:9" ht="12.75" hidden="1" x14ac:dyDescent="0.2">
      <c r="D374" s="212"/>
      <c r="H374" s="213"/>
      <c r="I374" s="213"/>
    </row>
    <row r="375" spans="4:9" ht="12.75" hidden="1" x14ac:dyDescent="0.2">
      <c r="D375" s="212"/>
      <c r="H375" s="213"/>
      <c r="I375" s="213"/>
    </row>
    <row r="376" spans="4:9" ht="12.75" hidden="1" x14ac:dyDescent="0.2">
      <c r="D376" s="212"/>
      <c r="H376" s="213"/>
      <c r="I376" s="213"/>
    </row>
    <row r="377" spans="4:9" ht="12.75" hidden="1" x14ac:dyDescent="0.2">
      <c r="D377" s="212"/>
      <c r="H377" s="213"/>
      <c r="I377" s="213"/>
    </row>
    <row r="378" spans="4:9" ht="12.75" hidden="1" x14ac:dyDescent="0.2">
      <c r="D378" s="212"/>
      <c r="H378" s="213"/>
      <c r="I378" s="213"/>
    </row>
    <row r="379" spans="4:9" ht="12.75" hidden="1" x14ac:dyDescent="0.2">
      <c r="D379" s="212"/>
      <c r="H379" s="213"/>
      <c r="I379" s="213"/>
    </row>
    <row r="380" spans="4:9" ht="12.75" hidden="1" x14ac:dyDescent="0.2">
      <c r="D380" s="212"/>
      <c r="H380" s="213"/>
      <c r="I380" s="213"/>
    </row>
    <row r="381" spans="4:9" ht="12.75" hidden="1" x14ac:dyDescent="0.2">
      <c r="D381" s="212"/>
      <c r="H381" s="213"/>
      <c r="I381" s="213"/>
    </row>
    <row r="382" spans="4:9" ht="12.75" hidden="1" x14ac:dyDescent="0.2">
      <c r="D382" s="212"/>
      <c r="H382" s="213"/>
      <c r="I382" s="213"/>
    </row>
    <row r="383" spans="4:9" ht="12.75" hidden="1" x14ac:dyDescent="0.2">
      <c r="D383" s="212"/>
      <c r="H383" s="213"/>
      <c r="I383" s="213"/>
    </row>
    <row r="384" spans="4:9" ht="12.75" hidden="1" x14ac:dyDescent="0.2">
      <c r="D384" s="212"/>
      <c r="H384" s="213"/>
      <c r="I384" s="213"/>
    </row>
    <row r="385" spans="4:9" ht="12.75" hidden="1" x14ac:dyDescent="0.2">
      <c r="D385" s="212"/>
      <c r="H385" s="213"/>
      <c r="I385" s="213"/>
    </row>
    <row r="386" spans="4:9" ht="12.75" hidden="1" x14ac:dyDescent="0.2">
      <c r="D386" s="212"/>
      <c r="H386" s="213"/>
      <c r="I386" s="213"/>
    </row>
    <row r="387" spans="4:9" ht="12.75" hidden="1" x14ac:dyDescent="0.2">
      <c r="D387" s="212"/>
      <c r="H387" s="213"/>
      <c r="I387" s="213"/>
    </row>
    <row r="388" spans="4:9" ht="12.75" hidden="1" x14ac:dyDescent="0.2">
      <c r="D388" s="212"/>
      <c r="H388" s="213"/>
      <c r="I388" s="213"/>
    </row>
    <row r="389" spans="4:9" ht="12.75" hidden="1" x14ac:dyDescent="0.2">
      <c r="D389" s="212"/>
      <c r="H389" s="213"/>
      <c r="I389" s="213"/>
    </row>
    <row r="390" spans="4:9" ht="12.75" hidden="1" x14ac:dyDescent="0.2">
      <c r="D390" s="212"/>
      <c r="H390" s="213"/>
      <c r="I390" s="213"/>
    </row>
    <row r="391" spans="4:9" ht="12.75" hidden="1" x14ac:dyDescent="0.2">
      <c r="D391" s="212"/>
      <c r="H391" s="213"/>
      <c r="I391" s="213"/>
    </row>
    <row r="392" spans="4:9" ht="12.75" hidden="1" x14ac:dyDescent="0.2">
      <c r="D392" s="212"/>
      <c r="H392" s="213"/>
      <c r="I392" s="213"/>
    </row>
    <row r="393" spans="4:9" ht="12.75" hidden="1" x14ac:dyDescent="0.2">
      <c r="D393" s="212"/>
      <c r="H393" s="213"/>
      <c r="I393" s="213"/>
    </row>
    <row r="394" spans="4:9" ht="12.75" hidden="1" x14ac:dyDescent="0.2">
      <c r="D394" s="212"/>
      <c r="H394" s="213"/>
      <c r="I394" s="213"/>
    </row>
    <row r="395" spans="4:9" ht="12.75" hidden="1" x14ac:dyDescent="0.2">
      <c r="D395" s="212"/>
      <c r="H395" s="213"/>
      <c r="I395" s="213"/>
    </row>
    <row r="396" spans="4:9" ht="12.75" hidden="1" x14ac:dyDescent="0.2">
      <c r="D396" s="212"/>
      <c r="H396" s="213"/>
      <c r="I396" s="213"/>
    </row>
    <row r="397" spans="4:9" ht="12.75" hidden="1" x14ac:dyDescent="0.2">
      <c r="D397" s="212"/>
      <c r="H397" s="213"/>
      <c r="I397" s="213"/>
    </row>
    <row r="398" spans="4:9" ht="12.75" hidden="1" x14ac:dyDescent="0.2">
      <c r="D398" s="212"/>
      <c r="H398" s="213"/>
      <c r="I398" s="213"/>
    </row>
    <row r="399" spans="4:9" ht="12.75" hidden="1" x14ac:dyDescent="0.2">
      <c r="D399" s="212"/>
      <c r="H399" s="213"/>
      <c r="I399" s="213"/>
    </row>
    <row r="400" spans="4:9" ht="12.75" hidden="1" x14ac:dyDescent="0.2">
      <c r="D400" s="212"/>
      <c r="H400" s="213"/>
      <c r="I400" s="213"/>
    </row>
    <row r="401" spans="4:9" ht="12.75" hidden="1" x14ac:dyDescent="0.2">
      <c r="D401" s="212"/>
      <c r="H401" s="213"/>
      <c r="I401" s="213"/>
    </row>
    <row r="402" spans="4:9" ht="12.75" hidden="1" x14ac:dyDescent="0.2">
      <c r="D402" s="212"/>
      <c r="H402" s="213"/>
      <c r="I402" s="213"/>
    </row>
    <row r="403" spans="4:9" ht="12.75" hidden="1" x14ac:dyDescent="0.2">
      <c r="D403" s="212"/>
      <c r="H403" s="213"/>
      <c r="I403" s="213"/>
    </row>
    <row r="404" spans="4:9" ht="12.75" hidden="1" x14ac:dyDescent="0.2">
      <c r="D404" s="212"/>
      <c r="H404" s="213"/>
      <c r="I404" s="213"/>
    </row>
    <row r="405" spans="4:9" ht="12.75" hidden="1" x14ac:dyDescent="0.2">
      <c r="D405" s="212"/>
      <c r="H405" s="213"/>
      <c r="I405" s="213"/>
    </row>
    <row r="406" spans="4:9" ht="12.75" hidden="1" x14ac:dyDescent="0.2">
      <c r="D406" s="212"/>
      <c r="H406" s="213"/>
      <c r="I406" s="213"/>
    </row>
    <row r="407" spans="4:9" ht="12.75" hidden="1" x14ac:dyDescent="0.2">
      <c r="D407" s="212"/>
      <c r="H407" s="213"/>
      <c r="I407" s="213"/>
    </row>
    <row r="408" spans="4:9" ht="12.75" hidden="1" x14ac:dyDescent="0.2">
      <c r="D408" s="212"/>
      <c r="H408" s="213"/>
      <c r="I408" s="213"/>
    </row>
    <row r="409" spans="4:9" ht="12.75" hidden="1" x14ac:dyDescent="0.2">
      <c r="D409" s="212"/>
      <c r="H409" s="213"/>
      <c r="I409" s="213"/>
    </row>
    <row r="410" spans="4:9" ht="12.75" hidden="1" x14ac:dyDescent="0.2">
      <c r="D410" s="212"/>
      <c r="H410" s="213"/>
      <c r="I410" s="213"/>
    </row>
    <row r="411" spans="4:9" ht="12.75" hidden="1" x14ac:dyDescent="0.2">
      <c r="D411" s="212"/>
      <c r="H411" s="213"/>
      <c r="I411" s="213"/>
    </row>
    <row r="412" spans="4:9" ht="12.75" hidden="1" x14ac:dyDescent="0.2">
      <c r="D412" s="212"/>
      <c r="H412" s="213"/>
      <c r="I412" s="213"/>
    </row>
    <row r="413" spans="4:9" ht="12.75" hidden="1" x14ac:dyDescent="0.2">
      <c r="D413" s="212"/>
      <c r="H413" s="213"/>
      <c r="I413" s="213"/>
    </row>
    <row r="414" spans="4:9" ht="12.75" hidden="1" x14ac:dyDescent="0.2">
      <c r="D414" s="212"/>
      <c r="H414" s="213"/>
      <c r="I414" s="213"/>
    </row>
    <row r="415" spans="4:9" ht="12.75" hidden="1" x14ac:dyDescent="0.2">
      <c r="D415" s="212"/>
      <c r="H415" s="213"/>
      <c r="I415" s="213"/>
    </row>
    <row r="416" spans="4:9" ht="12.75" hidden="1" x14ac:dyDescent="0.2">
      <c r="D416" s="212"/>
      <c r="H416" s="213"/>
      <c r="I416" s="213"/>
    </row>
    <row r="417" spans="4:9" ht="12.75" hidden="1" x14ac:dyDescent="0.2">
      <c r="D417" s="212"/>
      <c r="H417" s="213"/>
      <c r="I417" s="213"/>
    </row>
    <row r="418" spans="4:9" ht="12.75" hidden="1" x14ac:dyDescent="0.2">
      <c r="D418" s="212"/>
      <c r="H418" s="213"/>
      <c r="I418" s="213"/>
    </row>
    <row r="419" spans="4:9" ht="12.75" hidden="1" x14ac:dyDescent="0.2">
      <c r="D419" s="212"/>
      <c r="H419" s="213"/>
      <c r="I419" s="213"/>
    </row>
    <row r="420" spans="4:9" ht="12.75" hidden="1" x14ac:dyDescent="0.2">
      <c r="D420" s="212"/>
      <c r="H420" s="213"/>
      <c r="I420" s="213"/>
    </row>
    <row r="421" spans="4:9" ht="12.75" hidden="1" x14ac:dyDescent="0.2">
      <c r="D421" s="212"/>
      <c r="H421" s="213"/>
      <c r="I421" s="213"/>
    </row>
    <row r="422" spans="4:9" ht="12.75" hidden="1" x14ac:dyDescent="0.2">
      <c r="D422" s="212"/>
      <c r="H422" s="213"/>
      <c r="I422" s="213"/>
    </row>
    <row r="423" spans="4:9" ht="12.75" hidden="1" x14ac:dyDescent="0.2">
      <c r="D423" s="212"/>
      <c r="H423" s="213"/>
      <c r="I423" s="213"/>
    </row>
    <row r="424" spans="4:9" ht="12.75" hidden="1" x14ac:dyDescent="0.2">
      <c r="D424" s="212"/>
      <c r="H424" s="213"/>
      <c r="I424" s="213"/>
    </row>
    <row r="425" spans="4:9" ht="12.75" hidden="1" x14ac:dyDescent="0.2">
      <c r="D425" s="212"/>
      <c r="H425" s="213"/>
      <c r="I425" s="213"/>
    </row>
    <row r="426" spans="4:9" ht="12.75" hidden="1" x14ac:dyDescent="0.2">
      <c r="D426" s="212"/>
      <c r="H426" s="213"/>
      <c r="I426" s="213"/>
    </row>
    <row r="427" spans="4:9" ht="12.75" hidden="1" x14ac:dyDescent="0.2">
      <c r="D427" s="212"/>
      <c r="H427" s="213"/>
      <c r="I427" s="213"/>
    </row>
    <row r="428" spans="4:9" ht="12.75" hidden="1" x14ac:dyDescent="0.2">
      <c r="D428" s="212"/>
      <c r="H428" s="213"/>
      <c r="I428" s="213"/>
    </row>
    <row r="429" spans="4:9" ht="12.75" hidden="1" x14ac:dyDescent="0.2">
      <c r="D429" s="212"/>
      <c r="H429" s="213"/>
      <c r="I429" s="213"/>
    </row>
    <row r="430" spans="4:9" ht="12.75" hidden="1" x14ac:dyDescent="0.2">
      <c r="D430" s="212"/>
      <c r="H430" s="213"/>
      <c r="I430" s="213"/>
    </row>
    <row r="431" spans="4:9" ht="12.75" hidden="1" x14ac:dyDescent="0.2">
      <c r="D431" s="212"/>
      <c r="H431" s="213"/>
      <c r="I431" s="213"/>
    </row>
    <row r="432" spans="4:9" ht="12.75" hidden="1" x14ac:dyDescent="0.2">
      <c r="D432" s="212"/>
      <c r="H432" s="213"/>
      <c r="I432" s="213"/>
    </row>
    <row r="433" spans="4:9" ht="12.75" hidden="1" x14ac:dyDescent="0.2">
      <c r="D433" s="212"/>
      <c r="H433" s="213"/>
      <c r="I433" s="213"/>
    </row>
    <row r="434" spans="4:9" ht="12.75" hidden="1" x14ac:dyDescent="0.2">
      <c r="D434" s="212"/>
      <c r="H434" s="213"/>
      <c r="I434" s="213"/>
    </row>
    <row r="435" spans="4:9" ht="12.75" hidden="1" x14ac:dyDescent="0.2">
      <c r="D435" s="212"/>
      <c r="H435" s="213"/>
      <c r="I435" s="213"/>
    </row>
    <row r="436" spans="4:9" ht="12.75" hidden="1" x14ac:dyDescent="0.2">
      <c r="D436" s="212"/>
      <c r="H436" s="213"/>
      <c r="I436" s="213"/>
    </row>
    <row r="437" spans="4:9" ht="12.75" hidden="1" x14ac:dyDescent="0.2">
      <c r="D437" s="212"/>
      <c r="H437" s="213"/>
      <c r="I437" s="213"/>
    </row>
    <row r="438" spans="4:9" ht="12.75" hidden="1" x14ac:dyDescent="0.2">
      <c r="D438" s="212"/>
      <c r="H438" s="213"/>
      <c r="I438" s="213"/>
    </row>
    <row r="439" spans="4:9" ht="12.75" hidden="1" x14ac:dyDescent="0.2">
      <c r="D439" s="212"/>
      <c r="H439" s="213"/>
      <c r="I439" s="213"/>
    </row>
    <row r="440" spans="4:9" ht="12.75" hidden="1" x14ac:dyDescent="0.2">
      <c r="D440" s="212"/>
      <c r="H440" s="213"/>
      <c r="I440" s="213"/>
    </row>
    <row r="441" spans="4:9" ht="12.75" hidden="1" x14ac:dyDescent="0.2">
      <c r="D441" s="212"/>
      <c r="H441" s="213"/>
      <c r="I441" s="213"/>
    </row>
    <row r="442" spans="4:9" ht="12.75" hidden="1" x14ac:dyDescent="0.2">
      <c r="D442" s="212"/>
      <c r="H442" s="213"/>
      <c r="I442" s="213"/>
    </row>
    <row r="443" spans="4:9" ht="12.75" hidden="1" x14ac:dyDescent="0.2">
      <c r="D443" s="212"/>
      <c r="H443" s="213"/>
      <c r="I443" s="213"/>
    </row>
    <row r="444" spans="4:9" ht="12.75" hidden="1" x14ac:dyDescent="0.2">
      <c r="D444" s="212"/>
      <c r="H444" s="213"/>
      <c r="I444" s="213"/>
    </row>
    <row r="445" spans="4:9" ht="12.75" hidden="1" x14ac:dyDescent="0.2">
      <c r="D445" s="212"/>
      <c r="H445" s="213"/>
      <c r="I445" s="213"/>
    </row>
    <row r="446" spans="4:9" ht="12.75" hidden="1" x14ac:dyDescent="0.2">
      <c r="D446" s="212"/>
      <c r="H446" s="213"/>
      <c r="I446" s="213"/>
    </row>
    <row r="447" spans="4:9" ht="12.75" hidden="1" x14ac:dyDescent="0.2">
      <c r="D447" s="212"/>
      <c r="H447" s="213"/>
      <c r="I447" s="213"/>
    </row>
    <row r="448" spans="4:9" ht="12.75" hidden="1" x14ac:dyDescent="0.2">
      <c r="D448" s="212"/>
      <c r="H448" s="213"/>
      <c r="I448" s="213"/>
    </row>
    <row r="449" spans="4:9" ht="12.75" hidden="1" x14ac:dyDescent="0.2">
      <c r="D449" s="212"/>
      <c r="H449" s="213"/>
      <c r="I449" s="213"/>
    </row>
    <row r="450" spans="4:9" ht="12.75" hidden="1" x14ac:dyDescent="0.2">
      <c r="D450" s="212"/>
      <c r="H450" s="213"/>
      <c r="I450" s="213"/>
    </row>
    <row r="451" spans="4:9" ht="12.75" hidden="1" x14ac:dyDescent="0.2">
      <c r="D451" s="212"/>
      <c r="H451" s="213"/>
      <c r="I451" s="213"/>
    </row>
    <row r="452" spans="4:9" ht="12.75" hidden="1" x14ac:dyDescent="0.2">
      <c r="D452" s="212"/>
      <c r="H452" s="213"/>
      <c r="I452" s="213"/>
    </row>
    <row r="453" spans="4:9" ht="12.75" hidden="1" x14ac:dyDescent="0.2">
      <c r="D453" s="212"/>
      <c r="H453" s="213"/>
      <c r="I453" s="213"/>
    </row>
    <row r="454" spans="4:9" ht="12.75" hidden="1" x14ac:dyDescent="0.2">
      <c r="D454" s="212"/>
      <c r="H454" s="213"/>
      <c r="I454" s="213"/>
    </row>
    <row r="455" spans="4:9" ht="12.75" hidden="1" x14ac:dyDescent="0.2">
      <c r="D455" s="212"/>
      <c r="H455" s="213"/>
      <c r="I455" s="213"/>
    </row>
    <row r="456" spans="4:9" ht="12.75" hidden="1" x14ac:dyDescent="0.2">
      <c r="D456" s="212"/>
      <c r="H456" s="213"/>
      <c r="I456" s="213"/>
    </row>
    <row r="457" spans="4:9" ht="12.75" hidden="1" x14ac:dyDescent="0.2">
      <c r="D457" s="212"/>
      <c r="H457" s="213"/>
      <c r="I457" s="213"/>
    </row>
    <row r="458" spans="4:9" ht="12.75" hidden="1" x14ac:dyDescent="0.2">
      <c r="D458" s="212"/>
      <c r="H458" s="213"/>
      <c r="I458" s="213"/>
    </row>
    <row r="459" spans="4:9" ht="12.75" hidden="1" x14ac:dyDescent="0.2">
      <c r="D459" s="212"/>
      <c r="H459" s="213"/>
      <c r="I459" s="213"/>
    </row>
    <row r="460" spans="4:9" ht="12.75" hidden="1" x14ac:dyDescent="0.2">
      <c r="D460" s="212"/>
      <c r="H460" s="213"/>
      <c r="I460" s="213"/>
    </row>
    <row r="461" spans="4:9" ht="12.75" hidden="1" x14ac:dyDescent="0.2">
      <c r="D461" s="212"/>
      <c r="H461" s="213"/>
      <c r="I461" s="213"/>
    </row>
    <row r="462" spans="4:9" ht="12.75" hidden="1" x14ac:dyDescent="0.2">
      <c r="D462" s="212"/>
      <c r="H462" s="213"/>
      <c r="I462" s="213"/>
    </row>
    <row r="463" spans="4:9" ht="12.75" hidden="1" x14ac:dyDescent="0.2">
      <c r="D463" s="212"/>
      <c r="H463" s="213"/>
      <c r="I463" s="213"/>
    </row>
    <row r="464" spans="4:9" ht="12.75" hidden="1" x14ac:dyDescent="0.2">
      <c r="D464" s="212"/>
      <c r="H464" s="213"/>
      <c r="I464" s="213"/>
    </row>
    <row r="465" spans="4:9" ht="12.75" hidden="1" x14ac:dyDescent="0.2">
      <c r="D465" s="212"/>
      <c r="H465" s="213"/>
      <c r="I465" s="213"/>
    </row>
    <row r="466" spans="4:9" ht="12.75" hidden="1" x14ac:dyDescent="0.2">
      <c r="D466" s="212"/>
      <c r="H466" s="213"/>
      <c r="I466" s="213"/>
    </row>
    <row r="467" spans="4:9" ht="12.75" hidden="1" x14ac:dyDescent="0.2">
      <c r="D467" s="212"/>
      <c r="H467" s="213"/>
      <c r="I467" s="213"/>
    </row>
    <row r="468" spans="4:9" ht="12.75" hidden="1" x14ac:dyDescent="0.2">
      <c r="D468" s="212"/>
      <c r="H468" s="213"/>
      <c r="I468" s="213"/>
    </row>
    <row r="469" spans="4:9" ht="12.75" hidden="1" x14ac:dyDescent="0.2">
      <c r="D469" s="212"/>
      <c r="H469" s="213"/>
      <c r="I469" s="213"/>
    </row>
    <row r="470" spans="4:9" ht="12.75" hidden="1" x14ac:dyDescent="0.2">
      <c r="D470" s="212"/>
      <c r="H470" s="213"/>
      <c r="I470" s="213"/>
    </row>
    <row r="471" spans="4:9" ht="12.75" hidden="1" x14ac:dyDescent="0.2">
      <c r="D471" s="212"/>
      <c r="H471" s="213"/>
      <c r="I471" s="213"/>
    </row>
    <row r="472" spans="4:9" ht="12.75" hidden="1" x14ac:dyDescent="0.2">
      <c r="D472" s="212"/>
      <c r="H472" s="213"/>
      <c r="I472" s="213"/>
    </row>
    <row r="473" spans="4:9" ht="12.75" hidden="1" x14ac:dyDescent="0.2">
      <c r="D473" s="212"/>
      <c r="H473" s="213"/>
      <c r="I473" s="213"/>
    </row>
    <row r="474" spans="4:9" ht="12.75" hidden="1" x14ac:dyDescent="0.2">
      <c r="D474" s="212"/>
      <c r="H474" s="213"/>
      <c r="I474" s="213"/>
    </row>
    <row r="475" spans="4:9" ht="12.75" hidden="1" x14ac:dyDescent="0.2">
      <c r="D475" s="212"/>
      <c r="H475" s="213"/>
      <c r="I475" s="213"/>
    </row>
    <row r="476" spans="4:9" ht="12.75" hidden="1" x14ac:dyDescent="0.2">
      <c r="D476" s="212"/>
      <c r="H476" s="213"/>
      <c r="I476" s="213"/>
    </row>
    <row r="477" spans="4:9" ht="12.75" hidden="1" x14ac:dyDescent="0.2">
      <c r="D477" s="212"/>
      <c r="H477" s="213"/>
      <c r="I477" s="213"/>
    </row>
    <row r="478" spans="4:9" ht="12.75" hidden="1" x14ac:dyDescent="0.2">
      <c r="D478" s="212"/>
      <c r="H478" s="213"/>
      <c r="I478" s="213"/>
    </row>
    <row r="479" spans="4:9" ht="12.75" hidden="1" x14ac:dyDescent="0.2">
      <c r="D479" s="212"/>
      <c r="H479" s="213"/>
      <c r="I479" s="213"/>
    </row>
    <row r="480" spans="4:9" ht="12.75" hidden="1" x14ac:dyDescent="0.2">
      <c r="D480" s="212"/>
      <c r="H480" s="213"/>
      <c r="I480" s="213"/>
    </row>
    <row r="481" spans="4:9" ht="12.75" hidden="1" x14ac:dyDescent="0.2">
      <c r="D481" s="212"/>
      <c r="H481" s="213"/>
      <c r="I481" s="213"/>
    </row>
    <row r="482" spans="4:9" ht="12.75" hidden="1" x14ac:dyDescent="0.2">
      <c r="D482" s="212"/>
      <c r="H482" s="213"/>
      <c r="I482" s="213"/>
    </row>
    <row r="483" spans="4:9" ht="12.75" hidden="1" x14ac:dyDescent="0.2">
      <c r="D483" s="212"/>
      <c r="H483" s="213"/>
      <c r="I483" s="213"/>
    </row>
    <row r="484" spans="4:9" ht="12.75" hidden="1" x14ac:dyDescent="0.2">
      <c r="D484" s="212"/>
      <c r="H484" s="213"/>
      <c r="I484" s="213"/>
    </row>
    <row r="485" spans="4:9" ht="12.75" hidden="1" x14ac:dyDescent="0.2">
      <c r="D485" s="212"/>
      <c r="H485" s="213"/>
      <c r="I485" s="213"/>
    </row>
    <row r="486" spans="4:9" ht="12.75" hidden="1" x14ac:dyDescent="0.2">
      <c r="D486" s="212"/>
      <c r="H486" s="213"/>
      <c r="I486" s="213"/>
    </row>
    <row r="487" spans="4:9" ht="12.75" hidden="1" x14ac:dyDescent="0.2">
      <c r="D487" s="212"/>
      <c r="H487" s="213"/>
      <c r="I487" s="213"/>
    </row>
    <row r="488" spans="4:9" ht="12.75" hidden="1" x14ac:dyDescent="0.2">
      <c r="D488" s="212"/>
      <c r="H488" s="213"/>
      <c r="I488" s="213"/>
    </row>
    <row r="489" spans="4:9" ht="12.75" hidden="1" x14ac:dyDescent="0.2">
      <c r="D489" s="212"/>
      <c r="H489" s="213"/>
      <c r="I489" s="213"/>
    </row>
    <row r="490" spans="4:9" ht="12.75" hidden="1" x14ac:dyDescent="0.2">
      <c r="D490" s="212"/>
      <c r="H490" s="213"/>
      <c r="I490" s="213"/>
    </row>
    <row r="491" spans="4:9" ht="12.75" hidden="1" x14ac:dyDescent="0.2">
      <c r="D491" s="212"/>
      <c r="H491" s="213"/>
      <c r="I491" s="213"/>
    </row>
    <row r="492" spans="4:9" ht="12.75" hidden="1" x14ac:dyDescent="0.2">
      <c r="D492" s="212"/>
      <c r="H492" s="213"/>
      <c r="I492" s="213"/>
    </row>
    <row r="493" spans="4:9" ht="12.75" hidden="1" x14ac:dyDescent="0.2">
      <c r="D493" s="212"/>
      <c r="H493" s="213"/>
      <c r="I493" s="213"/>
    </row>
    <row r="494" spans="4:9" ht="12.75" hidden="1" x14ac:dyDescent="0.2">
      <c r="D494" s="212"/>
      <c r="H494" s="213"/>
      <c r="I494" s="213"/>
    </row>
    <row r="495" spans="4:9" ht="12.75" hidden="1" x14ac:dyDescent="0.2">
      <c r="D495" s="212"/>
      <c r="H495" s="213"/>
      <c r="I495" s="213"/>
    </row>
    <row r="496" spans="4:9" ht="12.75" hidden="1" x14ac:dyDescent="0.2">
      <c r="D496" s="212"/>
      <c r="H496" s="213"/>
      <c r="I496" s="213"/>
    </row>
    <row r="497" spans="4:9" ht="12.75" hidden="1" x14ac:dyDescent="0.2">
      <c r="D497" s="212"/>
      <c r="H497" s="213"/>
      <c r="I497" s="213"/>
    </row>
    <row r="498" spans="4:9" ht="12.75" hidden="1" x14ac:dyDescent="0.2">
      <c r="D498" s="212"/>
      <c r="H498" s="213"/>
      <c r="I498" s="213"/>
    </row>
    <row r="499" spans="4:9" ht="12.75" hidden="1" x14ac:dyDescent="0.2">
      <c r="D499" s="212"/>
      <c r="H499" s="213"/>
      <c r="I499" s="213"/>
    </row>
    <row r="500" spans="4:9" ht="12.75" hidden="1" x14ac:dyDescent="0.2">
      <c r="D500" s="212"/>
      <c r="H500" s="213"/>
      <c r="I500" s="213"/>
    </row>
    <row r="501" spans="4:9" ht="12.75" hidden="1" x14ac:dyDescent="0.2">
      <c r="D501" s="212"/>
      <c r="H501" s="213"/>
      <c r="I501" s="213"/>
    </row>
    <row r="502" spans="4:9" ht="12.75" hidden="1" x14ac:dyDescent="0.2">
      <c r="D502" s="212"/>
      <c r="H502" s="213"/>
      <c r="I502" s="213"/>
    </row>
    <row r="503" spans="4:9" ht="12.75" hidden="1" x14ac:dyDescent="0.2">
      <c r="D503" s="212"/>
      <c r="H503" s="213"/>
      <c r="I503" s="213"/>
    </row>
    <row r="504" spans="4:9" ht="12.75" hidden="1" x14ac:dyDescent="0.2">
      <c r="D504" s="212"/>
      <c r="H504" s="213"/>
      <c r="I504" s="213"/>
    </row>
    <row r="505" spans="4:9" ht="12.75" hidden="1" x14ac:dyDescent="0.2">
      <c r="D505" s="212"/>
      <c r="H505" s="213"/>
      <c r="I505" s="213"/>
    </row>
    <row r="506" spans="4:9" ht="12.75" hidden="1" x14ac:dyDescent="0.2">
      <c r="D506" s="212"/>
      <c r="H506" s="213"/>
      <c r="I506" s="213"/>
    </row>
    <row r="507" spans="4:9" ht="12.75" hidden="1" x14ac:dyDescent="0.2">
      <c r="D507" s="212"/>
      <c r="H507" s="213"/>
      <c r="I507" s="213"/>
    </row>
    <row r="508" spans="4:9" ht="12.75" hidden="1" x14ac:dyDescent="0.2">
      <c r="D508" s="212"/>
      <c r="H508" s="213"/>
      <c r="I508" s="213"/>
    </row>
    <row r="509" spans="4:9" ht="12.75" hidden="1" x14ac:dyDescent="0.2">
      <c r="D509" s="212"/>
      <c r="H509" s="213"/>
      <c r="I509" s="213"/>
    </row>
    <row r="510" spans="4:9" ht="12.75" hidden="1" x14ac:dyDescent="0.2">
      <c r="D510" s="212"/>
      <c r="H510" s="213"/>
      <c r="I510" s="213"/>
    </row>
    <row r="511" spans="4:9" ht="12.75" hidden="1" x14ac:dyDescent="0.2">
      <c r="D511" s="212"/>
      <c r="H511" s="213"/>
      <c r="I511" s="213"/>
    </row>
    <row r="512" spans="4:9" ht="12.75" hidden="1" x14ac:dyDescent="0.2">
      <c r="D512" s="212"/>
      <c r="H512" s="213"/>
      <c r="I512" s="213"/>
    </row>
    <row r="513" spans="4:9" ht="12.75" hidden="1" x14ac:dyDescent="0.2">
      <c r="D513" s="212"/>
      <c r="H513" s="213"/>
      <c r="I513" s="213"/>
    </row>
    <row r="514" spans="4:9" ht="12.75" hidden="1" x14ac:dyDescent="0.2">
      <c r="D514" s="212"/>
      <c r="H514" s="213"/>
      <c r="I514" s="213"/>
    </row>
    <row r="515" spans="4:9" ht="12.75" hidden="1" x14ac:dyDescent="0.2">
      <c r="D515" s="212"/>
      <c r="H515" s="213"/>
      <c r="I515" s="213"/>
    </row>
    <row r="516" spans="4:9" ht="12.75" hidden="1" x14ac:dyDescent="0.2">
      <c r="D516" s="212"/>
      <c r="H516" s="213"/>
      <c r="I516" s="213"/>
    </row>
    <row r="517" spans="4:9" ht="12.75" hidden="1" x14ac:dyDescent="0.2">
      <c r="D517" s="212"/>
      <c r="H517" s="213"/>
      <c r="I517" s="213"/>
    </row>
    <row r="518" spans="4:9" ht="12.75" hidden="1" x14ac:dyDescent="0.2">
      <c r="D518" s="212"/>
      <c r="H518" s="213"/>
      <c r="I518" s="213"/>
    </row>
    <row r="519" spans="4:9" ht="12.75" hidden="1" x14ac:dyDescent="0.2">
      <c r="D519" s="212"/>
      <c r="H519" s="213"/>
      <c r="I519" s="213"/>
    </row>
    <row r="520" spans="4:9" ht="12.75" hidden="1" x14ac:dyDescent="0.2">
      <c r="D520" s="212"/>
      <c r="H520" s="213"/>
      <c r="I520" s="213"/>
    </row>
    <row r="521" spans="4:9" ht="12.75" hidden="1" x14ac:dyDescent="0.2">
      <c r="D521" s="212"/>
      <c r="H521" s="213"/>
      <c r="I521" s="213"/>
    </row>
    <row r="522" spans="4:9" ht="12.75" hidden="1" x14ac:dyDescent="0.2">
      <c r="D522" s="212"/>
      <c r="H522" s="213"/>
      <c r="I522" s="213"/>
    </row>
    <row r="523" spans="4:9" ht="12.75" hidden="1" x14ac:dyDescent="0.2">
      <c r="D523" s="212"/>
      <c r="H523" s="213"/>
      <c r="I523" s="213"/>
    </row>
    <row r="524" spans="4:9" ht="12.75" hidden="1" x14ac:dyDescent="0.2">
      <c r="D524" s="212"/>
      <c r="H524" s="213"/>
      <c r="I524" s="213"/>
    </row>
    <row r="525" spans="4:9" ht="12.75" hidden="1" x14ac:dyDescent="0.2">
      <c r="D525" s="212"/>
      <c r="H525" s="213"/>
      <c r="I525" s="213"/>
    </row>
    <row r="526" spans="4:9" ht="12.75" hidden="1" x14ac:dyDescent="0.2">
      <c r="D526" s="212"/>
      <c r="H526" s="213"/>
      <c r="I526" s="213"/>
    </row>
    <row r="527" spans="4:9" ht="12.75" hidden="1" x14ac:dyDescent="0.2">
      <c r="D527" s="212"/>
      <c r="H527" s="213"/>
      <c r="I527" s="213"/>
    </row>
    <row r="528" spans="4:9" ht="12.75" hidden="1" x14ac:dyDescent="0.2">
      <c r="D528" s="212"/>
      <c r="H528" s="213"/>
      <c r="I528" s="213"/>
    </row>
    <row r="529" spans="4:9" ht="12.75" hidden="1" x14ac:dyDescent="0.2">
      <c r="D529" s="212"/>
      <c r="H529" s="213"/>
      <c r="I529" s="213"/>
    </row>
    <row r="530" spans="4:9" ht="12.75" hidden="1" x14ac:dyDescent="0.2">
      <c r="D530" s="212"/>
      <c r="H530" s="213"/>
      <c r="I530" s="213"/>
    </row>
    <row r="531" spans="4:9" ht="12.75" hidden="1" x14ac:dyDescent="0.2">
      <c r="D531" s="212"/>
      <c r="H531" s="213"/>
      <c r="I531" s="213"/>
    </row>
    <row r="532" spans="4:9" ht="12.75" hidden="1" x14ac:dyDescent="0.2">
      <c r="D532" s="212"/>
      <c r="H532" s="213"/>
      <c r="I532" s="213"/>
    </row>
    <row r="533" spans="4:9" ht="12.75" hidden="1" x14ac:dyDescent="0.2">
      <c r="D533" s="212"/>
      <c r="H533" s="213"/>
      <c r="I533" s="213"/>
    </row>
    <row r="534" spans="4:9" ht="12.75" hidden="1" x14ac:dyDescent="0.2">
      <c r="D534" s="212"/>
      <c r="H534" s="213"/>
      <c r="I534" s="213"/>
    </row>
    <row r="535" spans="4:9" ht="12.75" hidden="1" x14ac:dyDescent="0.2">
      <c r="D535" s="212"/>
      <c r="H535" s="213"/>
      <c r="I535" s="213"/>
    </row>
    <row r="536" spans="4:9" ht="12.75" hidden="1" x14ac:dyDescent="0.2">
      <c r="D536" s="212"/>
      <c r="H536" s="213"/>
      <c r="I536" s="213"/>
    </row>
    <row r="537" spans="4:9" ht="12.75" hidden="1" x14ac:dyDescent="0.2">
      <c r="D537" s="212"/>
      <c r="H537" s="213"/>
      <c r="I537" s="213"/>
    </row>
    <row r="538" spans="4:9" ht="12.75" hidden="1" x14ac:dyDescent="0.2">
      <c r="D538" s="212"/>
      <c r="H538" s="213"/>
      <c r="I538" s="213"/>
    </row>
    <row r="539" spans="4:9" ht="12.75" hidden="1" x14ac:dyDescent="0.2">
      <c r="D539" s="212"/>
      <c r="H539" s="213"/>
      <c r="I539" s="213"/>
    </row>
    <row r="540" spans="4:9" ht="12.75" hidden="1" x14ac:dyDescent="0.2">
      <c r="D540" s="212"/>
      <c r="H540" s="213"/>
      <c r="I540" s="213"/>
    </row>
    <row r="541" spans="4:9" ht="12.75" hidden="1" x14ac:dyDescent="0.2">
      <c r="D541" s="212"/>
      <c r="H541" s="213"/>
      <c r="I541" s="213"/>
    </row>
    <row r="542" spans="4:9" ht="12.75" hidden="1" x14ac:dyDescent="0.2">
      <c r="D542" s="212"/>
      <c r="H542" s="213"/>
      <c r="I542" s="213"/>
    </row>
    <row r="543" spans="4:9" ht="12.75" hidden="1" x14ac:dyDescent="0.2">
      <c r="D543" s="212"/>
      <c r="H543" s="213"/>
      <c r="I543" s="213"/>
    </row>
    <row r="544" spans="4:9" ht="12.75" hidden="1" x14ac:dyDescent="0.2">
      <c r="D544" s="212"/>
      <c r="H544" s="213"/>
      <c r="I544" s="213"/>
    </row>
    <row r="545" spans="4:9" ht="12.75" hidden="1" x14ac:dyDescent="0.2">
      <c r="D545" s="212"/>
      <c r="H545" s="213"/>
      <c r="I545" s="213"/>
    </row>
    <row r="546" spans="4:9" ht="12.75" hidden="1" x14ac:dyDescent="0.2">
      <c r="D546" s="212"/>
      <c r="H546" s="213"/>
      <c r="I546" s="213"/>
    </row>
    <row r="547" spans="4:9" ht="12.75" hidden="1" x14ac:dyDescent="0.2">
      <c r="D547" s="212"/>
      <c r="H547" s="213"/>
      <c r="I547" s="213"/>
    </row>
    <row r="548" spans="4:9" ht="12.75" hidden="1" x14ac:dyDescent="0.2">
      <c r="D548" s="212"/>
      <c r="H548" s="213"/>
      <c r="I548" s="213"/>
    </row>
    <row r="549" spans="4:9" ht="12.75" hidden="1" x14ac:dyDescent="0.2">
      <c r="D549" s="212"/>
      <c r="H549" s="213"/>
      <c r="I549" s="213"/>
    </row>
    <row r="550" spans="4:9" ht="12.75" hidden="1" x14ac:dyDescent="0.2">
      <c r="D550" s="212"/>
      <c r="H550" s="213"/>
      <c r="I550" s="213"/>
    </row>
    <row r="551" spans="4:9" ht="12.75" hidden="1" x14ac:dyDescent="0.2">
      <c r="D551" s="212"/>
      <c r="H551" s="213"/>
      <c r="I551" s="213"/>
    </row>
    <row r="552" spans="4:9" ht="12.75" hidden="1" x14ac:dyDescent="0.2">
      <c r="D552" s="212"/>
      <c r="H552" s="213"/>
      <c r="I552" s="213"/>
    </row>
    <row r="553" spans="4:9" ht="12.75" hidden="1" x14ac:dyDescent="0.2">
      <c r="D553" s="212"/>
      <c r="H553" s="213"/>
      <c r="I553" s="213"/>
    </row>
    <row r="554" spans="4:9" ht="12.75" hidden="1" x14ac:dyDescent="0.2">
      <c r="D554" s="212"/>
      <c r="H554" s="213"/>
      <c r="I554" s="213"/>
    </row>
    <row r="555" spans="4:9" ht="12.75" hidden="1" x14ac:dyDescent="0.2">
      <c r="D555" s="212"/>
      <c r="H555" s="213"/>
      <c r="I555" s="213"/>
    </row>
    <row r="556" spans="4:9" ht="12.75" hidden="1" x14ac:dyDescent="0.2">
      <c r="D556" s="212"/>
      <c r="H556" s="213"/>
      <c r="I556" s="213"/>
    </row>
    <row r="557" spans="4:9" ht="12.75" hidden="1" x14ac:dyDescent="0.2">
      <c r="D557" s="212"/>
      <c r="H557" s="213"/>
      <c r="I557" s="213"/>
    </row>
    <row r="558" spans="4:9" ht="12.75" hidden="1" x14ac:dyDescent="0.2">
      <c r="D558" s="212"/>
      <c r="H558" s="213"/>
      <c r="I558" s="213"/>
    </row>
    <row r="559" spans="4:9" ht="12.75" hidden="1" x14ac:dyDescent="0.2">
      <c r="D559" s="212"/>
      <c r="H559" s="213"/>
      <c r="I559" s="213"/>
    </row>
    <row r="560" spans="4:9" ht="12.75" hidden="1" x14ac:dyDescent="0.2">
      <c r="D560" s="212"/>
      <c r="H560" s="213"/>
      <c r="I560" s="213"/>
    </row>
    <row r="561" spans="4:9" ht="12.75" hidden="1" x14ac:dyDescent="0.2">
      <c r="D561" s="212"/>
      <c r="H561" s="213"/>
      <c r="I561" s="213"/>
    </row>
    <row r="562" spans="4:9" ht="12.75" hidden="1" x14ac:dyDescent="0.2">
      <c r="D562" s="212"/>
      <c r="H562" s="213"/>
      <c r="I562" s="213"/>
    </row>
    <row r="563" spans="4:9" ht="12.75" hidden="1" x14ac:dyDescent="0.2">
      <c r="D563" s="212"/>
      <c r="H563" s="213"/>
      <c r="I563" s="213"/>
    </row>
    <row r="564" spans="4:9" ht="12.75" hidden="1" x14ac:dyDescent="0.2">
      <c r="D564" s="212"/>
      <c r="H564" s="213"/>
      <c r="I564" s="213"/>
    </row>
    <row r="565" spans="4:9" ht="12.75" hidden="1" x14ac:dyDescent="0.2">
      <c r="D565" s="212"/>
      <c r="H565" s="213"/>
      <c r="I565" s="213"/>
    </row>
    <row r="566" spans="4:9" ht="12.75" hidden="1" x14ac:dyDescent="0.2">
      <c r="D566" s="212"/>
      <c r="H566" s="213"/>
      <c r="I566" s="213"/>
    </row>
    <row r="567" spans="4:9" ht="12.75" hidden="1" x14ac:dyDescent="0.2">
      <c r="D567" s="212"/>
      <c r="H567" s="213"/>
      <c r="I567" s="213"/>
    </row>
    <row r="568" spans="4:9" ht="12.75" hidden="1" x14ac:dyDescent="0.2">
      <c r="D568" s="212"/>
      <c r="H568" s="213"/>
      <c r="I568" s="213"/>
    </row>
    <row r="569" spans="4:9" ht="12.75" hidden="1" x14ac:dyDescent="0.2">
      <c r="D569" s="212"/>
      <c r="H569" s="213"/>
      <c r="I569" s="213"/>
    </row>
    <row r="570" spans="4:9" ht="12.75" hidden="1" x14ac:dyDescent="0.2">
      <c r="D570" s="212"/>
      <c r="H570" s="213"/>
      <c r="I570" s="213"/>
    </row>
    <row r="571" spans="4:9" ht="12.75" hidden="1" x14ac:dyDescent="0.2">
      <c r="D571" s="212"/>
      <c r="H571" s="213"/>
      <c r="I571" s="213"/>
    </row>
    <row r="572" spans="4:9" ht="12.75" hidden="1" x14ac:dyDescent="0.2">
      <c r="D572" s="212"/>
      <c r="H572" s="213"/>
      <c r="I572" s="213"/>
    </row>
    <row r="573" spans="4:9" ht="12.75" hidden="1" x14ac:dyDescent="0.2">
      <c r="D573" s="212"/>
      <c r="H573" s="213"/>
      <c r="I573" s="213"/>
    </row>
    <row r="574" spans="4:9" ht="12.75" hidden="1" x14ac:dyDescent="0.2">
      <c r="D574" s="212"/>
      <c r="H574" s="213"/>
      <c r="I574" s="213"/>
    </row>
    <row r="575" spans="4:9" ht="12.75" hidden="1" x14ac:dyDescent="0.2">
      <c r="D575" s="212"/>
      <c r="H575" s="213"/>
      <c r="I575" s="213"/>
    </row>
    <row r="576" spans="4:9" ht="12.75" hidden="1" x14ac:dyDescent="0.2">
      <c r="D576" s="212"/>
      <c r="H576" s="213"/>
      <c r="I576" s="213"/>
    </row>
    <row r="577" spans="4:9" ht="12.75" hidden="1" x14ac:dyDescent="0.2">
      <c r="D577" s="212"/>
      <c r="H577" s="213"/>
      <c r="I577" s="213"/>
    </row>
    <row r="578" spans="4:9" ht="12.75" hidden="1" x14ac:dyDescent="0.2">
      <c r="D578" s="212"/>
      <c r="H578" s="213"/>
      <c r="I578" s="213"/>
    </row>
    <row r="579" spans="4:9" ht="12.75" hidden="1" x14ac:dyDescent="0.2">
      <c r="D579" s="212"/>
      <c r="H579" s="213"/>
      <c r="I579" s="213"/>
    </row>
    <row r="580" spans="4:9" ht="12.75" hidden="1" x14ac:dyDescent="0.2">
      <c r="D580" s="212"/>
      <c r="H580" s="213"/>
      <c r="I580" s="213"/>
    </row>
    <row r="581" spans="4:9" ht="12.75" hidden="1" x14ac:dyDescent="0.2">
      <c r="D581" s="212"/>
      <c r="H581" s="213"/>
      <c r="I581" s="213"/>
    </row>
    <row r="582" spans="4:9" ht="12.75" hidden="1" x14ac:dyDescent="0.2">
      <c r="D582" s="212"/>
      <c r="H582" s="213"/>
      <c r="I582" s="213"/>
    </row>
    <row r="583" spans="4:9" ht="12.75" hidden="1" x14ac:dyDescent="0.2">
      <c r="D583" s="212"/>
      <c r="H583" s="213"/>
      <c r="I583" s="213"/>
    </row>
    <row r="584" spans="4:9" ht="12.75" hidden="1" x14ac:dyDescent="0.2">
      <c r="D584" s="212"/>
      <c r="H584" s="213"/>
      <c r="I584" s="213"/>
    </row>
    <row r="585" spans="4:9" ht="12.75" hidden="1" x14ac:dyDescent="0.2">
      <c r="D585" s="212"/>
      <c r="H585" s="213"/>
      <c r="I585" s="213"/>
    </row>
    <row r="586" spans="4:9" ht="12.75" hidden="1" x14ac:dyDescent="0.2">
      <c r="D586" s="212"/>
      <c r="H586" s="213"/>
      <c r="I586" s="213"/>
    </row>
    <row r="587" spans="4:9" ht="12.75" hidden="1" x14ac:dyDescent="0.2">
      <c r="D587" s="212"/>
      <c r="H587" s="213"/>
      <c r="I587" s="213"/>
    </row>
    <row r="588" spans="4:9" ht="12.75" hidden="1" x14ac:dyDescent="0.2">
      <c r="D588" s="212"/>
      <c r="H588" s="213"/>
      <c r="I588" s="213"/>
    </row>
    <row r="589" spans="4:9" ht="12.75" hidden="1" x14ac:dyDescent="0.2">
      <c r="D589" s="212"/>
      <c r="H589" s="213"/>
      <c r="I589" s="213"/>
    </row>
    <row r="590" spans="4:9" ht="12.75" hidden="1" x14ac:dyDescent="0.2">
      <c r="D590" s="212"/>
      <c r="H590" s="213"/>
      <c r="I590" s="213"/>
    </row>
    <row r="591" spans="4:9" ht="12.75" hidden="1" x14ac:dyDescent="0.2">
      <c r="D591" s="212"/>
      <c r="H591" s="213"/>
      <c r="I591" s="213"/>
    </row>
    <row r="592" spans="4:9" ht="12.75" hidden="1" x14ac:dyDescent="0.2">
      <c r="D592" s="212"/>
      <c r="H592" s="213"/>
      <c r="I592" s="213"/>
    </row>
    <row r="593" spans="4:9" ht="12.75" hidden="1" x14ac:dyDescent="0.2">
      <c r="D593" s="212"/>
      <c r="H593" s="213"/>
      <c r="I593" s="213"/>
    </row>
    <row r="594" spans="4:9" ht="12.75" hidden="1" x14ac:dyDescent="0.2">
      <c r="D594" s="212"/>
      <c r="H594" s="213"/>
      <c r="I594" s="213"/>
    </row>
    <row r="595" spans="4:9" ht="12.75" hidden="1" x14ac:dyDescent="0.2">
      <c r="D595" s="212"/>
      <c r="H595" s="213"/>
      <c r="I595" s="213"/>
    </row>
    <row r="596" spans="4:9" ht="12.75" hidden="1" x14ac:dyDescent="0.2">
      <c r="D596" s="212"/>
      <c r="H596" s="213"/>
      <c r="I596" s="213"/>
    </row>
    <row r="597" spans="4:9" ht="12.75" hidden="1" x14ac:dyDescent="0.2">
      <c r="D597" s="212"/>
      <c r="H597" s="213"/>
      <c r="I597" s="213"/>
    </row>
    <row r="598" spans="4:9" ht="12.75" hidden="1" x14ac:dyDescent="0.2">
      <c r="D598" s="212"/>
      <c r="H598" s="213"/>
      <c r="I598" s="213"/>
    </row>
    <row r="599" spans="4:9" ht="12.75" hidden="1" x14ac:dyDescent="0.2">
      <c r="D599" s="212"/>
      <c r="H599" s="213"/>
      <c r="I599" s="213"/>
    </row>
    <row r="600" spans="4:9" ht="12.75" hidden="1" x14ac:dyDescent="0.2">
      <c r="D600" s="212"/>
      <c r="H600" s="213"/>
      <c r="I600" s="213"/>
    </row>
    <row r="601" spans="4:9" ht="12.75" hidden="1" x14ac:dyDescent="0.2">
      <c r="D601" s="212"/>
      <c r="H601" s="213"/>
      <c r="I601" s="213"/>
    </row>
    <row r="602" spans="4:9" ht="12.75" hidden="1" x14ac:dyDescent="0.2">
      <c r="D602" s="212"/>
      <c r="H602" s="213"/>
      <c r="I602" s="213"/>
    </row>
    <row r="603" spans="4:9" ht="12.75" hidden="1" x14ac:dyDescent="0.2">
      <c r="D603" s="212"/>
      <c r="H603" s="213"/>
      <c r="I603" s="213"/>
    </row>
    <row r="604" spans="4:9" ht="12.75" hidden="1" x14ac:dyDescent="0.2">
      <c r="D604" s="212"/>
      <c r="H604" s="213"/>
      <c r="I604" s="213"/>
    </row>
    <row r="605" spans="4:9" ht="12.75" hidden="1" x14ac:dyDescent="0.2">
      <c r="D605" s="212"/>
      <c r="H605" s="213"/>
      <c r="I605" s="213"/>
    </row>
    <row r="606" spans="4:9" ht="12.75" hidden="1" x14ac:dyDescent="0.2">
      <c r="D606" s="212"/>
      <c r="H606" s="213"/>
      <c r="I606" s="213"/>
    </row>
    <row r="607" spans="4:9" ht="12.75" hidden="1" x14ac:dyDescent="0.2">
      <c r="D607" s="212"/>
      <c r="H607" s="213"/>
      <c r="I607" s="213"/>
    </row>
    <row r="608" spans="4:9" ht="12.75" hidden="1" x14ac:dyDescent="0.2">
      <c r="D608" s="212"/>
      <c r="H608" s="213"/>
      <c r="I608" s="213"/>
    </row>
    <row r="609" spans="4:9" ht="12.75" hidden="1" x14ac:dyDescent="0.2">
      <c r="D609" s="212"/>
      <c r="H609" s="213"/>
      <c r="I609" s="213"/>
    </row>
    <row r="610" spans="4:9" ht="12.75" hidden="1" x14ac:dyDescent="0.2">
      <c r="D610" s="212"/>
      <c r="H610" s="213"/>
      <c r="I610" s="213"/>
    </row>
    <row r="611" spans="4:9" ht="12.75" hidden="1" x14ac:dyDescent="0.2">
      <c r="D611" s="212"/>
      <c r="H611" s="213"/>
      <c r="I611" s="213"/>
    </row>
    <row r="612" spans="4:9" ht="12.75" hidden="1" x14ac:dyDescent="0.2">
      <c r="D612" s="212"/>
      <c r="H612" s="213"/>
      <c r="I612" s="213"/>
    </row>
    <row r="613" spans="4:9" ht="12.75" hidden="1" x14ac:dyDescent="0.2">
      <c r="D613" s="212"/>
      <c r="H613" s="213"/>
      <c r="I613" s="213"/>
    </row>
    <row r="614" spans="4:9" ht="12.75" hidden="1" x14ac:dyDescent="0.2">
      <c r="D614" s="212"/>
      <c r="H614" s="213"/>
      <c r="I614" s="213"/>
    </row>
    <row r="615" spans="4:9" ht="12.75" hidden="1" x14ac:dyDescent="0.2">
      <c r="D615" s="212"/>
      <c r="H615" s="213"/>
      <c r="I615" s="213"/>
    </row>
    <row r="616" spans="4:9" ht="12.75" hidden="1" x14ac:dyDescent="0.2">
      <c r="D616" s="212"/>
      <c r="H616" s="213"/>
      <c r="I616" s="213"/>
    </row>
    <row r="617" spans="4:9" ht="12.75" hidden="1" x14ac:dyDescent="0.2">
      <c r="D617" s="212"/>
      <c r="H617" s="213"/>
      <c r="I617" s="213"/>
    </row>
    <row r="618" spans="4:9" ht="12.75" hidden="1" x14ac:dyDescent="0.2">
      <c r="D618" s="212"/>
      <c r="H618" s="213"/>
      <c r="I618" s="213"/>
    </row>
    <row r="619" spans="4:9" ht="12.75" hidden="1" x14ac:dyDescent="0.2">
      <c r="D619" s="212"/>
      <c r="H619" s="213"/>
      <c r="I619" s="213"/>
    </row>
    <row r="620" spans="4:9" ht="12.75" hidden="1" x14ac:dyDescent="0.2">
      <c r="D620" s="212"/>
      <c r="H620" s="213"/>
      <c r="I620" s="213"/>
    </row>
    <row r="621" spans="4:9" ht="12.75" hidden="1" x14ac:dyDescent="0.2">
      <c r="D621" s="212"/>
      <c r="H621" s="213"/>
      <c r="I621" s="213"/>
    </row>
    <row r="622" spans="4:9" ht="12.75" hidden="1" x14ac:dyDescent="0.2">
      <c r="D622" s="212"/>
      <c r="H622" s="213"/>
      <c r="I622" s="213"/>
    </row>
    <row r="623" spans="4:9" ht="12.75" hidden="1" x14ac:dyDescent="0.2">
      <c r="D623" s="212"/>
      <c r="H623" s="213"/>
      <c r="I623" s="213"/>
    </row>
    <row r="624" spans="4:9" ht="12.75" hidden="1" x14ac:dyDescent="0.2">
      <c r="D624" s="212"/>
      <c r="H624" s="213"/>
      <c r="I624" s="213"/>
    </row>
    <row r="625" spans="4:9" ht="12.75" hidden="1" x14ac:dyDescent="0.2">
      <c r="D625" s="212"/>
      <c r="H625" s="213"/>
      <c r="I625" s="213"/>
    </row>
    <row r="626" spans="4:9" ht="12.75" hidden="1" x14ac:dyDescent="0.2">
      <c r="D626" s="212"/>
      <c r="H626" s="213"/>
      <c r="I626" s="213"/>
    </row>
    <row r="627" spans="4:9" ht="12.75" hidden="1" x14ac:dyDescent="0.2">
      <c r="D627" s="212"/>
      <c r="H627" s="213"/>
      <c r="I627" s="213"/>
    </row>
    <row r="628" spans="4:9" ht="12.75" hidden="1" x14ac:dyDescent="0.2">
      <c r="D628" s="212"/>
      <c r="H628" s="213"/>
      <c r="I628" s="213"/>
    </row>
    <row r="629" spans="4:9" ht="12.75" hidden="1" x14ac:dyDescent="0.2">
      <c r="D629" s="212"/>
      <c r="H629" s="213"/>
      <c r="I629" s="213"/>
    </row>
    <row r="630" spans="4:9" ht="12.75" hidden="1" x14ac:dyDescent="0.2">
      <c r="D630" s="212"/>
      <c r="H630" s="213"/>
      <c r="I630" s="213"/>
    </row>
    <row r="631" spans="4:9" ht="12.75" hidden="1" x14ac:dyDescent="0.2">
      <c r="D631" s="212"/>
      <c r="H631" s="213"/>
      <c r="I631" s="213"/>
    </row>
    <row r="632" spans="4:9" ht="12.75" hidden="1" x14ac:dyDescent="0.2">
      <c r="D632" s="212"/>
      <c r="H632" s="213"/>
      <c r="I632" s="213"/>
    </row>
    <row r="633" spans="4:9" ht="12.75" hidden="1" x14ac:dyDescent="0.2">
      <c r="D633" s="212"/>
      <c r="H633" s="213"/>
      <c r="I633" s="213"/>
    </row>
    <row r="634" spans="4:9" ht="12.75" hidden="1" x14ac:dyDescent="0.2">
      <c r="D634" s="212"/>
      <c r="H634" s="213"/>
      <c r="I634" s="213"/>
    </row>
    <row r="635" spans="4:9" ht="12.75" hidden="1" x14ac:dyDescent="0.2">
      <c r="D635" s="212"/>
      <c r="H635" s="213"/>
      <c r="I635" s="213"/>
    </row>
    <row r="636" spans="4:9" ht="12.75" hidden="1" x14ac:dyDescent="0.2">
      <c r="D636" s="212"/>
      <c r="H636" s="213"/>
      <c r="I636" s="213"/>
    </row>
    <row r="637" spans="4:9" ht="12.75" hidden="1" x14ac:dyDescent="0.2">
      <c r="D637" s="212"/>
      <c r="H637" s="213"/>
      <c r="I637" s="213"/>
    </row>
    <row r="638" spans="4:9" ht="12.75" hidden="1" x14ac:dyDescent="0.2">
      <c r="D638" s="212"/>
      <c r="H638" s="213"/>
      <c r="I638" s="213"/>
    </row>
    <row r="639" spans="4:9" ht="12.75" hidden="1" x14ac:dyDescent="0.2">
      <c r="D639" s="212"/>
      <c r="H639" s="213"/>
      <c r="I639" s="213"/>
    </row>
    <row r="640" spans="4:9" ht="12.75" hidden="1" x14ac:dyDescent="0.2">
      <c r="D640" s="212"/>
      <c r="H640" s="213"/>
      <c r="I640" s="213"/>
    </row>
    <row r="641" spans="4:9" ht="12.75" hidden="1" x14ac:dyDescent="0.2">
      <c r="D641" s="212"/>
      <c r="H641" s="213"/>
      <c r="I641" s="213"/>
    </row>
    <row r="642" spans="4:9" ht="12.75" hidden="1" x14ac:dyDescent="0.2">
      <c r="D642" s="212"/>
      <c r="H642" s="213"/>
      <c r="I642" s="213"/>
    </row>
    <row r="643" spans="4:9" ht="12.75" hidden="1" x14ac:dyDescent="0.2">
      <c r="D643" s="212"/>
      <c r="H643" s="213"/>
      <c r="I643" s="213"/>
    </row>
    <row r="644" spans="4:9" ht="12.75" hidden="1" x14ac:dyDescent="0.2">
      <c r="D644" s="212"/>
      <c r="H644" s="213"/>
      <c r="I644" s="213"/>
    </row>
    <row r="645" spans="4:9" ht="12.75" hidden="1" x14ac:dyDescent="0.2">
      <c r="D645" s="212"/>
      <c r="H645" s="213"/>
      <c r="I645" s="213"/>
    </row>
    <row r="646" spans="4:9" ht="12.75" hidden="1" x14ac:dyDescent="0.2">
      <c r="D646" s="212"/>
      <c r="H646" s="213"/>
      <c r="I646" s="213"/>
    </row>
    <row r="647" spans="4:9" ht="12.75" hidden="1" x14ac:dyDescent="0.2">
      <c r="D647" s="212"/>
      <c r="H647" s="213"/>
      <c r="I647" s="213"/>
    </row>
    <row r="648" spans="4:9" ht="12.75" hidden="1" x14ac:dyDescent="0.2">
      <c r="D648" s="212"/>
      <c r="H648" s="213"/>
      <c r="I648" s="213"/>
    </row>
    <row r="649" spans="4:9" ht="12.75" hidden="1" x14ac:dyDescent="0.2">
      <c r="D649" s="212"/>
      <c r="H649" s="213"/>
      <c r="I649" s="213"/>
    </row>
    <row r="650" spans="4:9" ht="12.75" hidden="1" x14ac:dyDescent="0.2">
      <c r="D650" s="212"/>
      <c r="H650" s="213"/>
      <c r="I650" s="213"/>
    </row>
    <row r="651" spans="4:9" ht="12.75" hidden="1" x14ac:dyDescent="0.2">
      <c r="D651" s="212"/>
      <c r="H651" s="213"/>
      <c r="I651" s="213"/>
    </row>
    <row r="652" spans="4:9" ht="12.75" hidden="1" x14ac:dyDescent="0.2">
      <c r="D652" s="212"/>
      <c r="H652" s="213"/>
      <c r="I652" s="213"/>
    </row>
    <row r="653" spans="4:9" ht="12.75" hidden="1" x14ac:dyDescent="0.2">
      <c r="D653" s="212"/>
      <c r="H653" s="213"/>
      <c r="I653" s="213"/>
    </row>
    <row r="654" spans="4:9" ht="12.75" hidden="1" x14ac:dyDescent="0.2">
      <c r="D654" s="212"/>
      <c r="H654" s="213"/>
      <c r="I654" s="213"/>
    </row>
    <row r="655" spans="4:9" ht="12.75" hidden="1" x14ac:dyDescent="0.2">
      <c r="D655" s="212"/>
      <c r="H655" s="213"/>
      <c r="I655" s="213"/>
    </row>
    <row r="656" spans="4:9" ht="12.75" hidden="1" x14ac:dyDescent="0.2">
      <c r="D656" s="212"/>
      <c r="H656" s="213"/>
      <c r="I656" s="213"/>
    </row>
    <row r="657" spans="4:9" ht="12.75" hidden="1" x14ac:dyDescent="0.2">
      <c r="D657" s="212"/>
      <c r="H657" s="213"/>
      <c r="I657" s="213"/>
    </row>
    <row r="658" spans="4:9" ht="12.75" hidden="1" x14ac:dyDescent="0.2">
      <c r="D658" s="212"/>
      <c r="H658" s="213"/>
      <c r="I658" s="213"/>
    </row>
    <row r="659" spans="4:9" ht="12.75" hidden="1" x14ac:dyDescent="0.2">
      <c r="D659" s="212"/>
      <c r="H659" s="213"/>
      <c r="I659" s="213"/>
    </row>
    <row r="660" spans="4:9" ht="12.75" hidden="1" x14ac:dyDescent="0.2">
      <c r="D660" s="212"/>
      <c r="H660" s="213"/>
      <c r="I660" s="213"/>
    </row>
    <row r="661" spans="4:9" ht="12.75" hidden="1" x14ac:dyDescent="0.2">
      <c r="D661" s="212"/>
      <c r="H661" s="213"/>
      <c r="I661" s="213"/>
    </row>
    <row r="662" spans="4:9" ht="12.75" hidden="1" x14ac:dyDescent="0.2">
      <c r="D662" s="212"/>
      <c r="H662" s="213"/>
      <c r="I662" s="213"/>
    </row>
    <row r="663" spans="4:9" ht="12.75" hidden="1" x14ac:dyDescent="0.2">
      <c r="D663" s="212"/>
      <c r="H663" s="213"/>
      <c r="I663" s="213"/>
    </row>
    <row r="664" spans="4:9" ht="12.75" hidden="1" x14ac:dyDescent="0.2">
      <c r="D664" s="212"/>
      <c r="H664" s="213"/>
      <c r="I664" s="213"/>
    </row>
    <row r="665" spans="4:9" ht="12.75" hidden="1" x14ac:dyDescent="0.2">
      <c r="D665" s="212"/>
      <c r="H665" s="213"/>
      <c r="I665" s="213"/>
    </row>
    <row r="666" spans="4:9" ht="12.75" hidden="1" x14ac:dyDescent="0.2">
      <c r="D666" s="212"/>
      <c r="H666" s="213"/>
      <c r="I666" s="213"/>
    </row>
    <row r="667" spans="4:9" ht="12.75" hidden="1" x14ac:dyDescent="0.2">
      <c r="D667" s="212"/>
      <c r="H667" s="213"/>
      <c r="I667" s="213"/>
    </row>
    <row r="668" spans="4:9" ht="12.75" hidden="1" x14ac:dyDescent="0.2">
      <c r="D668" s="212"/>
      <c r="H668" s="213"/>
      <c r="I668" s="213"/>
    </row>
    <row r="669" spans="4:9" ht="12.75" hidden="1" x14ac:dyDescent="0.2">
      <c r="D669" s="212"/>
      <c r="H669" s="213"/>
      <c r="I669" s="213"/>
    </row>
    <row r="670" spans="4:9" ht="12.75" hidden="1" x14ac:dyDescent="0.2">
      <c r="D670" s="212"/>
      <c r="H670" s="213"/>
      <c r="I670" s="213"/>
    </row>
    <row r="671" spans="4:9" ht="12.75" hidden="1" x14ac:dyDescent="0.2">
      <c r="D671" s="212"/>
      <c r="H671" s="213"/>
      <c r="I671" s="213"/>
    </row>
    <row r="672" spans="4:9" ht="12.75" hidden="1" x14ac:dyDescent="0.2">
      <c r="D672" s="212"/>
      <c r="H672" s="213"/>
      <c r="I672" s="213"/>
    </row>
    <row r="673" spans="4:9" ht="12.75" hidden="1" x14ac:dyDescent="0.2">
      <c r="D673" s="212"/>
      <c r="H673" s="213"/>
      <c r="I673" s="213"/>
    </row>
    <row r="674" spans="4:9" ht="12.75" hidden="1" x14ac:dyDescent="0.2">
      <c r="D674" s="212"/>
      <c r="H674" s="213"/>
      <c r="I674" s="213"/>
    </row>
    <row r="675" spans="4:9" ht="12.75" hidden="1" x14ac:dyDescent="0.2">
      <c r="D675" s="212"/>
      <c r="H675" s="213"/>
      <c r="I675" s="213"/>
    </row>
    <row r="676" spans="4:9" ht="12.75" hidden="1" x14ac:dyDescent="0.2">
      <c r="D676" s="212"/>
      <c r="H676" s="213"/>
      <c r="I676" s="213"/>
    </row>
    <row r="677" spans="4:9" ht="12.75" hidden="1" x14ac:dyDescent="0.2">
      <c r="D677" s="212"/>
      <c r="H677" s="213"/>
      <c r="I677" s="213"/>
    </row>
    <row r="678" spans="4:9" ht="12.75" hidden="1" x14ac:dyDescent="0.2">
      <c r="D678" s="212"/>
      <c r="H678" s="213"/>
      <c r="I678" s="213"/>
    </row>
    <row r="679" spans="4:9" ht="12.75" hidden="1" x14ac:dyDescent="0.2">
      <c r="D679" s="212"/>
      <c r="H679" s="213"/>
      <c r="I679" s="213"/>
    </row>
    <row r="680" spans="4:9" ht="12.75" hidden="1" x14ac:dyDescent="0.2">
      <c r="D680" s="212"/>
      <c r="H680" s="213"/>
      <c r="I680" s="213"/>
    </row>
    <row r="681" spans="4:9" ht="12.75" hidden="1" x14ac:dyDescent="0.2">
      <c r="D681" s="212"/>
      <c r="H681" s="213"/>
      <c r="I681" s="213"/>
    </row>
    <row r="682" spans="4:9" ht="12.75" hidden="1" x14ac:dyDescent="0.2">
      <c r="D682" s="212"/>
      <c r="H682" s="213"/>
      <c r="I682" s="213"/>
    </row>
    <row r="683" spans="4:9" ht="12.75" hidden="1" x14ac:dyDescent="0.2">
      <c r="D683" s="212"/>
      <c r="H683" s="213"/>
      <c r="I683" s="213"/>
    </row>
    <row r="684" spans="4:9" ht="12.75" hidden="1" x14ac:dyDescent="0.2">
      <c r="D684" s="212"/>
      <c r="H684" s="213"/>
      <c r="I684" s="213"/>
    </row>
    <row r="685" spans="4:9" ht="12.75" hidden="1" x14ac:dyDescent="0.2">
      <c r="D685" s="212"/>
      <c r="H685" s="213"/>
      <c r="I685" s="213"/>
    </row>
    <row r="686" spans="4:9" ht="12.75" hidden="1" x14ac:dyDescent="0.2">
      <c r="D686" s="212"/>
      <c r="H686" s="213"/>
      <c r="I686" s="213"/>
    </row>
    <row r="687" spans="4:9" ht="12.75" hidden="1" x14ac:dyDescent="0.2">
      <c r="D687" s="212"/>
      <c r="H687" s="213"/>
      <c r="I687" s="213"/>
    </row>
    <row r="688" spans="4:9" ht="12.75" hidden="1" x14ac:dyDescent="0.2">
      <c r="D688" s="212"/>
      <c r="H688" s="213"/>
      <c r="I688" s="213"/>
    </row>
    <row r="689" spans="4:9" ht="12.75" hidden="1" x14ac:dyDescent="0.2">
      <c r="D689" s="212"/>
      <c r="H689" s="213"/>
      <c r="I689" s="213"/>
    </row>
    <row r="690" spans="4:9" ht="12.75" hidden="1" x14ac:dyDescent="0.2">
      <c r="D690" s="212"/>
      <c r="H690" s="213"/>
      <c r="I690" s="213"/>
    </row>
    <row r="691" spans="4:9" ht="12.75" hidden="1" x14ac:dyDescent="0.2">
      <c r="D691" s="212"/>
      <c r="H691" s="213"/>
      <c r="I691" s="213"/>
    </row>
    <row r="692" spans="4:9" ht="12.75" hidden="1" x14ac:dyDescent="0.2">
      <c r="D692" s="212"/>
      <c r="H692" s="213"/>
      <c r="I692" s="213"/>
    </row>
    <row r="693" spans="4:9" ht="12.75" hidden="1" x14ac:dyDescent="0.2">
      <c r="D693" s="212"/>
      <c r="H693" s="213"/>
      <c r="I693" s="213"/>
    </row>
    <row r="694" spans="4:9" ht="12.75" hidden="1" x14ac:dyDescent="0.2">
      <c r="D694" s="212"/>
      <c r="H694" s="213"/>
      <c r="I694" s="213"/>
    </row>
    <row r="695" spans="4:9" ht="12.75" hidden="1" x14ac:dyDescent="0.2">
      <c r="D695" s="212"/>
      <c r="H695" s="213"/>
      <c r="I695" s="213"/>
    </row>
    <row r="696" spans="4:9" ht="12.75" hidden="1" x14ac:dyDescent="0.2">
      <c r="D696" s="212"/>
      <c r="H696" s="213"/>
      <c r="I696" s="213"/>
    </row>
    <row r="697" spans="4:9" ht="12.75" hidden="1" x14ac:dyDescent="0.2">
      <c r="D697" s="212"/>
      <c r="H697" s="213"/>
      <c r="I697" s="213"/>
    </row>
    <row r="698" spans="4:9" ht="12.75" hidden="1" x14ac:dyDescent="0.2">
      <c r="D698" s="212"/>
      <c r="H698" s="213"/>
      <c r="I698" s="213"/>
    </row>
    <row r="699" spans="4:9" ht="12.75" hidden="1" x14ac:dyDescent="0.2">
      <c r="D699" s="212"/>
      <c r="H699" s="213"/>
      <c r="I699" s="213"/>
    </row>
    <row r="700" spans="4:9" ht="12.75" hidden="1" x14ac:dyDescent="0.2">
      <c r="D700" s="212"/>
      <c r="H700" s="213"/>
      <c r="I700" s="213"/>
    </row>
    <row r="701" spans="4:9" ht="12.75" hidden="1" x14ac:dyDescent="0.2">
      <c r="D701" s="212"/>
      <c r="H701" s="213"/>
      <c r="I701" s="213"/>
    </row>
    <row r="702" spans="4:9" ht="12.75" hidden="1" x14ac:dyDescent="0.2">
      <c r="D702" s="212"/>
      <c r="H702" s="213"/>
      <c r="I702" s="213"/>
    </row>
    <row r="703" spans="4:9" ht="12.75" hidden="1" x14ac:dyDescent="0.2">
      <c r="D703" s="212"/>
      <c r="H703" s="213"/>
      <c r="I703" s="213"/>
    </row>
    <row r="704" spans="4:9" ht="12.75" hidden="1" x14ac:dyDescent="0.2">
      <c r="D704" s="212"/>
      <c r="H704" s="213"/>
      <c r="I704" s="213"/>
    </row>
    <row r="705" spans="4:9" ht="12.75" hidden="1" x14ac:dyDescent="0.2">
      <c r="D705" s="212"/>
      <c r="H705" s="213"/>
      <c r="I705" s="213"/>
    </row>
    <row r="706" spans="4:9" ht="12.75" hidden="1" x14ac:dyDescent="0.2">
      <c r="D706" s="212"/>
      <c r="H706" s="213"/>
      <c r="I706" s="213"/>
    </row>
    <row r="707" spans="4:9" ht="12.75" hidden="1" x14ac:dyDescent="0.2">
      <c r="D707" s="212"/>
      <c r="H707" s="213"/>
      <c r="I707" s="213"/>
    </row>
    <row r="708" spans="4:9" ht="12.75" hidden="1" x14ac:dyDescent="0.2">
      <c r="D708" s="212"/>
      <c r="H708" s="213"/>
      <c r="I708" s="213"/>
    </row>
    <row r="709" spans="4:9" ht="12.75" hidden="1" x14ac:dyDescent="0.2">
      <c r="D709" s="212"/>
      <c r="H709" s="213"/>
      <c r="I709" s="213"/>
    </row>
    <row r="710" spans="4:9" ht="12.75" hidden="1" x14ac:dyDescent="0.2">
      <c r="D710" s="212"/>
      <c r="H710" s="213"/>
      <c r="I710" s="213"/>
    </row>
    <row r="711" spans="4:9" ht="12.75" hidden="1" x14ac:dyDescent="0.2">
      <c r="D711" s="212"/>
      <c r="H711" s="213"/>
      <c r="I711" s="213"/>
    </row>
    <row r="712" spans="4:9" ht="12.75" hidden="1" x14ac:dyDescent="0.2">
      <c r="D712" s="212"/>
      <c r="H712" s="213"/>
      <c r="I712" s="213"/>
    </row>
    <row r="713" spans="4:9" ht="12.75" hidden="1" x14ac:dyDescent="0.2">
      <c r="D713" s="212"/>
      <c r="H713" s="213"/>
      <c r="I713" s="213"/>
    </row>
    <row r="714" spans="4:9" ht="12.75" hidden="1" x14ac:dyDescent="0.2">
      <c r="D714" s="212"/>
      <c r="H714" s="213"/>
      <c r="I714" s="213"/>
    </row>
    <row r="715" spans="4:9" ht="12.75" hidden="1" x14ac:dyDescent="0.2">
      <c r="D715" s="212"/>
      <c r="H715" s="213"/>
      <c r="I715" s="213"/>
    </row>
    <row r="716" spans="4:9" ht="12.75" hidden="1" x14ac:dyDescent="0.2">
      <c r="D716" s="212"/>
      <c r="H716" s="213"/>
      <c r="I716" s="213"/>
    </row>
    <row r="717" spans="4:9" ht="12.75" hidden="1" x14ac:dyDescent="0.2">
      <c r="D717" s="212"/>
      <c r="H717" s="213"/>
      <c r="I717" s="213"/>
    </row>
    <row r="718" spans="4:9" ht="12.75" hidden="1" x14ac:dyDescent="0.2">
      <c r="D718" s="212"/>
      <c r="H718" s="213"/>
      <c r="I718" s="213"/>
    </row>
    <row r="719" spans="4:9" ht="12.75" hidden="1" x14ac:dyDescent="0.2">
      <c r="D719" s="212"/>
      <c r="H719" s="213"/>
      <c r="I719" s="213"/>
    </row>
    <row r="720" spans="4:9" ht="12.75" hidden="1" x14ac:dyDescent="0.2">
      <c r="D720" s="212"/>
      <c r="H720" s="213"/>
      <c r="I720" s="213"/>
    </row>
    <row r="721" spans="4:9" ht="12.75" hidden="1" x14ac:dyDescent="0.2">
      <c r="D721" s="212"/>
      <c r="H721" s="213"/>
      <c r="I721" s="213"/>
    </row>
    <row r="722" spans="4:9" ht="12.75" hidden="1" x14ac:dyDescent="0.2">
      <c r="D722" s="212"/>
      <c r="H722" s="213"/>
      <c r="I722" s="213"/>
    </row>
    <row r="723" spans="4:9" ht="12.75" hidden="1" x14ac:dyDescent="0.2">
      <c r="D723" s="212"/>
      <c r="H723" s="213"/>
      <c r="I723" s="213"/>
    </row>
    <row r="724" spans="4:9" ht="12.75" hidden="1" x14ac:dyDescent="0.2">
      <c r="D724" s="212"/>
      <c r="H724" s="213"/>
      <c r="I724" s="213"/>
    </row>
    <row r="725" spans="4:9" ht="12.75" hidden="1" x14ac:dyDescent="0.2">
      <c r="D725" s="212"/>
      <c r="H725" s="213"/>
      <c r="I725" s="213"/>
    </row>
    <row r="726" spans="4:9" ht="12.75" hidden="1" x14ac:dyDescent="0.2">
      <c r="D726" s="212"/>
      <c r="H726" s="213"/>
      <c r="I726" s="213"/>
    </row>
    <row r="727" spans="4:9" ht="12.75" hidden="1" x14ac:dyDescent="0.2">
      <c r="D727" s="212"/>
      <c r="H727" s="213"/>
      <c r="I727" s="213"/>
    </row>
    <row r="728" spans="4:9" ht="12.75" hidden="1" x14ac:dyDescent="0.2">
      <c r="D728" s="212"/>
      <c r="H728" s="213"/>
      <c r="I728" s="213"/>
    </row>
    <row r="729" spans="4:9" ht="12.75" hidden="1" x14ac:dyDescent="0.2">
      <c r="D729" s="212"/>
      <c r="H729" s="213"/>
      <c r="I729" s="213"/>
    </row>
    <row r="730" spans="4:9" ht="12.75" hidden="1" x14ac:dyDescent="0.2">
      <c r="D730" s="212"/>
      <c r="H730" s="213"/>
      <c r="I730" s="213"/>
    </row>
    <row r="731" spans="4:9" ht="12.75" hidden="1" x14ac:dyDescent="0.2">
      <c r="D731" s="212"/>
      <c r="H731" s="213"/>
      <c r="I731" s="213"/>
    </row>
    <row r="732" spans="4:9" ht="12.75" hidden="1" x14ac:dyDescent="0.2">
      <c r="D732" s="212"/>
      <c r="H732" s="213"/>
      <c r="I732" s="213"/>
    </row>
    <row r="733" spans="4:9" ht="12.75" hidden="1" x14ac:dyDescent="0.2">
      <c r="D733" s="212"/>
      <c r="H733" s="213"/>
      <c r="I733" s="213"/>
    </row>
    <row r="734" spans="4:9" ht="12.75" hidden="1" x14ac:dyDescent="0.2">
      <c r="D734" s="212"/>
      <c r="H734" s="213"/>
      <c r="I734" s="213"/>
    </row>
    <row r="735" spans="4:9" ht="12.75" hidden="1" x14ac:dyDescent="0.2">
      <c r="D735" s="212"/>
      <c r="H735" s="213"/>
      <c r="I735" s="213"/>
    </row>
    <row r="736" spans="4:9" ht="12.75" hidden="1" x14ac:dyDescent="0.2">
      <c r="D736" s="212"/>
      <c r="H736" s="213"/>
      <c r="I736" s="213"/>
    </row>
    <row r="737" spans="4:9" ht="12.75" hidden="1" x14ac:dyDescent="0.2">
      <c r="D737" s="212"/>
      <c r="H737" s="213"/>
      <c r="I737" s="213"/>
    </row>
    <row r="738" spans="4:9" ht="12.75" hidden="1" x14ac:dyDescent="0.2">
      <c r="D738" s="212"/>
      <c r="H738" s="213"/>
      <c r="I738" s="213"/>
    </row>
    <row r="739" spans="4:9" ht="12.75" hidden="1" x14ac:dyDescent="0.2">
      <c r="D739" s="212"/>
      <c r="H739" s="213"/>
      <c r="I739" s="213"/>
    </row>
    <row r="740" spans="4:9" ht="12.75" hidden="1" x14ac:dyDescent="0.2">
      <c r="D740" s="212"/>
      <c r="H740" s="213"/>
      <c r="I740" s="213"/>
    </row>
    <row r="741" spans="4:9" ht="12.75" hidden="1" x14ac:dyDescent="0.2">
      <c r="D741" s="212"/>
      <c r="H741" s="213"/>
      <c r="I741" s="213"/>
    </row>
    <row r="742" spans="4:9" ht="12.75" hidden="1" x14ac:dyDescent="0.2">
      <c r="D742" s="212"/>
      <c r="H742" s="213"/>
      <c r="I742" s="213"/>
    </row>
    <row r="743" spans="4:9" ht="12.75" hidden="1" x14ac:dyDescent="0.2">
      <c r="D743" s="212"/>
      <c r="H743" s="213"/>
      <c r="I743" s="213"/>
    </row>
    <row r="744" spans="4:9" ht="12.75" hidden="1" x14ac:dyDescent="0.2">
      <c r="D744" s="212"/>
      <c r="H744" s="213"/>
      <c r="I744" s="213"/>
    </row>
    <row r="745" spans="4:9" ht="12.75" hidden="1" x14ac:dyDescent="0.2">
      <c r="D745" s="212"/>
      <c r="H745" s="213"/>
      <c r="I745" s="213"/>
    </row>
    <row r="746" spans="4:9" ht="12.75" hidden="1" x14ac:dyDescent="0.2">
      <c r="D746" s="212"/>
      <c r="H746" s="213"/>
      <c r="I746" s="213"/>
    </row>
    <row r="747" spans="4:9" ht="12.75" hidden="1" x14ac:dyDescent="0.2">
      <c r="D747" s="212"/>
      <c r="H747" s="213"/>
      <c r="I747" s="213"/>
    </row>
    <row r="748" spans="4:9" ht="12.75" hidden="1" x14ac:dyDescent="0.2">
      <c r="D748" s="212"/>
      <c r="H748" s="213"/>
      <c r="I748" s="213"/>
    </row>
    <row r="749" spans="4:9" ht="12.75" hidden="1" x14ac:dyDescent="0.2">
      <c r="D749" s="212"/>
      <c r="H749" s="213"/>
      <c r="I749" s="213"/>
    </row>
    <row r="750" spans="4:9" ht="12.75" hidden="1" x14ac:dyDescent="0.2">
      <c r="D750" s="212"/>
      <c r="H750" s="213"/>
      <c r="I750" s="213"/>
    </row>
    <row r="751" spans="4:9" ht="12.75" hidden="1" x14ac:dyDescent="0.2">
      <c r="D751" s="212"/>
      <c r="H751" s="213"/>
      <c r="I751" s="213"/>
    </row>
    <row r="752" spans="4:9" ht="12.75" hidden="1" x14ac:dyDescent="0.2">
      <c r="D752" s="212"/>
      <c r="H752" s="213"/>
      <c r="I752" s="213"/>
    </row>
    <row r="753" spans="4:9" ht="12.75" hidden="1" x14ac:dyDescent="0.2">
      <c r="D753" s="212"/>
      <c r="H753" s="213"/>
      <c r="I753" s="213"/>
    </row>
    <row r="754" spans="4:9" ht="12.75" hidden="1" x14ac:dyDescent="0.2">
      <c r="D754" s="212"/>
      <c r="H754" s="213"/>
      <c r="I754" s="213"/>
    </row>
    <row r="755" spans="4:9" ht="12.75" hidden="1" x14ac:dyDescent="0.2">
      <c r="D755" s="212"/>
      <c r="H755" s="213"/>
      <c r="I755" s="213"/>
    </row>
    <row r="756" spans="4:9" ht="12.75" hidden="1" x14ac:dyDescent="0.2">
      <c r="D756" s="212"/>
      <c r="H756" s="213"/>
      <c r="I756" s="213"/>
    </row>
    <row r="757" spans="4:9" ht="12.75" hidden="1" x14ac:dyDescent="0.2">
      <c r="D757" s="212"/>
      <c r="H757" s="213"/>
      <c r="I757" s="213"/>
    </row>
    <row r="758" spans="4:9" ht="12.75" hidden="1" x14ac:dyDescent="0.2">
      <c r="D758" s="212"/>
      <c r="H758" s="213"/>
      <c r="I758" s="213"/>
    </row>
    <row r="759" spans="4:9" ht="12.75" hidden="1" x14ac:dyDescent="0.2">
      <c r="D759" s="212"/>
      <c r="H759" s="213"/>
      <c r="I759" s="213"/>
    </row>
    <row r="760" spans="4:9" ht="12.75" hidden="1" x14ac:dyDescent="0.2">
      <c r="D760" s="212"/>
      <c r="H760" s="213"/>
      <c r="I760" s="213"/>
    </row>
    <row r="761" spans="4:9" ht="12.75" hidden="1" x14ac:dyDescent="0.2">
      <c r="D761" s="212"/>
      <c r="H761" s="213"/>
      <c r="I761" s="213"/>
    </row>
    <row r="762" spans="4:9" ht="12.75" hidden="1" x14ac:dyDescent="0.2">
      <c r="D762" s="212"/>
      <c r="H762" s="213"/>
      <c r="I762" s="213"/>
    </row>
    <row r="763" spans="4:9" ht="12.75" hidden="1" x14ac:dyDescent="0.2">
      <c r="D763" s="212"/>
      <c r="H763" s="213"/>
      <c r="I763" s="213"/>
    </row>
    <row r="764" spans="4:9" ht="12.75" hidden="1" x14ac:dyDescent="0.2">
      <c r="D764" s="212"/>
      <c r="H764" s="213"/>
      <c r="I764" s="213"/>
    </row>
    <row r="765" spans="4:9" ht="12.75" hidden="1" x14ac:dyDescent="0.2">
      <c r="D765" s="212"/>
      <c r="H765" s="213"/>
      <c r="I765" s="213"/>
    </row>
    <row r="766" spans="4:9" ht="12.75" hidden="1" x14ac:dyDescent="0.2">
      <c r="D766" s="212"/>
      <c r="H766" s="213"/>
      <c r="I766" s="213"/>
    </row>
    <row r="767" spans="4:9" ht="12.75" hidden="1" x14ac:dyDescent="0.2">
      <c r="D767" s="212"/>
      <c r="H767" s="213"/>
      <c r="I767" s="213"/>
    </row>
    <row r="768" spans="4:9" ht="12.75" hidden="1" x14ac:dyDescent="0.2">
      <c r="D768" s="212"/>
      <c r="H768" s="213"/>
      <c r="I768" s="213"/>
    </row>
    <row r="769" spans="4:9" ht="12.75" hidden="1" x14ac:dyDescent="0.2">
      <c r="D769" s="212"/>
      <c r="H769" s="213"/>
      <c r="I769" s="213"/>
    </row>
    <row r="770" spans="4:9" ht="12.75" hidden="1" x14ac:dyDescent="0.2">
      <c r="D770" s="212"/>
      <c r="H770" s="213"/>
      <c r="I770" s="213"/>
    </row>
    <row r="771" spans="4:9" ht="12.75" hidden="1" x14ac:dyDescent="0.2">
      <c r="D771" s="212"/>
      <c r="H771" s="213"/>
      <c r="I771" s="213"/>
    </row>
    <row r="772" spans="4:9" ht="12.75" hidden="1" x14ac:dyDescent="0.2">
      <c r="D772" s="212"/>
      <c r="H772" s="213"/>
      <c r="I772" s="213"/>
    </row>
    <row r="773" spans="4:9" ht="12.75" hidden="1" x14ac:dyDescent="0.2">
      <c r="D773" s="212"/>
      <c r="H773" s="213"/>
      <c r="I773" s="213"/>
    </row>
    <row r="774" spans="4:9" ht="12.75" hidden="1" x14ac:dyDescent="0.2">
      <c r="D774" s="212"/>
      <c r="H774" s="213"/>
      <c r="I774" s="213"/>
    </row>
    <row r="775" spans="4:9" ht="12.75" hidden="1" x14ac:dyDescent="0.2">
      <c r="D775" s="212"/>
      <c r="H775" s="213"/>
      <c r="I775" s="213"/>
    </row>
    <row r="776" spans="4:9" ht="12.75" hidden="1" x14ac:dyDescent="0.2">
      <c r="D776" s="212"/>
      <c r="H776" s="213"/>
      <c r="I776" s="213"/>
    </row>
    <row r="777" spans="4:9" ht="12.75" hidden="1" x14ac:dyDescent="0.2">
      <c r="D777" s="212"/>
      <c r="H777" s="213"/>
      <c r="I777" s="213"/>
    </row>
    <row r="778" spans="4:9" ht="12.75" hidden="1" x14ac:dyDescent="0.2">
      <c r="D778" s="212"/>
      <c r="H778" s="213"/>
      <c r="I778" s="213"/>
    </row>
    <row r="779" spans="4:9" ht="12.75" hidden="1" x14ac:dyDescent="0.2">
      <c r="D779" s="212"/>
      <c r="H779" s="213"/>
      <c r="I779" s="213"/>
    </row>
    <row r="780" spans="4:9" ht="12.75" hidden="1" x14ac:dyDescent="0.2">
      <c r="D780" s="212"/>
      <c r="H780" s="213"/>
      <c r="I780" s="213"/>
    </row>
    <row r="781" spans="4:9" ht="12.75" hidden="1" x14ac:dyDescent="0.2">
      <c r="D781" s="212"/>
      <c r="H781" s="213"/>
      <c r="I781" s="213"/>
    </row>
    <row r="782" spans="4:9" ht="12.75" hidden="1" x14ac:dyDescent="0.2">
      <c r="D782" s="212"/>
      <c r="H782" s="213"/>
      <c r="I782" s="213"/>
    </row>
    <row r="783" spans="4:9" ht="12.75" hidden="1" x14ac:dyDescent="0.2">
      <c r="D783" s="212"/>
      <c r="H783" s="213"/>
      <c r="I783" s="213"/>
    </row>
    <row r="784" spans="4:9" ht="12.75" hidden="1" x14ac:dyDescent="0.2">
      <c r="D784" s="212"/>
      <c r="H784" s="213"/>
      <c r="I784" s="213"/>
    </row>
    <row r="785" spans="4:9" ht="12.75" hidden="1" x14ac:dyDescent="0.2">
      <c r="D785" s="212"/>
      <c r="H785" s="213"/>
      <c r="I785" s="213"/>
    </row>
    <row r="786" spans="4:9" ht="12.75" hidden="1" x14ac:dyDescent="0.2">
      <c r="D786" s="212"/>
      <c r="H786" s="213"/>
      <c r="I786" s="213"/>
    </row>
    <row r="787" spans="4:9" ht="12.75" hidden="1" x14ac:dyDescent="0.2">
      <c r="D787" s="212"/>
      <c r="H787" s="213"/>
      <c r="I787" s="213"/>
    </row>
    <row r="788" spans="4:9" ht="12.75" hidden="1" x14ac:dyDescent="0.2">
      <c r="D788" s="212"/>
      <c r="H788" s="213"/>
      <c r="I788" s="213"/>
    </row>
    <row r="789" spans="4:9" ht="12.75" hidden="1" x14ac:dyDescent="0.2">
      <c r="D789" s="212"/>
      <c r="H789" s="213"/>
      <c r="I789" s="213"/>
    </row>
    <row r="790" spans="4:9" ht="12.75" hidden="1" x14ac:dyDescent="0.2">
      <c r="D790" s="212"/>
      <c r="H790" s="213"/>
      <c r="I790" s="213"/>
    </row>
    <row r="791" spans="4:9" ht="12.75" hidden="1" x14ac:dyDescent="0.2">
      <c r="D791" s="212"/>
      <c r="H791" s="213"/>
      <c r="I791" s="213"/>
    </row>
    <row r="792" spans="4:9" ht="12.75" hidden="1" x14ac:dyDescent="0.2">
      <c r="D792" s="212"/>
      <c r="H792" s="213"/>
      <c r="I792" s="213"/>
    </row>
    <row r="793" spans="4:9" ht="12.75" hidden="1" x14ac:dyDescent="0.2">
      <c r="D793" s="212"/>
      <c r="H793" s="213"/>
      <c r="I793" s="213"/>
    </row>
    <row r="794" spans="4:9" ht="12.75" hidden="1" x14ac:dyDescent="0.2">
      <c r="D794" s="212"/>
      <c r="H794" s="213"/>
      <c r="I794" s="213"/>
    </row>
    <row r="795" spans="4:9" ht="12.75" hidden="1" x14ac:dyDescent="0.2">
      <c r="D795" s="212"/>
      <c r="H795" s="213"/>
      <c r="I795" s="213"/>
    </row>
    <row r="796" spans="4:9" ht="12.75" hidden="1" x14ac:dyDescent="0.2">
      <c r="D796" s="212"/>
      <c r="H796" s="213"/>
      <c r="I796" s="213"/>
    </row>
    <row r="797" spans="4:9" ht="12.75" hidden="1" x14ac:dyDescent="0.2">
      <c r="D797" s="212"/>
      <c r="H797" s="213"/>
      <c r="I797" s="213"/>
    </row>
    <row r="798" spans="4:9" ht="12.75" hidden="1" x14ac:dyDescent="0.2">
      <c r="D798" s="212"/>
      <c r="H798" s="213"/>
      <c r="I798" s="213"/>
    </row>
    <row r="799" spans="4:9" ht="12.75" hidden="1" x14ac:dyDescent="0.2">
      <c r="D799" s="212"/>
      <c r="H799" s="213"/>
      <c r="I799" s="213"/>
    </row>
    <row r="800" spans="4:9" ht="12.75" hidden="1" x14ac:dyDescent="0.2">
      <c r="D800" s="212"/>
      <c r="H800" s="213"/>
      <c r="I800" s="213"/>
    </row>
    <row r="801" spans="4:9" ht="12.75" hidden="1" x14ac:dyDescent="0.2">
      <c r="D801" s="212"/>
      <c r="H801" s="213"/>
      <c r="I801" s="213"/>
    </row>
    <row r="802" spans="4:9" ht="12.75" hidden="1" x14ac:dyDescent="0.2">
      <c r="D802" s="212"/>
      <c r="H802" s="213"/>
      <c r="I802" s="213"/>
    </row>
    <row r="803" spans="4:9" ht="12.75" hidden="1" x14ac:dyDescent="0.2">
      <c r="D803" s="212"/>
      <c r="H803" s="213"/>
      <c r="I803" s="213"/>
    </row>
    <row r="804" spans="4:9" ht="12.75" hidden="1" x14ac:dyDescent="0.2">
      <c r="D804" s="212"/>
      <c r="H804" s="213"/>
      <c r="I804" s="213"/>
    </row>
    <row r="805" spans="4:9" ht="12.75" hidden="1" x14ac:dyDescent="0.2">
      <c r="D805" s="212"/>
      <c r="H805" s="213"/>
      <c r="I805" s="213"/>
    </row>
    <row r="806" spans="4:9" ht="12.75" hidden="1" x14ac:dyDescent="0.2">
      <c r="D806" s="212"/>
      <c r="H806" s="213"/>
      <c r="I806" s="213"/>
    </row>
    <row r="807" spans="4:9" ht="12.75" hidden="1" x14ac:dyDescent="0.2">
      <c r="D807" s="212"/>
      <c r="H807" s="213"/>
      <c r="I807" s="213"/>
    </row>
    <row r="808" spans="4:9" ht="12.75" hidden="1" x14ac:dyDescent="0.2">
      <c r="D808" s="212"/>
      <c r="H808" s="213"/>
      <c r="I808" s="213"/>
    </row>
    <row r="809" spans="4:9" ht="12.75" hidden="1" x14ac:dyDescent="0.2">
      <c r="D809" s="212"/>
      <c r="H809" s="213"/>
      <c r="I809" s="213"/>
    </row>
    <row r="810" spans="4:9" ht="12.75" hidden="1" x14ac:dyDescent="0.2">
      <c r="D810" s="212"/>
      <c r="H810" s="213"/>
      <c r="I810" s="213"/>
    </row>
    <row r="811" spans="4:9" ht="12.75" hidden="1" x14ac:dyDescent="0.2">
      <c r="D811" s="212"/>
      <c r="H811" s="213"/>
      <c r="I811" s="213"/>
    </row>
    <row r="812" spans="4:9" ht="12.75" hidden="1" x14ac:dyDescent="0.2">
      <c r="D812" s="212"/>
      <c r="H812" s="213"/>
      <c r="I812" s="213"/>
    </row>
    <row r="813" spans="4:9" ht="12.75" hidden="1" x14ac:dyDescent="0.2">
      <c r="D813" s="212"/>
      <c r="H813" s="213"/>
      <c r="I813" s="213"/>
    </row>
    <row r="814" spans="4:9" ht="12.75" hidden="1" x14ac:dyDescent="0.2">
      <c r="D814" s="212"/>
      <c r="H814" s="213"/>
      <c r="I814" s="213"/>
    </row>
    <row r="815" spans="4:9" ht="12.75" hidden="1" x14ac:dyDescent="0.2">
      <c r="D815" s="212"/>
      <c r="H815" s="213"/>
      <c r="I815" s="213"/>
    </row>
    <row r="816" spans="4:9" ht="12.75" hidden="1" x14ac:dyDescent="0.2">
      <c r="D816" s="212"/>
      <c r="H816" s="213"/>
      <c r="I816" s="213"/>
    </row>
    <row r="817" spans="4:9" ht="12.75" hidden="1" x14ac:dyDescent="0.2">
      <c r="D817" s="212"/>
      <c r="H817" s="213"/>
      <c r="I817" s="213"/>
    </row>
    <row r="818" spans="4:9" ht="12.75" hidden="1" x14ac:dyDescent="0.2">
      <c r="D818" s="212"/>
      <c r="H818" s="213"/>
      <c r="I818" s="213"/>
    </row>
    <row r="819" spans="4:9" ht="12.75" hidden="1" x14ac:dyDescent="0.2">
      <c r="D819" s="212"/>
      <c r="H819" s="213"/>
      <c r="I819" s="213"/>
    </row>
    <row r="820" spans="4:9" ht="12.75" hidden="1" x14ac:dyDescent="0.2">
      <c r="D820" s="212"/>
      <c r="H820" s="213"/>
      <c r="I820" s="213"/>
    </row>
    <row r="821" spans="4:9" ht="12.75" hidden="1" x14ac:dyDescent="0.2">
      <c r="D821" s="212"/>
      <c r="H821" s="213"/>
      <c r="I821" s="213"/>
    </row>
    <row r="822" spans="4:9" ht="12.75" hidden="1" x14ac:dyDescent="0.2">
      <c r="D822" s="212"/>
      <c r="H822" s="213"/>
      <c r="I822" s="213"/>
    </row>
    <row r="823" spans="4:9" ht="12.75" hidden="1" x14ac:dyDescent="0.2">
      <c r="D823" s="212"/>
      <c r="H823" s="213"/>
      <c r="I823" s="213"/>
    </row>
    <row r="824" spans="4:9" ht="12.75" hidden="1" x14ac:dyDescent="0.2">
      <c r="D824" s="212"/>
      <c r="H824" s="213"/>
      <c r="I824" s="213"/>
    </row>
    <row r="825" spans="4:9" ht="12.75" hidden="1" x14ac:dyDescent="0.2">
      <c r="D825" s="212"/>
      <c r="H825" s="213"/>
      <c r="I825" s="213"/>
    </row>
    <row r="826" spans="4:9" ht="12.75" hidden="1" x14ac:dyDescent="0.2">
      <c r="D826" s="212"/>
      <c r="H826" s="213"/>
      <c r="I826" s="213"/>
    </row>
    <row r="827" spans="4:9" ht="12.75" hidden="1" x14ac:dyDescent="0.2">
      <c r="D827" s="212"/>
      <c r="H827" s="213"/>
      <c r="I827" s="213"/>
    </row>
    <row r="828" spans="4:9" ht="12.75" hidden="1" x14ac:dyDescent="0.2">
      <c r="D828" s="212"/>
      <c r="H828" s="213"/>
      <c r="I828" s="213"/>
    </row>
    <row r="829" spans="4:9" ht="12.75" hidden="1" x14ac:dyDescent="0.2">
      <c r="D829" s="212"/>
      <c r="H829" s="213"/>
      <c r="I829" s="213"/>
    </row>
    <row r="830" spans="4:9" ht="12.75" hidden="1" x14ac:dyDescent="0.2">
      <c r="D830" s="212"/>
      <c r="H830" s="213"/>
      <c r="I830" s="213"/>
    </row>
    <row r="831" spans="4:9" ht="12.75" hidden="1" x14ac:dyDescent="0.2">
      <c r="D831" s="212"/>
      <c r="H831" s="213"/>
      <c r="I831" s="213"/>
    </row>
    <row r="832" spans="4:9" ht="12.75" hidden="1" x14ac:dyDescent="0.2">
      <c r="D832" s="212"/>
      <c r="H832" s="213"/>
      <c r="I832" s="213"/>
    </row>
    <row r="833" spans="4:9" ht="12.75" hidden="1" x14ac:dyDescent="0.2">
      <c r="D833" s="212"/>
      <c r="H833" s="213"/>
      <c r="I833" s="213"/>
    </row>
    <row r="834" spans="4:9" ht="12.75" hidden="1" x14ac:dyDescent="0.2">
      <c r="D834" s="212"/>
      <c r="H834" s="213"/>
      <c r="I834" s="213"/>
    </row>
    <row r="835" spans="4:9" ht="12.75" hidden="1" x14ac:dyDescent="0.2">
      <c r="D835" s="212"/>
      <c r="H835" s="213"/>
      <c r="I835" s="213"/>
    </row>
    <row r="836" spans="4:9" ht="12.75" hidden="1" x14ac:dyDescent="0.2">
      <c r="D836" s="212"/>
      <c r="H836" s="213"/>
      <c r="I836" s="213"/>
    </row>
    <row r="837" spans="4:9" ht="12.75" hidden="1" x14ac:dyDescent="0.2">
      <c r="D837" s="212"/>
      <c r="H837" s="213"/>
      <c r="I837" s="213"/>
    </row>
    <row r="838" spans="4:9" ht="12.75" hidden="1" x14ac:dyDescent="0.2">
      <c r="D838" s="212"/>
      <c r="H838" s="213"/>
      <c r="I838" s="213"/>
    </row>
    <row r="839" spans="4:9" ht="12.75" hidden="1" x14ac:dyDescent="0.2">
      <c r="D839" s="212"/>
      <c r="H839" s="213"/>
      <c r="I839" s="213"/>
    </row>
    <row r="840" spans="4:9" ht="12.75" hidden="1" x14ac:dyDescent="0.2">
      <c r="D840" s="212"/>
      <c r="H840" s="213"/>
      <c r="I840" s="213"/>
    </row>
    <row r="841" spans="4:9" ht="12.75" hidden="1" x14ac:dyDescent="0.2">
      <c r="D841" s="212"/>
      <c r="H841" s="213"/>
      <c r="I841" s="213"/>
    </row>
    <row r="842" spans="4:9" ht="12.75" hidden="1" x14ac:dyDescent="0.2">
      <c r="D842" s="212"/>
      <c r="H842" s="213"/>
      <c r="I842" s="213"/>
    </row>
    <row r="843" spans="4:9" ht="12.75" hidden="1" x14ac:dyDescent="0.2">
      <c r="D843" s="212"/>
      <c r="H843" s="213"/>
      <c r="I843" s="213"/>
    </row>
    <row r="844" spans="4:9" ht="12.75" hidden="1" x14ac:dyDescent="0.2">
      <c r="D844" s="212"/>
      <c r="H844" s="213"/>
      <c r="I844" s="213"/>
    </row>
    <row r="845" spans="4:9" ht="12.75" hidden="1" x14ac:dyDescent="0.2">
      <c r="D845" s="212"/>
      <c r="H845" s="213"/>
      <c r="I845" s="213"/>
    </row>
    <row r="846" spans="4:9" ht="12.75" hidden="1" x14ac:dyDescent="0.2">
      <c r="D846" s="212"/>
      <c r="H846" s="213"/>
      <c r="I846" s="213"/>
    </row>
    <row r="847" spans="4:9" ht="12.75" hidden="1" x14ac:dyDescent="0.2">
      <c r="D847" s="212"/>
      <c r="H847" s="213"/>
      <c r="I847" s="213"/>
    </row>
    <row r="848" spans="4:9" ht="12.75" hidden="1" x14ac:dyDescent="0.2">
      <c r="D848" s="212"/>
      <c r="H848" s="213"/>
      <c r="I848" s="213"/>
    </row>
    <row r="849" spans="4:9" ht="12.75" hidden="1" x14ac:dyDescent="0.2">
      <c r="D849" s="212"/>
      <c r="H849" s="213"/>
      <c r="I849" s="213"/>
    </row>
    <row r="850" spans="4:9" ht="12.75" hidden="1" x14ac:dyDescent="0.2">
      <c r="D850" s="212"/>
      <c r="H850" s="213"/>
      <c r="I850" s="213"/>
    </row>
    <row r="851" spans="4:9" ht="12.75" hidden="1" x14ac:dyDescent="0.2">
      <c r="D851" s="212"/>
      <c r="H851" s="213"/>
      <c r="I851" s="213"/>
    </row>
    <row r="852" spans="4:9" ht="12.75" hidden="1" x14ac:dyDescent="0.2">
      <c r="D852" s="212"/>
      <c r="H852" s="213"/>
      <c r="I852" s="213"/>
    </row>
    <row r="853" spans="4:9" ht="12.75" hidden="1" x14ac:dyDescent="0.2">
      <c r="D853" s="212"/>
      <c r="H853" s="213"/>
      <c r="I853" s="213"/>
    </row>
    <row r="854" spans="4:9" ht="12.75" hidden="1" x14ac:dyDescent="0.2">
      <c r="D854" s="212"/>
      <c r="H854" s="213"/>
      <c r="I854" s="213"/>
    </row>
    <row r="855" spans="4:9" ht="12.75" hidden="1" x14ac:dyDescent="0.2">
      <c r="D855" s="212"/>
      <c r="H855" s="213"/>
      <c r="I855" s="213"/>
    </row>
    <row r="856" spans="4:9" ht="12.75" hidden="1" x14ac:dyDescent="0.2">
      <c r="D856" s="212"/>
      <c r="H856" s="213"/>
      <c r="I856" s="213"/>
    </row>
    <row r="857" spans="4:9" ht="12.75" hidden="1" x14ac:dyDescent="0.2">
      <c r="D857" s="212"/>
      <c r="H857" s="213"/>
      <c r="I857" s="213"/>
    </row>
    <row r="858" spans="4:9" ht="12.75" hidden="1" x14ac:dyDescent="0.2">
      <c r="D858" s="212"/>
      <c r="H858" s="213"/>
      <c r="I858" s="213"/>
    </row>
    <row r="859" spans="4:9" ht="12.75" hidden="1" x14ac:dyDescent="0.2">
      <c r="D859" s="212"/>
      <c r="H859" s="213"/>
      <c r="I859" s="213"/>
    </row>
    <row r="860" spans="4:9" ht="12.75" hidden="1" x14ac:dyDescent="0.2">
      <c r="D860" s="212"/>
      <c r="H860" s="213"/>
      <c r="I860" s="213"/>
    </row>
    <row r="861" spans="4:9" ht="12.75" hidden="1" x14ac:dyDescent="0.2">
      <c r="D861" s="212"/>
      <c r="H861" s="213"/>
      <c r="I861" s="213"/>
    </row>
    <row r="862" spans="4:9" ht="12.75" hidden="1" x14ac:dyDescent="0.2">
      <c r="D862" s="212"/>
      <c r="H862" s="213"/>
      <c r="I862" s="213"/>
    </row>
    <row r="863" spans="4:9" ht="12.75" hidden="1" x14ac:dyDescent="0.2">
      <c r="D863" s="212"/>
      <c r="H863" s="213"/>
      <c r="I863" s="213"/>
    </row>
    <row r="864" spans="4:9" ht="12.75" hidden="1" x14ac:dyDescent="0.2">
      <c r="D864" s="212"/>
      <c r="H864" s="213"/>
      <c r="I864" s="213"/>
    </row>
    <row r="865" spans="4:9" ht="12.75" hidden="1" x14ac:dyDescent="0.2">
      <c r="D865" s="212"/>
      <c r="H865" s="213"/>
      <c r="I865" s="213"/>
    </row>
    <row r="866" spans="4:9" ht="12.75" hidden="1" x14ac:dyDescent="0.2">
      <c r="D866" s="212"/>
      <c r="H866" s="213"/>
      <c r="I866" s="213"/>
    </row>
    <row r="867" spans="4:9" ht="12.75" hidden="1" x14ac:dyDescent="0.2">
      <c r="D867" s="212"/>
      <c r="H867" s="213"/>
      <c r="I867" s="213"/>
    </row>
    <row r="868" spans="4:9" ht="12.75" hidden="1" x14ac:dyDescent="0.2">
      <c r="D868" s="212"/>
      <c r="H868" s="213"/>
      <c r="I868" s="213"/>
    </row>
    <row r="869" spans="4:9" ht="12.75" hidden="1" x14ac:dyDescent="0.2">
      <c r="D869" s="212"/>
      <c r="H869" s="213"/>
      <c r="I869" s="213"/>
    </row>
    <row r="870" spans="4:9" ht="12.75" hidden="1" x14ac:dyDescent="0.2">
      <c r="D870" s="212"/>
      <c r="H870" s="213"/>
      <c r="I870" s="213"/>
    </row>
    <row r="871" spans="4:9" ht="12.75" hidden="1" x14ac:dyDescent="0.2">
      <c r="D871" s="212"/>
      <c r="H871" s="213"/>
      <c r="I871" s="213"/>
    </row>
    <row r="872" spans="4:9" ht="12.75" hidden="1" x14ac:dyDescent="0.2">
      <c r="D872" s="212"/>
      <c r="H872" s="213"/>
      <c r="I872" s="213"/>
    </row>
    <row r="873" spans="4:9" ht="12.75" hidden="1" x14ac:dyDescent="0.2">
      <c r="D873" s="212"/>
      <c r="H873" s="213"/>
      <c r="I873" s="213"/>
    </row>
    <row r="874" spans="4:9" ht="12.75" hidden="1" x14ac:dyDescent="0.2">
      <c r="D874" s="212"/>
      <c r="H874" s="213"/>
      <c r="I874" s="213"/>
    </row>
    <row r="875" spans="4:9" ht="12.75" hidden="1" x14ac:dyDescent="0.2">
      <c r="D875" s="212"/>
      <c r="H875" s="213"/>
      <c r="I875" s="213"/>
    </row>
    <row r="876" spans="4:9" ht="12.75" hidden="1" x14ac:dyDescent="0.2">
      <c r="D876" s="212"/>
      <c r="H876" s="213"/>
      <c r="I876" s="213"/>
    </row>
    <row r="877" spans="4:9" ht="12.75" hidden="1" x14ac:dyDescent="0.2">
      <c r="D877" s="212"/>
      <c r="H877" s="213"/>
      <c r="I877" s="213"/>
    </row>
    <row r="878" spans="4:9" ht="12.75" hidden="1" x14ac:dyDescent="0.2">
      <c r="D878" s="212"/>
      <c r="H878" s="213"/>
      <c r="I878" s="213"/>
    </row>
    <row r="879" spans="4:9" ht="12.75" hidden="1" x14ac:dyDescent="0.2">
      <c r="D879" s="212"/>
      <c r="H879" s="213"/>
      <c r="I879" s="213"/>
    </row>
    <row r="880" spans="4:9" ht="12.75" hidden="1" x14ac:dyDescent="0.2">
      <c r="D880" s="212"/>
      <c r="H880" s="213"/>
      <c r="I880" s="213"/>
    </row>
    <row r="881" spans="4:9" ht="12.75" hidden="1" x14ac:dyDescent="0.2">
      <c r="D881" s="212"/>
      <c r="H881" s="213"/>
      <c r="I881" s="213"/>
    </row>
    <row r="882" spans="4:9" ht="12.75" hidden="1" x14ac:dyDescent="0.2">
      <c r="D882" s="212"/>
      <c r="H882" s="213"/>
      <c r="I882" s="213"/>
    </row>
    <row r="883" spans="4:9" ht="12.75" hidden="1" x14ac:dyDescent="0.2">
      <c r="D883" s="212"/>
      <c r="H883" s="213"/>
      <c r="I883" s="213"/>
    </row>
    <row r="884" spans="4:9" ht="12.75" hidden="1" x14ac:dyDescent="0.2">
      <c r="D884" s="212"/>
      <c r="H884" s="213"/>
      <c r="I884" s="213"/>
    </row>
    <row r="885" spans="4:9" ht="12.75" hidden="1" x14ac:dyDescent="0.2">
      <c r="D885" s="212"/>
      <c r="H885" s="213"/>
      <c r="I885" s="213"/>
    </row>
    <row r="886" spans="4:9" ht="12.75" hidden="1" x14ac:dyDescent="0.2">
      <c r="D886" s="212"/>
      <c r="H886" s="213"/>
      <c r="I886" s="213"/>
    </row>
    <row r="887" spans="4:9" ht="12.75" hidden="1" x14ac:dyDescent="0.2">
      <c r="D887" s="212"/>
      <c r="H887" s="213"/>
      <c r="I887" s="213"/>
    </row>
    <row r="888" spans="4:9" ht="12.75" hidden="1" x14ac:dyDescent="0.2">
      <c r="D888" s="212"/>
      <c r="H888" s="213"/>
      <c r="I888" s="213"/>
    </row>
    <row r="889" spans="4:9" ht="12.75" hidden="1" x14ac:dyDescent="0.2">
      <c r="D889" s="212"/>
      <c r="H889" s="213"/>
      <c r="I889" s="213"/>
    </row>
    <row r="890" spans="4:9" ht="12.75" hidden="1" x14ac:dyDescent="0.2">
      <c r="D890" s="212"/>
      <c r="H890" s="213"/>
      <c r="I890" s="213"/>
    </row>
    <row r="891" spans="4:9" ht="12.75" hidden="1" x14ac:dyDescent="0.2">
      <c r="D891" s="212"/>
      <c r="H891" s="213"/>
      <c r="I891" s="213"/>
    </row>
    <row r="892" spans="4:9" ht="12.75" hidden="1" x14ac:dyDescent="0.2">
      <c r="D892" s="212"/>
      <c r="H892" s="213"/>
      <c r="I892" s="213"/>
    </row>
    <row r="893" spans="4:9" ht="12.75" hidden="1" x14ac:dyDescent="0.2">
      <c r="D893" s="212"/>
      <c r="H893" s="213"/>
      <c r="I893" s="213"/>
    </row>
    <row r="894" spans="4:9" ht="12.75" hidden="1" x14ac:dyDescent="0.2">
      <c r="D894" s="212"/>
      <c r="H894" s="213"/>
      <c r="I894" s="213"/>
    </row>
    <row r="895" spans="4:9" ht="12.75" hidden="1" x14ac:dyDescent="0.2">
      <c r="D895" s="212"/>
      <c r="H895" s="213"/>
      <c r="I895" s="213"/>
    </row>
    <row r="896" spans="4:9" ht="12.75" hidden="1" x14ac:dyDescent="0.2">
      <c r="D896" s="212"/>
      <c r="H896" s="213"/>
      <c r="I896" s="213"/>
    </row>
    <row r="897" spans="4:9" ht="12.75" hidden="1" x14ac:dyDescent="0.2">
      <c r="D897" s="212"/>
      <c r="H897" s="213"/>
      <c r="I897" s="213"/>
    </row>
    <row r="898" spans="4:9" ht="12.75" hidden="1" x14ac:dyDescent="0.2">
      <c r="D898" s="212"/>
      <c r="H898" s="213"/>
      <c r="I898" s="213"/>
    </row>
    <row r="899" spans="4:9" ht="12.75" hidden="1" x14ac:dyDescent="0.2">
      <c r="D899" s="212"/>
      <c r="H899" s="213"/>
      <c r="I899" s="213"/>
    </row>
    <row r="900" spans="4:9" ht="12.75" hidden="1" x14ac:dyDescent="0.2">
      <c r="D900" s="212"/>
      <c r="H900" s="213"/>
      <c r="I900" s="213"/>
    </row>
    <row r="901" spans="4:9" ht="12.75" hidden="1" x14ac:dyDescent="0.2">
      <c r="D901" s="212"/>
      <c r="H901" s="213"/>
      <c r="I901" s="213"/>
    </row>
    <row r="902" spans="4:9" ht="12.75" hidden="1" x14ac:dyDescent="0.2">
      <c r="D902" s="212"/>
      <c r="H902" s="213"/>
      <c r="I902" s="213"/>
    </row>
    <row r="903" spans="4:9" ht="12.75" hidden="1" x14ac:dyDescent="0.2">
      <c r="D903" s="212"/>
      <c r="H903" s="213"/>
      <c r="I903" s="213"/>
    </row>
    <row r="904" spans="4:9" ht="12.75" hidden="1" x14ac:dyDescent="0.2">
      <c r="D904" s="212"/>
      <c r="H904" s="213"/>
      <c r="I904" s="213"/>
    </row>
    <row r="905" spans="4:9" ht="12.75" hidden="1" x14ac:dyDescent="0.2">
      <c r="D905" s="212"/>
      <c r="H905" s="213"/>
      <c r="I905" s="213"/>
    </row>
    <row r="906" spans="4:9" ht="12.75" hidden="1" x14ac:dyDescent="0.2">
      <c r="D906" s="212"/>
      <c r="H906" s="213"/>
      <c r="I906" s="213"/>
    </row>
    <row r="907" spans="4:9" ht="12.75" hidden="1" x14ac:dyDescent="0.2">
      <c r="D907" s="212"/>
      <c r="H907" s="213"/>
      <c r="I907" s="213"/>
    </row>
    <row r="908" spans="4:9" ht="12.75" hidden="1" x14ac:dyDescent="0.2">
      <c r="D908" s="212"/>
      <c r="H908" s="213"/>
      <c r="I908" s="213"/>
    </row>
    <row r="909" spans="4:9" ht="12.75" hidden="1" x14ac:dyDescent="0.2">
      <c r="D909" s="212"/>
      <c r="H909" s="213"/>
      <c r="I909" s="213"/>
    </row>
    <row r="910" spans="4:9" ht="12.75" hidden="1" x14ac:dyDescent="0.2">
      <c r="D910" s="212"/>
      <c r="H910" s="213"/>
      <c r="I910" s="213"/>
    </row>
    <row r="911" spans="4:9" ht="12.75" hidden="1" x14ac:dyDescent="0.2">
      <c r="D911" s="212"/>
      <c r="H911" s="213"/>
      <c r="I911" s="213"/>
    </row>
    <row r="912" spans="4:9" ht="12.75" hidden="1" x14ac:dyDescent="0.2">
      <c r="D912" s="212"/>
      <c r="H912" s="213"/>
      <c r="I912" s="213"/>
    </row>
    <row r="913" spans="4:9" ht="12.75" hidden="1" x14ac:dyDescent="0.2">
      <c r="D913" s="212"/>
      <c r="H913" s="213"/>
      <c r="I913" s="213"/>
    </row>
    <row r="914" spans="4:9" ht="12.75" hidden="1" x14ac:dyDescent="0.2">
      <c r="D914" s="212"/>
      <c r="H914" s="213"/>
      <c r="I914" s="213"/>
    </row>
    <row r="915" spans="4:9" ht="12.75" hidden="1" x14ac:dyDescent="0.2">
      <c r="D915" s="212"/>
      <c r="H915" s="213"/>
      <c r="I915" s="213"/>
    </row>
    <row r="916" spans="4:9" ht="12.75" hidden="1" x14ac:dyDescent="0.2">
      <c r="D916" s="212"/>
      <c r="H916" s="213"/>
      <c r="I916" s="213"/>
    </row>
    <row r="917" spans="4:9" ht="12.75" hidden="1" x14ac:dyDescent="0.2">
      <c r="D917" s="212"/>
      <c r="H917" s="213"/>
      <c r="I917" s="213"/>
    </row>
    <row r="918" spans="4:9" ht="12.75" hidden="1" x14ac:dyDescent="0.2">
      <c r="D918" s="212"/>
      <c r="H918" s="213"/>
      <c r="I918" s="213"/>
    </row>
    <row r="919" spans="4:9" ht="12.75" hidden="1" x14ac:dyDescent="0.2">
      <c r="D919" s="212"/>
      <c r="H919" s="213"/>
      <c r="I919" s="213"/>
    </row>
    <row r="920" spans="4:9" ht="12.75" hidden="1" x14ac:dyDescent="0.2">
      <c r="D920" s="212"/>
      <c r="H920" s="213"/>
      <c r="I920" s="213"/>
    </row>
    <row r="921" spans="4:9" ht="12.75" hidden="1" x14ac:dyDescent="0.2">
      <c r="D921" s="212"/>
      <c r="H921" s="213"/>
      <c r="I921" s="213"/>
    </row>
    <row r="922" spans="4:9" ht="12.75" hidden="1" x14ac:dyDescent="0.2">
      <c r="D922" s="212"/>
      <c r="H922" s="213"/>
      <c r="I922" s="213"/>
    </row>
    <row r="923" spans="4:9" ht="12.75" hidden="1" x14ac:dyDescent="0.2">
      <c r="D923" s="212"/>
      <c r="H923" s="213"/>
      <c r="I923" s="213"/>
    </row>
    <row r="924" spans="4:9" ht="12.75" hidden="1" x14ac:dyDescent="0.2">
      <c r="D924" s="212"/>
      <c r="H924" s="213"/>
      <c r="I924" s="213"/>
    </row>
    <row r="925" spans="4:9" ht="12.75" hidden="1" x14ac:dyDescent="0.2">
      <c r="D925" s="212"/>
      <c r="H925" s="213"/>
      <c r="I925" s="213"/>
    </row>
    <row r="926" spans="4:9" ht="12.75" hidden="1" x14ac:dyDescent="0.2">
      <c r="D926" s="212"/>
      <c r="H926" s="213"/>
      <c r="I926" s="213"/>
    </row>
    <row r="927" spans="4:9" ht="12.75" hidden="1" x14ac:dyDescent="0.2">
      <c r="D927" s="212"/>
      <c r="H927" s="213"/>
      <c r="I927" s="213"/>
    </row>
    <row r="928" spans="4:9" ht="12.75" hidden="1" x14ac:dyDescent="0.2">
      <c r="D928" s="212"/>
      <c r="H928" s="213"/>
      <c r="I928" s="213"/>
    </row>
    <row r="929" spans="4:9" ht="12.75" hidden="1" x14ac:dyDescent="0.2">
      <c r="D929" s="212"/>
      <c r="H929" s="213"/>
      <c r="I929" s="213"/>
    </row>
    <row r="930" spans="4:9" ht="12.75" hidden="1" x14ac:dyDescent="0.2">
      <c r="D930" s="212"/>
      <c r="H930" s="213"/>
      <c r="I930" s="213"/>
    </row>
    <row r="931" spans="4:9" ht="12.75" hidden="1" x14ac:dyDescent="0.2">
      <c r="D931" s="212"/>
      <c r="H931" s="213"/>
      <c r="I931" s="213"/>
    </row>
    <row r="932" spans="4:9" ht="12.75" hidden="1" x14ac:dyDescent="0.2">
      <c r="D932" s="212"/>
      <c r="H932" s="213"/>
      <c r="I932" s="213"/>
    </row>
    <row r="933" spans="4:9" ht="12.75" hidden="1" x14ac:dyDescent="0.2">
      <c r="D933" s="212"/>
      <c r="H933" s="213"/>
      <c r="I933" s="213"/>
    </row>
    <row r="934" spans="4:9" ht="12.75" hidden="1" x14ac:dyDescent="0.2">
      <c r="D934" s="212"/>
      <c r="H934" s="213"/>
      <c r="I934" s="213"/>
    </row>
    <row r="935" spans="4:9" ht="12.75" hidden="1" x14ac:dyDescent="0.2">
      <c r="D935" s="212"/>
      <c r="H935" s="213"/>
      <c r="I935" s="213"/>
    </row>
    <row r="936" spans="4:9" ht="12.75" hidden="1" x14ac:dyDescent="0.2">
      <c r="D936" s="212"/>
      <c r="H936" s="213"/>
      <c r="I936" s="213"/>
    </row>
    <row r="937" spans="4:9" ht="12.75" hidden="1" x14ac:dyDescent="0.2">
      <c r="D937" s="212"/>
      <c r="H937" s="213"/>
      <c r="I937" s="213"/>
    </row>
    <row r="938" spans="4:9" ht="12.75" hidden="1" x14ac:dyDescent="0.2">
      <c r="D938" s="212"/>
      <c r="H938" s="213"/>
      <c r="I938" s="213"/>
    </row>
    <row r="939" spans="4:9" ht="12.75" hidden="1" x14ac:dyDescent="0.2">
      <c r="D939" s="212"/>
      <c r="H939" s="213"/>
      <c r="I939" s="213"/>
    </row>
    <row r="940" spans="4:9" ht="12.75" hidden="1" x14ac:dyDescent="0.2">
      <c r="D940" s="212"/>
      <c r="H940" s="213"/>
      <c r="I940" s="213"/>
    </row>
    <row r="941" spans="4:9" ht="12.75" hidden="1" x14ac:dyDescent="0.2">
      <c r="D941" s="212"/>
      <c r="H941" s="213"/>
      <c r="I941" s="213"/>
    </row>
    <row r="942" spans="4:9" ht="12.75" hidden="1" x14ac:dyDescent="0.2">
      <c r="D942" s="212"/>
      <c r="H942" s="213"/>
      <c r="I942" s="213"/>
    </row>
    <row r="943" spans="4:9" ht="12.75" hidden="1" x14ac:dyDescent="0.2">
      <c r="D943" s="212"/>
      <c r="H943" s="213"/>
      <c r="I943" s="213"/>
    </row>
    <row r="944" spans="4:9" ht="12.75" hidden="1" x14ac:dyDescent="0.2">
      <c r="D944" s="212"/>
      <c r="H944" s="213"/>
      <c r="I944" s="213"/>
    </row>
    <row r="945" spans="4:9" ht="12.75" hidden="1" x14ac:dyDescent="0.2">
      <c r="D945" s="212"/>
      <c r="H945" s="213"/>
      <c r="I945" s="213"/>
    </row>
    <row r="946" spans="4:9" ht="12.75" hidden="1" x14ac:dyDescent="0.2">
      <c r="D946" s="212"/>
      <c r="H946" s="213"/>
      <c r="I946" s="213"/>
    </row>
    <row r="947" spans="4:9" ht="12.75" hidden="1" x14ac:dyDescent="0.2">
      <c r="D947" s="212"/>
      <c r="H947" s="213"/>
      <c r="I947" s="213"/>
    </row>
    <row r="948" spans="4:9" ht="12.75" hidden="1" x14ac:dyDescent="0.2">
      <c r="D948" s="212"/>
      <c r="H948" s="213"/>
      <c r="I948" s="213"/>
    </row>
    <row r="949" spans="4:9" ht="12.75" hidden="1" x14ac:dyDescent="0.2">
      <c r="D949" s="212"/>
      <c r="H949" s="213"/>
      <c r="I949" s="213"/>
    </row>
    <row r="950" spans="4:9" ht="12.75" hidden="1" x14ac:dyDescent="0.2">
      <c r="D950" s="212"/>
      <c r="H950" s="213"/>
      <c r="I950" s="213"/>
    </row>
    <row r="951" spans="4:9" ht="12.75" hidden="1" x14ac:dyDescent="0.2">
      <c r="D951" s="212"/>
      <c r="H951" s="213"/>
      <c r="I951" s="213"/>
    </row>
    <row r="952" spans="4:9" ht="12.75" hidden="1" x14ac:dyDescent="0.2">
      <c r="D952" s="212"/>
      <c r="H952" s="213"/>
      <c r="I952" s="213"/>
    </row>
    <row r="953" spans="4:9" ht="12.75" hidden="1" x14ac:dyDescent="0.2">
      <c r="D953" s="212"/>
      <c r="H953" s="213"/>
      <c r="I953" s="213"/>
    </row>
    <row r="954" spans="4:9" ht="12.75" hidden="1" x14ac:dyDescent="0.2">
      <c r="D954" s="212"/>
      <c r="H954" s="213"/>
      <c r="I954" s="213"/>
    </row>
    <row r="955" spans="4:9" ht="12.75" hidden="1" x14ac:dyDescent="0.2">
      <c r="D955" s="212"/>
      <c r="H955" s="213"/>
      <c r="I955" s="213"/>
    </row>
    <row r="956" spans="4:9" ht="12.75" hidden="1" x14ac:dyDescent="0.2">
      <c r="D956" s="212"/>
      <c r="H956" s="213"/>
      <c r="I956" s="213"/>
    </row>
    <row r="957" spans="4:9" ht="12.75" hidden="1" x14ac:dyDescent="0.2">
      <c r="D957" s="212"/>
      <c r="H957" s="213"/>
      <c r="I957" s="213"/>
    </row>
    <row r="958" spans="4:9" ht="12.75" hidden="1" x14ac:dyDescent="0.2">
      <c r="D958" s="212"/>
      <c r="H958" s="213"/>
      <c r="I958" s="213"/>
    </row>
    <row r="959" spans="4:9" ht="12.75" hidden="1" x14ac:dyDescent="0.2">
      <c r="D959" s="212"/>
      <c r="H959" s="213"/>
      <c r="I959" s="213"/>
    </row>
    <row r="960" spans="4:9" ht="12.75" hidden="1" x14ac:dyDescent="0.2">
      <c r="D960" s="212"/>
      <c r="H960" s="213"/>
      <c r="I960" s="213"/>
    </row>
    <row r="961" spans="4:9" ht="12.75" hidden="1" x14ac:dyDescent="0.2">
      <c r="D961" s="212"/>
      <c r="H961" s="213"/>
      <c r="I961" s="213"/>
    </row>
    <row r="962" spans="4:9" ht="12.75" hidden="1" x14ac:dyDescent="0.2">
      <c r="D962" s="212"/>
      <c r="H962" s="213"/>
      <c r="I962" s="213"/>
    </row>
    <row r="963" spans="4:9" ht="12.75" hidden="1" x14ac:dyDescent="0.2">
      <c r="D963" s="212"/>
      <c r="H963" s="213"/>
      <c r="I963" s="213"/>
    </row>
    <row r="964" spans="4:9" ht="12.75" hidden="1" x14ac:dyDescent="0.2">
      <c r="D964" s="212"/>
      <c r="H964" s="213"/>
      <c r="I964" s="213"/>
    </row>
    <row r="965" spans="4:9" ht="12.75" hidden="1" x14ac:dyDescent="0.2">
      <c r="D965" s="212"/>
      <c r="H965" s="213"/>
      <c r="I965" s="213"/>
    </row>
    <row r="966" spans="4:9" ht="12.75" hidden="1" x14ac:dyDescent="0.2">
      <c r="D966" s="212"/>
      <c r="H966" s="213"/>
      <c r="I966" s="213"/>
    </row>
    <row r="967" spans="4:9" ht="12.75" hidden="1" x14ac:dyDescent="0.2">
      <c r="D967" s="212"/>
      <c r="H967" s="213"/>
      <c r="I967" s="213"/>
    </row>
    <row r="968" spans="4:9" ht="12.75" hidden="1" x14ac:dyDescent="0.2">
      <c r="D968" s="212"/>
      <c r="H968" s="213"/>
      <c r="I968" s="213"/>
    </row>
    <row r="969" spans="4:9" ht="12.75" hidden="1" x14ac:dyDescent="0.2">
      <c r="D969" s="212"/>
      <c r="H969" s="213"/>
      <c r="I969" s="213"/>
    </row>
    <row r="970" spans="4:9" ht="12.75" hidden="1" x14ac:dyDescent="0.2">
      <c r="D970" s="212"/>
      <c r="H970" s="213"/>
      <c r="I970" s="213"/>
    </row>
    <row r="971" spans="4:9" ht="12.75" hidden="1" x14ac:dyDescent="0.2">
      <c r="D971" s="212"/>
      <c r="H971" s="213"/>
      <c r="I971" s="213"/>
    </row>
    <row r="972" spans="4:9" ht="12.75" hidden="1" x14ac:dyDescent="0.2">
      <c r="D972" s="212"/>
      <c r="H972" s="213"/>
      <c r="I972" s="213"/>
    </row>
    <row r="973" spans="4:9" ht="12.75" hidden="1" x14ac:dyDescent="0.2">
      <c r="D973" s="212"/>
      <c r="H973" s="213"/>
      <c r="I973" s="213"/>
    </row>
    <row r="974" spans="4:9" ht="12.75" hidden="1" x14ac:dyDescent="0.2">
      <c r="D974" s="212"/>
      <c r="H974" s="213"/>
      <c r="I974" s="213"/>
    </row>
    <row r="975" spans="4:9" ht="12.75" hidden="1" x14ac:dyDescent="0.2">
      <c r="D975" s="212"/>
      <c r="H975" s="213"/>
      <c r="I975" s="213"/>
    </row>
    <row r="976" spans="4:9" ht="12.75" hidden="1" x14ac:dyDescent="0.2">
      <c r="D976" s="212"/>
      <c r="H976" s="213"/>
      <c r="I976" s="213"/>
    </row>
    <row r="977" spans="4:9" ht="12.75" hidden="1" x14ac:dyDescent="0.2">
      <c r="D977" s="212"/>
      <c r="H977" s="213"/>
      <c r="I977" s="213"/>
    </row>
    <row r="978" spans="4:9" ht="12.75" hidden="1" x14ac:dyDescent="0.2">
      <c r="D978" s="212"/>
      <c r="H978" s="213"/>
      <c r="I978" s="213"/>
    </row>
    <row r="979" spans="4:9" ht="12.75" hidden="1" x14ac:dyDescent="0.2">
      <c r="D979" s="212"/>
      <c r="H979" s="213"/>
      <c r="I979" s="213"/>
    </row>
    <row r="980" spans="4:9" ht="12.75" hidden="1" x14ac:dyDescent="0.2">
      <c r="D980" s="212"/>
      <c r="H980" s="213"/>
      <c r="I980" s="213"/>
    </row>
    <row r="981" spans="4:9" ht="12.75" hidden="1" x14ac:dyDescent="0.2">
      <c r="D981" s="212"/>
      <c r="H981" s="213"/>
      <c r="I981" s="213"/>
    </row>
    <row r="982" spans="4:9" ht="12.75" hidden="1" x14ac:dyDescent="0.2">
      <c r="D982" s="212"/>
      <c r="H982" s="213"/>
      <c r="I982" s="213"/>
    </row>
    <row r="983" spans="4:9" ht="12.75" hidden="1" x14ac:dyDescent="0.2">
      <c r="D983" s="212"/>
      <c r="H983" s="213"/>
      <c r="I983" s="213"/>
    </row>
    <row r="984" spans="4:9" ht="12.75" hidden="1" x14ac:dyDescent="0.2">
      <c r="D984" s="212"/>
      <c r="H984" s="213"/>
      <c r="I984" s="213"/>
    </row>
    <row r="985" spans="4:9" ht="12.75" hidden="1" x14ac:dyDescent="0.2">
      <c r="D985" s="212"/>
      <c r="H985" s="213"/>
      <c r="I985" s="213"/>
    </row>
    <row r="986" spans="4:9" ht="12.75" hidden="1" x14ac:dyDescent="0.2">
      <c r="D986" s="212"/>
      <c r="H986" s="213"/>
      <c r="I986" s="213"/>
    </row>
    <row r="987" spans="4:9" ht="12.75" hidden="1" x14ac:dyDescent="0.2">
      <c r="D987" s="212"/>
      <c r="H987" s="213"/>
      <c r="I987" s="213"/>
    </row>
    <row r="988" spans="4:9" ht="12.75" hidden="1" x14ac:dyDescent="0.2">
      <c r="D988" s="212"/>
      <c r="H988" s="213"/>
      <c r="I988" s="213"/>
    </row>
    <row r="989" spans="4:9" ht="12.75" hidden="1" x14ac:dyDescent="0.2">
      <c r="D989" s="212"/>
      <c r="H989" s="213"/>
      <c r="I989" s="213"/>
    </row>
    <row r="990" spans="4:9" ht="12.75" hidden="1" x14ac:dyDescent="0.2">
      <c r="D990" s="212"/>
      <c r="H990" s="213"/>
      <c r="I990" s="213"/>
    </row>
    <row r="991" spans="4:9" ht="12.75" hidden="1" x14ac:dyDescent="0.2">
      <c r="D991" s="212"/>
      <c r="H991" s="213"/>
      <c r="I991" s="213"/>
    </row>
    <row r="992" spans="4:9" ht="12.75" hidden="1" x14ac:dyDescent="0.2">
      <c r="D992" s="212"/>
      <c r="H992" s="213"/>
      <c r="I992" s="213"/>
    </row>
    <row r="993" spans="4:9" ht="12.75" hidden="1" x14ac:dyDescent="0.2">
      <c r="D993" s="212"/>
      <c r="H993" s="213"/>
      <c r="I993" s="213"/>
    </row>
    <row r="994" spans="4:9" ht="12.75" hidden="1" x14ac:dyDescent="0.2">
      <c r="D994" s="212"/>
      <c r="H994" s="213"/>
      <c r="I994" s="213"/>
    </row>
    <row r="995" spans="4:9" ht="12.75" hidden="1" x14ac:dyDescent="0.2">
      <c r="D995" s="212"/>
      <c r="H995" s="213"/>
      <c r="I995" s="213"/>
    </row>
    <row r="996" spans="4:9" ht="12.75" hidden="1" x14ac:dyDescent="0.2">
      <c r="D996" s="212"/>
      <c r="H996" s="213"/>
      <c r="I996" s="213"/>
    </row>
    <row r="997" spans="4:9" ht="12.75" hidden="1" x14ac:dyDescent="0.2">
      <c r="D997" s="212"/>
      <c r="H997" s="213"/>
      <c r="I997" s="213"/>
    </row>
    <row r="998" spans="4:9" ht="12.75" hidden="1" x14ac:dyDescent="0.2">
      <c r="D998" s="212"/>
      <c r="H998" s="213"/>
      <c r="I998" s="213"/>
    </row>
    <row r="999" spans="4:9" ht="12.75" hidden="1" x14ac:dyDescent="0.2">
      <c r="D999" s="212"/>
      <c r="H999" s="213"/>
      <c r="I999" s="213"/>
    </row>
  </sheetData>
  <autoFilter ref="A1:R999" xr:uid="{00000000-0001-0000-0100-000000000000}">
    <filterColumn colId="0">
      <filters>
        <filter val="48"/>
      </filters>
    </filterColumn>
  </autoFilter>
  <conditionalFormatting sqref="H2:H72 I2:I197 H74:H96 H98 H100 H102:H197">
    <cfRule type="containsText" dxfId="4" priority="5" operator="containsText" text="NO APLICA">
      <formula>NOT(ISERROR(SEARCH(("NO APLICA"),(H2))))</formula>
    </cfRule>
  </conditionalFormatting>
  <conditionalFormatting sqref="R2:R197">
    <cfRule type="containsText" dxfId="3" priority="1" operator="containsText" text="APROBADO ">
      <formula>NOT(ISERROR(SEARCH(("APROBADO "),(R2))))</formula>
    </cfRule>
    <cfRule type="containsText" dxfId="2" priority="2" operator="containsText" text="DESAPROBADO">
      <formula>NOT(ISERROR(SEARCH(("DESAPROBADO"),(R2))))</formula>
    </cfRule>
    <cfRule type="containsText" dxfId="1" priority="4" operator="containsText" text="RETIRADO">
      <formula>NOT(ISERROR(SEARCH(("RETIRADO"),(R2))))</formula>
    </cfRule>
  </conditionalFormatting>
  <conditionalFormatting sqref="R197">
    <cfRule type="notContainsBlanks" dxfId="0" priority="3">
      <formula>LEN(TRIM(R197))&gt;0</formula>
    </cfRule>
  </conditionalFormatting>
  <dataValidations count="1">
    <dataValidation type="list" allowBlank="1" showErrorMessage="1" sqref="G2:G197" xr:uid="{00000000-0002-0000-0100-000000000000}">
      <formula1>"SI,NO"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KERLY MABEL TITO SANTA CRUZ</dc:creator>
  <cp:lastModifiedBy>Fe y Alegría del Perú</cp:lastModifiedBy>
  <dcterms:created xsi:type="dcterms:W3CDTF">2025-04-22T16:49:30Z</dcterms:created>
  <dcterms:modified xsi:type="dcterms:W3CDTF">2025-05-15T23:32:59Z</dcterms:modified>
</cp:coreProperties>
</file>